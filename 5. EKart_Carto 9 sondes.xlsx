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80" windowWidth="21270" windowHeight="13965"/>
  </bookViews>
  <sheets>
    <sheet name="1. Rapport" sheetId="1" r:id="rId1"/>
    <sheet name="2. Calculs" sheetId="2" r:id="rId2"/>
    <sheet name="Feuil3" sheetId="3" r:id="rId3"/>
  </sheets>
  <calcPr calcId="145621"/>
</workbook>
</file>

<file path=xl/calcChain.xml><?xml version="1.0" encoding="utf-8"?>
<calcChain xmlns="http://schemas.openxmlformats.org/spreadsheetml/2006/main">
  <c r="C35" i="1" l="1"/>
  <c r="C34" i="1"/>
  <c r="R31" i="1" l="1"/>
  <c r="Q31" i="1"/>
  <c r="P31" i="1"/>
  <c r="O31" i="1"/>
  <c r="N31" i="1"/>
  <c r="M31" i="1"/>
  <c r="L31" i="1"/>
  <c r="K31" i="1"/>
  <c r="R30" i="1"/>
  <c r="Q30" i="1"/>
  <c r="P30" i="1"/>
  <c r="O30" i="1"/>
  <c r="N30" i="1"/>
  <c r="M30" i="1"/>
  <c r="L30" i="1"/>
  <c r="K30" i="1"/>
  <c r="J31" i="1"/>
  <c r="J30" i="1"/>
  <c r="R29" i="1"/>
  <c r="Q29" i="1"/>
  <c r="P29" i="1"/>
  <c r="O29" i="1"/>
  <c r="N29" i="1"/>
  <c r="M29" i="1"/>
  <c r="L29" i="1"/>
  <c r="K29" i="1"/>
  <c r="J29" i="1"/>
  <c r="AB5" i="2"/>
  <c r="AB65" i="2" s="1"/>
  <c r="AA5" i="2"/>
  <c r="AA149" i="2" s="1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V76" i="2"/>
  <c r="N22" i="1"/>
  <c r="R69" i="2"/>
  <c r="J22" i="1"/>
  <c r="K22" i="1"/>
  <c r="U96" i="2"/>
  <c r="M22" i="1"/>
  <c r="T41" i="2"/>
  <c r="L22" i="1"/>
  <c r="W37" i="2"/>
  <c r="O22" i="1"/>
  <c r="P22" i="1"/>
  <c r="Z34" i="2"/>
  <c r="R22" i="1"/>
  <c r="Y148" i="2"/>
  <c r="Q22" i="1"/>
  <c r="AA17" i="2" l="1"/>
  <c r="W11" i="2"/>
  <c r="W19" i="2"/>
  <c r="W27" i="2"/>
  <c r="W35" i="2"/>
  <c r="R44" i="2"/>
  <c r="U80" i="2"/>
  <c r="AA57" i="2"/>
  <c r="Z6" i="2"/>
  <c r="Z14" i="2"/>
  <c r="Z22" i="2"/>
  <c r="Z30" i="2"/>
  <c r="Z38" i="2"/>
  <c r="R45" i="2"/>
  <c r="U104" i="2"/>
  <c r="AA65" i="2"/>
  <c r="Z8" i="2"/>
  <c r="Z16" i="2"/>
  <c r="Z24" i="2"/>
  <c r="Z32" i="2"/>
  <c r="Z40" i="2"/>
  <c r="R61" i="2"/>
  <c r="U112" i="2"/>
  <c r="W9" i="2"/>
  <c r="W17" i="2"/>
  <c r="W25" i="2"/>
  <c r="W33" i="2"/>
  <c r="W41" i="2"/>
  <c r="R73" i="2"/>
  <c r="U143" i="2"/>
  <c r="AA25" i="2"/>
  <c r="T6" i="2"/>
  <c r="T14" i="2"/>
  <c r="T22" i="2"/>
  <c r="T30" i="2"/>
  <c r="T38" i="2"/>
  <c r="Y50" i="2"/>
  <c r="Y58" i="2"/>
  <c r="T12" i="2"/>
  <c r="T20" i="2"/>
  <c r="T28" i="2"/>
  <c r="T36" i="2"/>
  <c r="Y52" i="2"/>
  <c r="W7" i="2"/>
  <c r="T10" i="2"/>
  <c r="Z12" i="2"/>
  <c r="W15" i="2"/>
  <c r="T18" i="2"/>
  <c r="Z20" i="2"/>
  <c r="W23" i="2"/>
  <c r="T26" i="2"/>
  <c r="Z28" i="2"/>
  <c r="W31" i="2"/>
  <c r="T34" i="2"/>
  <c r="Z36" i="2"/>
  <c r="W39" i="2"/>
  <c r="T42" i="2"/>
  <c r="Y46" i="2"/>
  <c r="Y54" i="2"/>
  <c r="R65" i="2"/>
  <c r="U88" i="2"/>
  <c r="R122" i="2"/>
  <c r="AA33" i="2"/>
  <c r="AA123" i="2"/>
  <c r="W5" i="2"/>
  <c r="T8" i="2"/>
  <c r="Z10" i="2"/>
  <c r="W13" i="2"/>
  <c r="T16" i="2"/>
  <c r="Z18" i="2"/>
  <c r="W21" i="2"/>
  <c r="T24" i="2"/>
  <c r="Z26" i="2"/>
  <c r="W29" i="2"/>
  <c r="T32" i="2"/>
  <c r="T40" i="2"/>
  <c r="R43" i="2"/>
  <c r="Y48" i="2"/>
  <c r="Y56" i="2"/>
  <c r="Y132" i="2"/>
  <c r="AA49" i="2"/>
  <c r="AA139" i="2"/>
  <c r="AB10" i="2"/>
  <c r="AB23" i="2"/>
  <c r="AB30" i="2"/>
  <c r="AB35" i="2"/>
  <c r="AB42" i="2"/>
  <c r="AB55" i="2"/>
  <c r="AB62" i="2"/>
  <c r="AB68" i="2"/>
  <c r="AB76" i="2"/>
  <c r="AB84" i="2"/>
  <c r="AB92" i="2"/>
  <c r="AB100" i="2"/>
  <c r="AB108" i="2"/>
  <c r="AB6" i="2"/>
  <c r="AB11" i="2"/>
  <c r="AB18" i="2"/>
  <c r="AB31" i="2"/>
  <c r="AB38" i="2"/>
  <c r="AB43" i="2"/>
  <c r="AB50" i="2"/>
  <c r="AB63" i="2"/>
  <c r="AB70" i="2"/>
  <c r="AB78" i="2"/>
  <c r="AB86" i="2"/>
  <c r="AB94" i="2"/>
  <c r="AB102" i="2"/>
  <c r="AA115" i="2"/>
  <c r="AA147" i="2"/>
  <c r="AB7" i="2"/>
  <c r="AB14" i="2"/>
  <c r="AB19" i="2"/>
  <c r="AB26" i="2"/>
  <c r="AB39" i="2"/>
  <c r="AB46" i="2"/>
  <c r="AB51" i="2"/>
  <c r="AB58" i="2"/>
  <c r="AB72" i="2"/>
  <c r="AB80" i="2"/>
  <c r="AB88" i="2"/>
  <c r="AB96" i="2"/>
  <c r="AB104" i="2"/>
  <c r="AA9" i="2"/>
  <c r="AB15" i="2"/>
  <c r="AB22" i="2"/>
  <c r="AB27" i="2"/>
  <c r="AB34" i="2"/>
  <c r="AA41" i="2"/>
  <c r="AB47" i="2"/>
  <c r="AB54" i="2"/>
  <c r="AB59" i="2"/>
  <c r="AB66" i="2"/>
  <c r="AB74" i="2"/>
  <c r="AB82" i="2"/>
  <c r="AB90" i="2"/>
  <c r="AB98" i="2"/>
  <c r="AB106" i="2"/>
  <c r="AA131" i="2"/>
  <c r="Z154" i="2"/>
  <c r="Z153" i="2"/>
  <c r="Z152" i="2"/>
  <c r="Z151" i="2"/>
  <c r="Z150" i="2"/>
  <c r="Z149" i="2"/>
  <c r="Z147" i="2"/>
  <c r="Z145" i="2"/>
  <c r="Z143" i="2"/>
  <c r="Z141" i="2"/>
  <c r="Z139" i="2"/>
  <c r="Z137" i="2"/>
  <c r="Z135" i="2"/>
  <c r="Z133" i="2"/>
  <c r="Z131" i="2"/>
  <c r="Z129" i="2"/>
  <c r="Z127" i="2"/>
  <c r="Z125" i="2"/>
  <c r="Z123" i="2"/>
  <c r="Z121" i="2"/>
  <c r="Z119" i="2"/>
  <c r="Z117" i="2"/>
  <c r="Z115" i="2"/>
  <c r="Z148" i="2"/>
  <c r="Z146" i="2"/>
  <c r="Z144" i="2"/>
  <c r="Z142" i="2"/>
  <c r="Z140" i="2"/>
  <c r="Z138" i="2"/>
  <c r="Z136" i="2"/>
  <c r="Z134" i="2"/>
  <c r="Z132" i="2"/>
  <c r="Z130" i="2"/>
  <c r="Z128" i="2"/>
  <c r="Z126" i="2"/>
  <c r="Z124" i="2"/>
  <c r="Z122" i="2"/>
  <c r="Z120" i="2"/>
  <c r="Z118" i="2"/>
  <c r="Z116" i="2"/>
  <c r="Z114" i="2"/>
  <c r="Z112" i="2"/>
  <c r="Z110" i="2"/>
  <c r="Z108" i="2"/>
  <c r="Z106" i="2"/>
  <c r="Z104" i="2"/>
  <c r="Z102" i="2"/>
  <c r="Z100" i="2"/>
  <c r="Z98" i="2"/>
  <c r="Z96" i="2"/>
  <c r="Z94" i="2"/>
  <c r="Z92" i="2"/>
  <c r="Z90" i="2"/>
  <c r="Z88" i="2"/>
  <c r="Z86" i="2"/>
  <c r="Z84" i="2"/>
  <c r="Z82" i="2"/>
  <c r="Z80" i="2"/>
  <c r="Z78" i="2"/>
  <c r="Z76" i="2"/>
  <c r="Z74" i="2"/>
  <c r="Z59" i="2"/>
  <c r="Z58" i="2"/>
  <c r="Z57" i="2"/>
  <c r="Z56" i="2"/>
  <c r="Z55" i="2"/>
  <c r="Z54" i="2"/>
  <c r="Z53" i="2"/>
  <c r="Z52" i="2"/>
  <c r="Z51" i="2"/>
  <c r="Z50" i="2"/>
  <c r="Z49" i="2"/>
  <c r="Z48" i="2"/>
  <c r="Z47" i="2"/>
  <c r="Z46" i="2"/>
  <c r="Z45" i="2"/>
  <c r="Z44" i="2"/>
  <c r="Z43" i="2"/>
  <c r="Z42" i="2"/>
  <c r="Z113" i="2"/>
  <c r="Z111" i="2"/>
  <c r="Z109" i="2"/>
  <c r="Z107" i="2"/>
  <c r="Z105" i="2"/>
  <c r="Z103" i="2"/>
  <c r="Z101" i="2"/>
  <c r="Z99" i="2"/>
  <c r="Z97" i="2"/>
  <c r="Z95" i="2"/>
  <c r="Z93" i="2"/>
  <c r="Z91" i="2"/>
  <c r="Z89" i="2"/>
  <c r="Z87" i="2"/>
  <c r="Z85" i="2"/>
  <c r="Z83" i="2"/>
  <c r="Z81" i="2"/>
  <c r="Z79" i="2"/>
  <c r="Z77" i="2"/>
  <c r="Z75" i="2"/>
  <c r="Z73" i="2"/>
  <c r="Z72" i="2"/>
  <c r="Z71" i="2"/>
  <c r="Z70" i="2"/>
  <c r="Z69" i="2"/>
  <c r="Z68" i="2"/>
  <c r="Z67" i="2"/>
  <c r="Z66" i="2"/>
  <c r="Z65" i="2"/>
  <c r="Z64" i="2"/>
  <c r="Z63" i="2"/>
  <c r="Z62" i="2"/>
  <c r="Z61" i="2"/>
  <c r="Z60" i="2"/>
  <c r="W154" i="2"/>
  <c r="W153" i="2"/>
  <c r="W152" i="2"/>
  <c r="W151" i="2"/>
  <c r="W150" i="2"/>
  <c r="W148" i="2"/>
  <c r="W146" i="2"/>
  <c r="W144" i="2"/>
  <c r="W142" i="2"/>
  <c r="W140" i="2"/>
  <c r="W138" i="2"/>
  <c r="W136" i="2"/>
  <c r="W134" i="2"/>
  <c r="W132" i="2"/>
  <c r="W130" i="2"/>
  <c r="W128" i="2"/>
  <c r="W126" i="2"/>
  <c r="W124" i="2"/>
  <c r="W122" i="2"/>
  <c r="W120" i="2"/>
  <c r="W118" i="2"/>
  <c r="W116" i="2"/>
  <c r="W149" i="2"/>
  <c r="W147" i="2"/>
  <c r="W145" i="2"/>
  <c r="W143" i="2"/>
  <c r="W141" i="2"/>
  <c r="W139" i="2"/>
  <c r="W137" i="2"/>
  <c r="W135" i="2"/>
  <c r="W133" i="2"/>
  <c r="W131" i="2"/>
  <c r="W129" i="2"/>
  <c r="W127" i="2"/>
  <c r="W125" i="2"/>
  <c r="W123" i="2"/>
  <c r="W121" i="2"/>
  <c r="W119" i="2"/>
  <c r="W117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60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U153" i="2"/>
  <c r="U154" i="2"/>
  <c r="U150" i="2"/>
  <c r="U148" i="2"/>
  <c r="U146" i="2"/>
  <c r="U144" i="2"/>
  <c r="U142" i="2"/>
  <c r="U140" i="2"/>
  <c r="U138" i="2"/>
  <c r="U136" i="2"/>
  <c r="U134" i="2"/>
  <c r="U132" i="2"/>
  <c r="U130" i="2"/>
  <c r="U128" i="2"/>
  <c r="U126" i="2"/>
  <c r="U124" i="2"/>
  <c r="U122" i="2"/>
  <c r="U120" i="2"/>
  <c r="U118" i="2"/>
  <c r="U116" i="2"/>
  <c r="U151" i="2"/>
  <c r="U149" i="2"/>
  <c r="U141" i="2"/>
  <c r="U133" i="2"/>
  <c r="U125" i="2"/>
  <c r="U117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145" i="2"/>
  <c r="U137" i="2"/>
  <c r="U129" i="2"/>
  <c r="U121" i="2"/>
  <c r="U147" i="2"/>
  <c r="U139" i="2"/>
  <c r="U131" i="2"/>
  <c r="U123" i="2"/>
  <c r="U115" i="2"/>
  <c r="U113" i="2"/>
  <c r="U111" i="2"/>
  <c r="U109" i="2"/>
  <c r="U107" i="2"/>
  <c r="U105" i="2"/>
  <c r="U103" i="2"/>
  <c r="U101" i="2"/>
  <c r="U99" i="2"/>
  <c r="U97" i="2"/>
  <c r="U95" i="2"/>
  <c r="U93" i="2"/>
  <c r="U91" i="2"/>
  <c r="U89" i="2"/>
  <c r="U87" i="2"/>
  <c r="U85" i="2"/>
  <c r="U83" i="2"/>
  <c r="U81" i="2"/>
  <c r="U79" i="2"/>
  <c r="U77" i="2"/>
  <c r="U75" i="2"/>
  <c r="R154" i="2"/>
  <c r="R153" i="2"/>
  <c r="R152" i="2"/>
  <c r="R151" i="2"/>
  <c r="R149" i="2"/>
  <c r="R147" i="2"/>
  <c r="R145" i="2"/>
  <c r="R143" i="2"/>
  <c r="R141" i="2"/>
  <c r="R139" i="2"/>
  <c r="R137" i="2"/>
  <c r="R135" i="2"/>
  <c r="R133" i="2"/>
  <c r="R131" i="2"/>
  <c r="R129" i="2"/>
  <c r="R127" i="2"/>
  <c r="R125" i="2"/>
  <c r="R123" i="2"/>
  <c r="R121" i="2"/>
  <c r="R119" i="2"/>
  <c r="R117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144" i="2"/>
  <c r="R136" i="2"/>
  <c r="R128" i="2"/>
  <c r="R120" i="2"/>
  <c r="R148" i="2"/>
  <c r="R140" i="2"/>
  <c r="R132" i="2"/>
  <c r="R124" i="2"/>
  <c r="R116" i="2"/>
  <c r="R150" i="2"/>
  <c r="R142" i="2"/>
  <c r="R134" i="2"/>
  <c r="R126" i="2"/>
  <c r="R118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5" i="2"/>
  <c r="Y5" i="2"/>
  <c r="U6" i="2"/>
  <c r="R7" i="2"/>
  <c r="Y7" i="2"/>
  <c r="U8" i="2"/>
  <c r="R9" i="2"/>
  <c r="Y9" i="2"/>
  <c r="U10" i="2"/>
  <c r="R11" i="2"/>
  <c r="Y11" i="2"/>
  <c r="U12" i="2"/>
  <c r="R13" i="2"/>
  <c r="Y13" i="2"/>
  <c r="U14" i="2"/>
  <c r="R15" i="2"/>
  <c r="Y15" i="2"/>
  <c r="U16" i="2"/>
  <c r="R17" i="2"/>
  <c r="Y17" i="2"/>
  <c r="U18" i="2"/>
  <c r="R19" i="2"/>
  <c r="Y19" i="2"/>
  <c r="U20" i="2"/>
  <c r="R21" i="2"/>
  <c r="Y21" i="2"/>
  <c r="U22" i="2"/>
  <c r="R23" i="2"/>
  <c r="Y23" i="2"/>
  <c r="U24" i="2"/>
  <c r="R25" i="2"/>
  <c r="Y25" i="2"/>
  <c r="U26" i="2"/>
  <c r="R27" i="2"/>
  <c r="Y27" i="2"/>
  <c r="U28" i="2"/>
  <c r="R29" i="2"/>
  <c r="Y29" i="2"/>
  <c r="U30" i="2"/>
  <c r="R31" i="2"/>
  <c r="Y31" i="2"/>
  <c r="U32" i="2"/>
  <c r="R33" i="2"/>
  <c r="Y33" i="2"/>
  <c r="U34" i="2"/>
  <c r="R35" i="2"/>
  <c r="Y35" i="2"/>
  <c r="U36" i="2"/>
  <c r="R37" i="2"/>
  <c r="Y37" i="2"/>
  <c r="U38" i="2"/>
  <c r="R39" i="2"/>
  <c r="Y39" i="2"/>
  <c r="U40" i="2"/>
  <c r="R41" i="2"/>
  <c r="Y41" i="2"/>
  <c r="U42" i="2"/>
  <c r="T43" i="2"/>
  <c r="T44" i="2"/>
  <c r="T45" i="2"/>
  <c r="T47" i="2"/>
  <c r="T49" i="2"/>
  <c r="T51" i="2"/>
  <c r="T53" i="2"/>
  <c r="T55" i="2"/>
  <c r="T57" i="2"/>
  <c r="T59" i="2"/>
  <c r="R62" i="2"/>
  <c r="R66" i="2"/>
  <c r="R70" i="2"/>
  <c r="U74" i="2"/>
  <c r="U82" i="2"/>
  <c r="U90" i="2"/>
  <c r="U98" i="2"/>
  <c r="U106" i="2"/>
  <c r="U114" i="2"/>
  <c r="Y124" i="2"/>
  <c r="U135" i="2"/>
  <c r="R146" i="2"/>
  <c r="T5" i="2"/>
  <c r="Z5" i="2"/>
  <c r="W6" i="2"/>
  <c r="T7" i="2"/>
  <c r="Z7" i="2"/>
  <c r="W8" i="2"/>
  <c r="T9" i="2"/>
  <c r="Z9" i="2"/>
  <c r="W10" i="2"/>
  <c r="T11" i="2"/>
  <c r="Z11" i="2"/>
  <c r="W12" i="2"/>
  <c r="T13" i="2"/>
  <c r="Z13" i="2"/>
  <c r="W14" i="2"/>
  <c r="T15" i="2"/>
  <c r="Z15" i="2"/>
  <c r="W16" i="2"/>
  <c r="T17" i="2"/>
  <c r="Z17" i="2"/>
  <c r="W18" i="2"/>
  <c r="T19" i="2"/>
  <c r="Z19" i="2"/>
  <c r="W20" i="2"/>
  <c r="T21" i="2"/>
  <c r="Z21" i="2"/>
  <c r="W22" i="2"/>
  <c r="T23" i="2"/>
  <c r="Z23" i="2"/>
  <c r="W24" i="2"/>
  <c r="T25" i="2"/>
  <c r="Z25" i="2"/>
  <c r="W26" i="2"/>
  <c r="T27" i="2"/>
  <c r="Z27" i="2"/>
  <c r="W28" i="2"/>
  <c r="T29" i="2"/>
  <c r="Z29" i="2"/>
  <c r="W30" i="2"/>
  <c r="T31" i="2"/>
  <c r="Z31" i="2"/>
  <c r="W32" i="2"/>
  <c r="T33" i="2"/>
  <c r="Z33" i="2"/>
  <c r="W34" i="2"/>
  <c r="T35" i="2"/>
  <c r="Z35" i="2"/>
  <c r="W36" i="2"/>
  <c r="T37" i="2"/>
  <c r="Z37" i="2"/>
  <c r="W38" i="2"/>
  <c r="T39" i="2"/>
  <c r="Z39" i="2"/>
  <c r="W40" i="2"/>
  <c r="Z41" i="2"/>
  <c r="W42" i="2"/>
  <c r="W43" i="2"/>
  <c r="W44" i="2"/>
  <c r="Y45" i="2"/>
  <c r="Y47" i="2"/>
  <c r="Y49" i="2"/>
  <c r="Y51" i="2"/>
  <c r="Y53" i="2"/>
  <c r="Y55" i="2"/>
  <c r="Y57" i="2"/>
  <c r="Y59" i="2"/>
  <c r="R63" i="2"/>
  <c r="R67" i="2"/>
  <c r="R71" i="2"/>
  <c r="U76" i="2"/>
  <c r="U84" i="2"/>
  <c r="U92" i="2"/>
  <c r="U100" i="2"/>
  <c r="U108" i="2"/>
  <c r="Y116" i="2"/>
  <c r="U127" i="2"/>
  <c r="R138" i="2"/>
  <c r="Y154" i="2"/>
  <c r="Y153" i="2"/>
  <c r="Y152" i="2"/>
  <c r="Y151" i="2"/>
  <c r="Y150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149" i="2"/>
  <c r="Y147" i="2"/>
  <c r="Y145" i="2"/>
  <c r="Y143" i="2"/>
  <c r="Y141" i="2"/>
  <c r="Y139" i="2"/>
  <c r="Y137" i="2"/>
  <c r="Y135" i="2"/>
  <c r="Y133" i="2"/>
  <c r="Y131" i="2"/>
  <c r="Y129" i="2"/>
  <c r="Y127" i="2"/>
  <c r="Y125" i="2"/>
  <c r="Y123" i="2"/>
  <c r="Y121" i="2"/>
  <c r="Y119" i="2"/>
  <c r="Y117" i="2"/>
  <c r="Y115" i="2"/>
  <c r="Y146" i="2"/>
  <c r="Y138" i="2"/>
  <c r="Y130" i="2"/>
  <c r="Y122" i="2"/>
  <c r="Y142" i="2"/>
  <c r="Y134" i="2"/>
  <c r="Y126" i="2"/>
  <c r="Y118" i="2"/>
  <c r="Y144" i="2"/>
  <c r="Y136" i="2"/>
  <c r="Y128" i="2"/>
  <c r="Y120" i="2"/>
  <c r="Y6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54" i="2"/>
  <c r="X150" i="2"/>
  <c r="X151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152" i="2"/>
  <c r="X153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T154" i="2"/>
  <c r="T153" i="2"/>
  <c r="T152" i="2"/>
  <c r="T151" i="2"/>
  <c r="T149" i="2"/>
  <c r="T147" i="2"/>
  <c r="T145" i="2"/>
  <c r="T143" i="2"/>
  <c r="T141" i="2"/>
  <c r="T139" i="2"/>
  <c r="T137" i="2"/>
  <c r="T135" i="2"/>
  <c r="T133" i="2"/>
  <c r="T131" i="2"/>
  <c r="T129" i="2"/>
  <c r="T127" i="2"/>
  <c r="T125" i="2"/>
  <c r="T123" i="2"/>
  <c r="T121" i="2"/>
  <c r="T119" i="2"/>
  <c r="T117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150" i="2"/>
  <c r="T148" i="2"/>
  <c r="T146" i="2"/>
  <c r="T144" i="2"/>
  <c r="T142" i="2"/>
  <c r="T140" i="2"/>
  <c r="T138" i="2"/>
  <c r="T136" i="2"/>
  <c r="T134" i="2"/>
  <c r="T132" i="2"/>
  <c r="T130" i="2"/>
  <c r="T128" i="2"/>
  <c r="T126" i="2"/>
  <c r="T124" i="2"/>
  <c r="T122" i="2"/>
  <c r="T120" i="2"/>
  <c r="T118" i="2"/>
  <c r="T116" i="2"/>
  <c r="T60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52" i="2"/>
  <c r="S153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154" i="2"/>
  <c r="S151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V154" i="2"/>
  <c r="V150" i="2"/>
  <c r="V146" i="2"/>
  <c r="V142" i="2"/>
  <c r="V138" i="2"/>
  <c r="V134" i="2"/>
  <c r="V130" i="2"/>
  <c r="V126" i="2"/>
  <c r="V122" i="2"/>
  <c r="V118" i="2"/>
  <c r="V152" i="2"/>
  <c r="V147" i="2"/>
  <c r="V141" i="2"/>
  <c r="V136" i="2"/>
  <c r="V131" i="2"/>
  <c r="V125" i="2"/>
  <c r="V120" i="2"/>
  <c r="V115" i="2"/>
  <c r="V111" i="2"/>
  <c r="V107" i="2"/>
  <c r="V103" i="2"/>
  <c r="V99" i="2"/>
  <c r="V95" i="2"/>
  <c r="V91" i="2"/>
  <c r="V87" i="2"/>
  <c r="V83" i="2"/>
  <c r="V79" i="2"/>
  <c r="V75" i="2"/>
  <c r="V71" i="2"/>
  <c r="V67" i="2"/>
  <c r="V63" i="2"/>
  <c r="V59" i="2"/>
  <c r="V55" i="2"/>
  <c r="V51" i="2"/>
  <c r="V47" i="2"/>
  <c r="V43" i="2"/>
  <c r="V39" i="2"/>
  <c r="V35" i="2"/>
  <c r="V31" i="2"/>
  <c r="V27" i="2"/>
  <c r="V23" i="2"/>
  <c r="V19" i="2"/>
  <c r="V15" i="2"/>
  <c r="V11" i="2"/>
  <c r="V7" i="2"/>
  <c r="V151" i="2"/>
  <c r="V145" i="2"/>
  <c r="V140" i="2"/>
  <c r="V135" i="2"/>
  <c r="V129" i="2"/>
  <c r="V124" i="2"/>
  <c r="V119" i="2"/>
  <c r="V114" i="2"/>
  <c r="V110" i="2"/>
  <c r="V106" i="2"/>
  <c r="V102" i="2"/>
  <c r="V98" i="2"/>
  <c r="V94" i="2"/>
  <c r="V90" i="2"/>
  <c r="V86" i="2"/>
  <c r="V82" i="2"/>
  <c r="V78" i="2"/>
  <c r="V74" i="2"/>
  <c r="V70" i="2"/>
  <c r="V66" i="2"/>
  <c r="V62" i="2"/>
  <c r="V58" i="2"/>
  <c r="V54" i="2"/>
  <c r="V50" i="2"/>
  <c r="V46" i="2"/>
  <c r="V42" i="2"/>
  <c r="V38" i="2"/>
  <c r="V34" i="2"/>
  <c r="V30" i="2"/>
  <c r="V26" i="2"/>
  <c r="V22" i="2"/>
  <c r="V18" i="2"/>
  <c r="V149" i="2"/>
  <c r="V144" i="2"/>
  <c r="V139" i="2"/>
  <c r="V133" i="2"/>
  <c r="V128" i="2"/>
  <c r="V123" i="2"/>
  <c r="V117" i="2"/>
  <c r="V113" i="2"/>
  <c r="V109" i="2"/>
  <c r="V105" i="2"/>
  <c r="V101" i="2"/>
  <c r="V97" i="2"/>
  <c r="V93" i="2"/>
  <c r="V89" i="2"/>
  <c r="V85" i="2"/>
  <c r="V81" i="2"/>
  <c r="V77" i="2"/>
  <c r="V73" i="2"/>
  <c r="V69" i="2"/>
  <c r="V65" i="2"/>
  <c r="V61" i="2"/>
  <c r="V57" i="2"/>
  <c r="V53" i="2"/>
  <c r="V49" i="2"/>
  <c r="V45" i="2"/>
  <c r="V41" i="2"/>
  <c r="V37" i="2"/>
  <c r="V33" i="2"/>
  <c r="V29" i="2"/>
  <c r="V25" i="2"/>
  <c r="V21" i="2"/>
  <c r="V17" i="2"/>
  <c r="V13" i="2"/>
  <c r="V9" i="2"/>
  <c r="V5" i="2"/>
  <c r="V153" i="2"/>
  <c r="V132" i="2"/>
  <c r="V112" i="2"/>
  <c r="V96" i="2"/>
  <c r="V80" i="2"/>
  <c r="V64" i="2"/>
  <c r="V48" i="2"/>
  <c r="V32" i="2"/>
  <c r="V16" i="2"/>
  <c r="V8" i="2"/>
  <c r="V143" i="2"/>
  <c r="V121" i="2"/>
  <c r="V104" i="2"/>
  <c r="V88" i="2"/>
  <c r="V72" i="2"/>
  <c r="V56" i="2"/>
  <c r="V40" i="2"/>
  <c r="V24" i="2"/>
  <c r="V12" i="2"/>
  <c r="V137" i="2"/>
  <c r="V116" i="2"/>
  <c r="V100" i="2"/>
  <c r="V84" i="2"/>
  <c r="V68" i="2"/>
  <c r="V52" i="2"/>
  <c r="V36" i="2"/>
  <c r="V20" i="2"/>
  <c r="V10" i="2"/>
  <c r="V127" i="2"/>
  <c r="V60" i="2"/>
  <c r="V6" i="2"/>
  <c r="V108" i="2"/>
  <c r="V44" i="2"/>
  <c r="V92" i="2"/>
  <c r="V28" i="2"/>
  <c r="V148" i="2"/>
  <c r="V14" i="2"/>
  <c r="U5" i="2"/>
  <c r="R6" i="2"/>
  <c r="Y6" i="2"/>
  <c r="U7" i="2"/>
  <c r="R8" i="2"/>
  <c r="Y8" i="2"/>
  <c r="U9" i="2"/>
  <c r="R10" i="2"/>
  <c r="Y10" i="2"/>
  <c r="U11" i="2"/>
  <c r="R12" i="2"/>
  <c r="Y12" i="2"/>
  <c r="U13" i="2"/>
  <c r="R14" i="2"/>
  <c r="Y14" i="2"/>
  <c r="U15" i="2"/>
  <c r="R16" i="2"/>
  <c r="Y16" i="2"/>
  <c r="U17" i="2"/>
  <c r="R18" i="2"/>
  <c r="Y18" i="2"/>
  <c r="U19" i="2"/>
  <c r="R20" i="2"/>
  <c r="Y20" i="2"/>
  <c r="U21" i="2"/>
  <c r="R22" i="2"/>
  <c r="Y22" i="2"/>
  <c r="U23" i="2"/>
  <c r="R24" i="2"/>
  <c r="Y24" i="2"/>
  <c r="U25" i="2"/>
  <c r="R26" i="2"/>
  <c r="Y26" i="2"/>
  <c r="U27" i="2"/>
  <c r="R28" i="2"/>
  <c r="Y28" i="2"/>
  <c r="U29" i="2"/>
  <c r="R30" i="2"/>
  <c r="Y30" i="2"/>
  <c r="U31" i="2"/>
  <c r="R32" i="2"/>
  <c r="Y32" i="2"/>
  <c r="U33" i="2"/>
  <c r="R34" i="2"/>
  <c r="Y34" i="2"/>
  <c r="U35" i="2"/>
  <c r="R36" i="2"/>
  <c r="Y36" i="2"/>
  <c r="U37" i="2"/>
  <c r="R38" i="2"/>
  <c r="Y38" i="2"/>
  <c r="U39" i="2"/>
  <c r="R40" i="2"/>
  <c r="Y40" i="2"/>
  <c r="U41" i="2"/>
  <c r="R42" i="2"/>
  <c r="Y42" i="2"/>
  <c r="Y43" i="2"/>
  <c r="Y44" i="2"/>
  <c r="T46" i="2"/>
  <c r="T48" i="2"/>
  <c r="T50" i="2"/>
  <c r="T52" i="2"/>
  <c r="T54" i="2"/>
  <c r="T56" i="2"/>
  <c r="T58" i="2"/>
  <c r="U60" i="2"/>
  <c r="R64" i="2"/>
  <c r="R68" i="2"/>
  <c r="R72" i="2"/>
  <c r="U78" i="2"/>
  <c r="U86" i="2"/>
  <c r="U94" i="2"/>
  <c r="U102" i="2"/>
  <c r="U110" i="2"/>
  <c r="U119" i="2"/>
  <c r="R130" i="2"/>
  <c r="Y140" i="2"/>
  <c r="U152" i="2"/>
  <c r="AA7" i="2"/>
  <c r="AB9" i="2"/>
  <c r="AB12" i="2"/>
  <c r="AA15" i="2"/>
  <c r="AB17" i="2"/>
  <c r="AB20" i="2"/>
  <c r="AA23" i="2"/>
  <c r="AB25" i="2"/>
  <c r="AB28" i="2"/>
  <c r="AA31" i="2"/>
  <c r="AB33" i="2"/>
  <c r="AB36" i="2"/>
  <c r="AA39" i="2"/>
  <c r="AB41" i="2"/>
  <c r="AB44" i="2"/>
  <c r="AA47" i="2"/>
  <c r="AB49" i="2"/>
  <c r="AB52" i="2"/>
  <c r="AA55" i="2"/>
  <c r="AB57" i="2"/>
  <c r="AB60" i="2"/>
  <c r="AA63" i="2"/>
  <c r="AA69" i="2"/>
  <c r="AA73" i="2"/>
  <c r="AA77" i="2"/>
  <c r="AA81" i="2"/>
  <c r="AA85" i="2"/>
  <c r="AA89" i="2"/>
  <c r="AA93" i="2"/>
  <c r="AA97" i="2"/>
  <c r="AA101" i="2"/>
  <c r="AA105" i="2"/>
  <c r="AA109" i="2"/>
  <c r="AA117" i="2"/>
  <c r="AA125" i="2"/>
  <c r="AA133" i="2"/>
  <c r="AA141" i="2"/>
  <c r="AA154" i="2"/>
  <c r="AA152" i="2"/>
  <c r="AA150" i="2"/>
  <c r="AA148" i="2"/>
  <c r="AA146" i="2"/>
  <c r="AA144" i="2"/>
  <c r="AA142" i="2"/>
  <c r="AA140" i="2"/>
  <c r="AA138" i="2"/>
  <c r="AA136" i="2"/>
  <c r="AA134" i="2"/>
  <c r="AA132" i="2"/>
  <c r="AA130" i="2"/>
  <c r="AA128" i="2"/>
  <c r="AA126" i="2"/>
  <c r="AA124" i="2"/>
  <c r="AA122" i="2"/>
  <c r="AA120" i="2"/>
  <c r="AA118" i="2"/>
  <c r="AA116" i="2"/>
  <c r="AA114" i="2"/>
  <c r="AA112" i="2"/>
  <c r="AA110" i="2"/>
  <c r="AA108" i="2"/>
  <c r="AA106" i="2"/>
  <c r="AA104" i="2"/>
  <c r="AA102" i="2"/>
  <c r="AA100" i="2"/>
  <c r="AA98" i="2"/>
  <c r="AA96" i="2"/>
  <c r="AA94" i="2"/>
  <c r="AA92" i="2"/>
  <c r="AA90" i="2"/>
  <c r="AA88" i="2"/>
  <c r="AA86" i="2"/>
  <c r="AA84" i="2"/>
  <c r="AA82" i="2"/>
  <c r="AA80" i="2"/>
  <c r="AA78" i="2"/>
  <c r="AA76" i="2"/>
  <c r="AA74" i="2"/>
  <c r="AA72" i="2"/>
  <c r="AA70" i="2"/>
  <c r="AA68" i="2"/>
  <c r="AA66" i="2"/>
  <c r="AA64" i="2"/>
  <c r="AA62" i="2"/>
  <c r="AA60" i="2"/>
  <c r="AA58" i="2"/>
  <c r="AA56" i="2"/>
  <c r="AA54" i="2"/>
  <c r="AA52" i="2"/>
  <c r="AA50" i="2"/>
  <c r="AA48" i="2"/>
  <c r="AA46" i="2"/>
  <c r="AA44" i="2"/>
  <c r="AA42" i="2"/>
  <c r="AA40" i="2"/>
  <c r="AA38" i="2"/>
  <c r="AA36" i="2"/>
  <c r="AA34" i="2"/>
  <c r="AA32" i="2"/>
  <c r="AA30" i="2"/>
  <c r="AA28" i="2"/>
  <c r="AA26" i="2"/>
  <c r="AA24" i="2"/>
  <c r="AA22" i="2"/>
  <c r="AA20" i="2"/>
  <c r="AA18" i="2"/>
  <c r="AA16" i="2"/>
  <c r="AA14" i="2"/>
  <c r="AA12" i="2"/>
  <c r="AA10" i="2"/>
  <c r="AA8" i="2"/>
  <c r="AA6" i="2"/>
  <c r="AA13" i="2"/>
  <c r="AA21" i="2"/>
  <c r="AA29" i="2"/>
  <c r="AA37" i="2"/>
  <c r="AA45" i="2"/>
  <c r="AA53" i="2"/>
  <c r="AA61" i="2"/>
  <c r="AA111" i="2"/>
  <c r="AA119" i="2"/>
  <c r="AA127" i="2"/>
  <c r="AA135" i="2"/>
  <c r="AA143" i="2"/>
  <c r="AA151" i="2"/>
  <c r="AB153" i="2"/>
  <c r="AB151" i="2"/>
  <c r="AB149" i="2"/>
  <c r="AB147" i="2"/>
  <c r="AB145" i="2"/>
  <c r="AB143" i="2"/>
  <c r="AB141" i="2"/>
  <c r="AB139" i="2"/>
  <c r="AB137" i="2"/>
  <c r="AB135" i="2"/>
  <c r="AB133" i="2"/>
  <c r="AB131" i="2"/>
  <c r="AB129" i="2"/>
  <c r="AB127" i="2"/>
  <c r="AB125" i="2"/>
  <c r="AB123" i="2"/>
  <c r="AB121" i="2"/>
  <c r="AB119" i="2"/>
  <c r="AB117" i="2"/>
  <c r="AB115" i="2"/>
  <c r="AB113" i="2"/>
  <c r="AB111" i="2"/>
  <c r="AB109" i="2"/>
  <c r="AB107" i="2"/>
  <c r="AB105" i="2"/>
  <c r="AB103" i="2"/>
  <c r="AB101" i="2"/>
  <c r="AB99" i="2"/>
  <c r="AB97" i="2"/>
  <c r="AB95" i="2"/>
  <c r="AB93" i="2"/>
  <c r="AB91" i="2"/>
  <c r="AB89" i="2"/>
  <c r="AB87" i="2"/>
  <c r="AB85" i="2"/>
  <c r="AB83" i="2"/>
  <c r="AB81" i="2"/>
  <c r="AB79" i="2"/>
  <c r="AB77" i="2"/>
  <c r="AB75" i="2"/>
  <c r="AB73" i="2"/>
  <c r="AB71" i="2"/>
  <c r="AB69" i="2"/>
  <c r="AB67" i="2"/>
  <c r="AB154" i="2"/>
  <c r="AB152" i="2"/>
  <c r="AB150" i="2"/>
  <c r="AB148" i="2"/>
  <c r="AB146" i="2"/>
  <c r="AB144" i="2"/>
  <c r="AB142" i="2"/>
  <c r="AB140" i="2"/>
  <c r="AB138" i="2"/>
  <c r="AB136" i="2"/>
  <c r="AB134" i="2"/>
  <c r="AB132" i="2"/>
  <c r="AB130" i="2"/>
  <c r="AB128" i="2"/>
  <c r="AB126" i="2"/>
  <c r="AB124" i="2"/>
  <c r="AB122" i="2"/>
  <c r="AB120" i="2"/>
  <c r="AB118" i="2"/>
  <c r="AB116" i="2"/>
  <c r="AB114" i="2"/>
  <c r="AB112" i="2"/>
  <c r="AB110" i="2"/>
  <c r="AB8" i="2"/>
  <c r="AA11" i="2"/>
  <c r="AB13" i="2"/>
  <c r="AB16" i="2"/>
  <c r="AA19" i="2"/>
  <c r="AB21" i="2"/>
  <c r="AB24" i="2"/>
  <c r="AA27" i="2"/>
  <c r="AB29" i="2"/>
  <c r="AB32" i="2"/>
  <c r="AA35" i="2"/>
  <c r="AB37" i="2"/>
  <c r="AB40" i="2"/>
  <c r="AA43" i="2"/>
  <c r="AB45" i="2"/>
  <c r="AB48" i="2"/>
  <c r="AA51" i="2"/>
  <c r="AB53" i="2"/>
  <c r="AB56" i="2"/>
  <c r="AA59" i="2"/>
  <c r="AB61" i="2"/>
  <c r="AB64" i="2"/>
  <c r="AA67" i="2"/>
  <c r="AA71" i="2"/>
  <c r="AA75" i="2"/>
  <c r="AA79" i="2"/>
  <c r="AA83" i="2"/>
  <c r="AA87" i="2"/>
  <c r="AA91" i="2"/>
  <c r="AA95" i="2"/>
  <c r="AA99" i="2"/>
  <c r="AA103" i="2"/>
  <c r="AA107" i="2"/>
  <c r="AA113" i="2"/>
  <c r="AA121" i="2"/>
  <c r="AA129" i="2"/>
  <c r="AA137" i="2"/>
  <c r="AA145" i="2"/>
  <c r="AA153" i="2"/>
  <c r="R18" i="1" l="1"/>
  <c r="P18" i="1"/>
  <c r="O21" i="1"/>
  <c r="O23" i="1" s="1"/>
  <c r="L18" i="1"/>
  <c r="Q18" i="1"/>
  <c r="M18" i="1"/>
  <c r="O18" i="1"/>
  <c r="Q19" i="1"/>
  <c r="Q17" i="1"/>
  <c r="Q21" i="1"/>
  <c r="Q23" i="1" s="1"/>
  <c r="O19" i="1"/>
  <c r="O20" i="1" s="1"/>
  <c r="M19" i="1"/>
  <c r="M17" i="1"/>
  <c r="M21" i="1"/>
  <c r="M23" i="1" s="1"/>
  <c r="N19" i="1"/>
  <c r="N17" i="1"/>
  <c r="N21" i="1"/>
  <c r="N23" i="1" s="1"/>
  <c r="K17" i="1"/>
  <c r="K21" i="1"/>
  <c r="K23" i="1" s="1"/>
  <c r="K19" i="1"/>
  <c r="R19" i="1"/>
  <c r="R20" i="1" s="1"/>
  <c r="R17" i="1"/>
  <c r="R21" i="1"/>
  <c r="R23" i="1" s="1"/>
  <c r="J18" i="1"/>
  <c r="J19" i="1"/>
  <c r="J17" i="1"/>
  <c r="J21" i="1"/>
  <c r="J23" i="1" s="1"/>
  <c r="N18" i="1"/>
  <c r="K18" i="1"/>
  <c r="P17" i="1"/>
  <c r="P21" i="1"/>
  <c r="P23" i="1" s="1"/>
  <c r="P19" i="1"/>
  <c r="L17" i="1"/>
  <c r="L21" i="1"/>
  <c r="L23" i="1" s="1"/>
  <c r="L19" i="1"/>
  <c r="O17" i="1"/>
  <c r="Q46" i="1" l="1"/>
  <c r="P20" i="1"/>
  <c r="L20" i="1"/>
  <c r="P25" i="1"/>
  <c r="J25" i="1"/>
  <c r="R25" i="1"/>
  <c r="K25" i="1"/>
  <c r="N25" i="1"/>
  <c r="O24" i="1"/>
  <c r="Q24" i="1"/>
  <c r="Q20" i="1"/>
  <c r="L24" i="1"/>
  <c r="M24" i="1"/>
  <c r="J20" i="1"/>
  <c r="M20" i="1"/>
  <c r="N20" i="1"/>
  <c r="K20" i="1"/>
  <c r="N24" i="1"/>
  <c r="L25" i="1"/>
  <c r="P24" i="1"/>
  <c r="P32" i="1" s="1"/>
  <c r="J24" i="1"/>
  <c r="J32" i="1" s="1"/>
  <c r="R24" i="1"/>
  <c r="R32" i="1" s="1"/>
  <c r="K24" i="1"/>
  <c r="K32" i="1" s="1"/>
  <c r="M25" i="1"/>
  <c r="Q25" i="1"/>
  <c r="O25" i="1"/>
  <c r="N46" i="1" l="1"/>
  <c r="J46" i="1"/>
  <c r="O32" i="1"/>
  <c r="N32" i="1"/>
  <c r="Q32" i="1"/>
  <c r="L32" i="1"/>
  <c r="M32" i="1"/>
</calcChain>
</file>

<file path=xl/sharedStrings.xml><?xml version="1.0" encoding="utf-8"?>
<sst xmlns="http://schemas.openxmlformats.org/spreadsheetml/2006/main" count="127" uniqueCount="94">
  <si>
    <t>1.1 Identification de l'enceinte à cartographier</t>
  </si>
  <si>
    <t>Désignation:</t>
  </si>
  <si>
    <t>Réfrigérateur</t>
  </si>
  <si>
    <t>Marque:</t>
  </si>
  <si>
    <t>Liebherr</t>
  </si>
  <si>
    <t>N° Inventaire:</t>
  </si>
  <si>
    <t>N° Série:</t>
  </si>
  <si>
    <t>Date de la vérification:</t>
  </si>
  <si>
    <t>Modèle:</t>
  </si>
  <si>
    <t>LKUV 1610</t>
  </si>
  <si>
    <t>Heure de la vérification:</t>
  </si>
  <si>
    <t>Intervenant:</t>
  </si>
  <si>
    <t>BM</t>
  </si>
  <si>
    <t>1.2 Objet de la caractérisation</t>
  </si>
  <si>
    <t>Température cible:</t>
  </si>
  <si>
    <t>EMT:</t>
  </si>
  <si>
    <t>Réglage:</t>
  </si>
  <si>
    <t>1.3 Sondes de mesures</t>
  </si>
  <si>
    <t>Chaine de mesure utilisée:</t>
  </si>
  <si>
    <t>ICL OTR2</t>
  </si>
  <si>
    <t>N° du certificat d'étalonnage:</t>
  </si>
  <si>
    <t>Erreurs de justesse et incertitudes des sondes de la chaine de mesure à la température cible</t>
  </si>
  <si>
    <t>° C</t>
  </si>
  <si>
    <t>E</t>
  </si>
  <si>
    <t>U</t>
  </si>
  <si>
    <t>MIL</t>
  </si>
  <si>
    <t>HGAV</t>
  </si>
  <si>
    <t>HGAR</t>
  </si>
  <si>
    <t>HDAV</t>
  </si>
  <si>
    <t>HDAR</t>
  </si>
  <si>
    <t>BGAV</t>
  </si>
  <si>
    <t>BGAR</t>
  </si>
  <si>
    <t>BDAV</t>
  </si>
  <si>
    <t>BDAR</t>
  </si>
  <si>
    <t>Température ambiante corrigée:</t>
  </si>
  <si>
    <t>Placement des sondes</t>
  </si>
  <si>
    <t>Référence chaine d'étalonnage:</t>
  </si>
  <si>
    <t>Ambiant</t>
  </si>
  <si>
    <t>Date</t>
  </si>
  <si>
    <t>Heure</t>
  </si>
  <si>
    <t>Milieu/ (°C)</t>
  </si>
  <si>
    <t>HGAV/ (°C)</t>
  </si>
  <si>
    <t>HGAR/ (°C)</t>
  </si>
  <si>
    <t>HDAV/ (°C)</t>
  </si>
  <si>
    <t>HDAR/ (°C)</t>
  </si>
  <si>
    <t>BGAV/ (°C)</t>
  </si>
  <si>
    <t>BGAR/ (°C)</t>
  </si>
  <si>
    <t>BDAV/ (°C)</t>
  </si>
  <si>
    <t>BDAR/ (°C)</t>
  </si>
  <si>
    <t>Min</t>
  </si>
  <si>
    <t>Max</t>
  </si>
  <si>
    <t>N° de Mesure</t>
  </si>
  <si>
    <t>°C</t>
  </si>
  <si>
    <t>Relevés de PLXDAQ:  150 mesures  en régime établi avec un intervalle d'une minute</t>
  </si>
  <si>
    <t>HGAR/(°C)</t>
  </si>
  <si>
    <t>MIL/ (°C)</t>
  </si>
  <si>
    <t>1. Conditions de mesure</t>
  </si>
  <si>
    <t>2. Courbes des températures</t>
  </si>
  <si>
    <t>3. Incertitudes</t>
  </si>
  <si>
    <t>Sondes</t>
  </si>
  <si>
    <t>Moyenne</t>
  </si>
  <si>
    <t>Minimum</t>
  </si>
  <si>
    <t>Maximum</t>
  </si>
  <si>
    <t>Stabilité</t>
  </si>
  <si>
    <t>Ecart-type</t>
  </si>
  <si>
    <t>Moyenne-U</t>
  </si>
  <si>
    <t>Moyenne+U</t>
  </si>
  <si>
    <t>u sondes</t>
  </si>
  <si>
    <t>4. Conformités</t>
  </si>
  <si>
    <t>%HR</t>
  </si>
  <si>
    <t>T° Amb</t>
  </si>
  <si>
    <t>EMT</t>
  </si>
  <si>
    <t>Tol sup</t>
  </si>
  <si>
    <t>Tol inf</t>
  </si>
  <si>
    <t>Conformité</t>
  </si>
  <si>
    <t xml:space="preserve">                Date de l'étalonnage:</t>
  </si>
  <si>
    <t>U mesure</t>
  </si>
  <si>
    <t xml:space="preserve">                 Vérification d'homogénéité en température d'une enceinte thermique</t>
  </si>
  <si>
    <t>Tiroirs</t>
  </si>
  <si>
    <t xml:space="preserve">                     Etagères</t>
  </si>
  <si>
    <t>Etagères</t>
  </si>
  <si>
    <t>Humidité ambiante</t>
  </si>
  <si>
    <t>%</t>
  </si>
  <si>
    <t>E18LM2664</t>
  </si>
  <si>
    <t>1.4 Conditions de réalisation</t>
  </si>
  <si>
    <t>Stabilité:</t>
  </si>
  <si>
    <t>Homogénéité:</t>
  </si>
  <si>
    <t>Ecart:</t>
  </si>
  <si>
    <t>Décision de conformité:</t>
  </si>
  <si>
    <t>Par:</t>
  </si>
  <si>
    <t>Date:</t>
  </si>
  <si>
    <t>Signature:</t>
  </si>
  <si>
    <t>Spy RF Référence 09883 NS A82765 + PT100 00968 NS JU145300053</t>
  </si>
  <si>
    <t>82.177.254.4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</si>
</sst>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9"/>
      <color theme="1" tint="0.1499984740745262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1"/>
      <color theme="1" tint="0.1499984740745262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/>
    <xf numFmtId="0" fontId="3" fillId="0" borderId="0" xfId="0" applyFont="1"/>
    <xf numFmtId="0" fontId="4" fillId="0" borderId="0" xfId="0" applyFont="1"/>
    <xf numFmtId="49" fontId="4" fillId="0" borderId="2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Alignment="1" applyProtection="1">
      <alignment horizontal="center"/>
      <protection locked="0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4" fillId="3" borderId="6" xfId="0" applyFont="1" applyFill="1" applyBorder="1" applyProtection="1">
      <protection locked="0"/>
    </xf>
    <xf numFmtId="0" fontId="4" fillId="3" borderId="6" xfId="0" applyFont="1" applyFill="1" applyBorder="1"/>
    <xf numFmtId="2" fontId="4" fillId="0" borderId="6" xfId="0" applyNumberFormat="1" applyFont="1" applyBorder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11" fillId="0" borderId="0" xfId="0" applyFont="1" applyAlignment="1"/>
    <xf numFmtId="0" fontId="3" fillId="4" borderId="0" xfId="0" applyFont="1" applyFill="1" applyAlignment="1">
      <alignment horizontal="left"/>
    </xf>
    <xf numFmtId="14" fontId="3" fillId="4" borderId="0" xfId="0" applyNumberFormat="1" applyFont="1" applyFill="1" applyAlignment="1">
      <alignment horizontal="left"/>
    </xf>
    <xf numFmtId="20" fontId="3" fillId="4" borderId="0" xfId="0" applyNumberFormat="1" applyFont="1" applyFill="1" applyAlignment="1">
      <alignment horizontal="left"/>
    </xf>
    <xf numFmtId="0" fontId="3" fillId="4" borderId="0" xfId="0" applyFont="1" applyFill="1"/>
    <xf numFmtId="0" fontId="3" fillId="4" borderId="0" xfId="0" applyFont="1" applyFill="1" applyAlignment="1">
      <alignment horizontal="right"/>
    </xf>
    <xf numFmtId="2" fontId="10" fillId="4" borderId="4" xfId="0" applyNumberFormat="1" applyFont="1" applyFill="1" applyBorder="1"/>
    <xf numFmtId="2" fontId="10" fillId="4" borderId="3" xfId="0" applyNumberFormat="1" applyFont="1" applyFill="1" applyBorder="1"/>
    <xf numFmtId="2" fontId="10" fillId="4" borderId="6" xfId="0" applyNumberFormat="1" applyFont="1" applyFill="1" applyBorder="1"/>
    <xf numFmtId="0" fontId="5" fillId="5" borderId="2" xfId="0" applyFont="1" applyFill="1" applyBorder="1" applyAlignment="1">
      <alignment horizontal="center"/>
    </xf>
    <xf numFmtId="0" fontId="4" fillId="5" borderId="0" xfId="0" applyFont="1" applyFill="1"/>
    <xf numFmtId="0" fontId="5" fillId="5" borderId="2" xfId="1" applyFont="1" applyFill="1" applyBorder="1" applyAlignment="1">
      <alignment horizontal="center"/>
    </xf>
    <xf numFmtId="0" fontId="5" fillId="5" borderId="5" xfId="1" applyFont="1" applyFill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14" fontId="4" fillId="4" borderId="0" xfId="0" applyNumberFormat="1" applyFont="1" applyFill="1"/>
    <xf numFmtId="0" fontId="9" fillId="4" borderId="0" xfId="0" applyFont="1" applyFill="1"/>
    <xf numFmtId="0" fontId="7" fillId="5" borderId="0" xfId="0" applyFont="1" applyFill="1" applyBorder="1"/>
    <xf numFmtId="0" fontId="13" fillId="0" borderId="0" xfId="0" applyFont="1"/>
    <xf numFmtId="2" fontId="12" fillId="0" borderId="0" xfId="0" applyNumberFormat="1" applyFont="1"/>
    <xf numFmtId="14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10" fillId="0" borderId="6" xfId="0" applyFont="1" applyBorder="1" applyAlignment="1">
      <alignment horizontal="center"/>
    </xf>
    <xf numFmtId="2" fontId="4" fillId="5" borderId="0" xfId="0" applyNumberFormat="1" applyFont="1" applyFill="1"/>
    <xf numFmtId="14" fontId="0" fillId="4" borderId="0" xfId="0" applyNumberFormat="1" applyFill="1" applyAlignment="1">
      <alignment horizontal="center"/>
    </xf>
    <xf numFmtId="19" fontId="0" fillId="4" borderId="0" xfId="0" applyNumberFormat="1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6" fillId="0" borderId="0" xfId="0" applyFont="1" applyBorder="1" applyAlignment="1">
      <alignment horizontal="left" wrapText="1"/>
    </xf>
    <xf numFmtId="0" fontId="8" fillId="0" borderId="0" xfId="0" applyFont="1" applyBorder="1" applyAlignment="1"/>
    <xf numFmtId="0" fontId="0" fillId="0" borderId="0" xfId="0" applyAlignment="1"/>
    <xf numFmtId="0" fontId="3" fillId="4" borderId="0" xfId="0" applyFont="1" applyFill="1" applyAlignment="1"/>
  </cellXfs>
  <cellStyles count="2">
    <cellStyle name="Normal" xfId="0" builtinId="0"/>
    <cellStyle name="Vérification" xfId="1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'2. Calculs'!$R$4</c:f>
              <c:strCache>
                <c:ptCount val="1"/>
                <c:pt idx="0">
                  <c:v>HGAV/ (°C)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'2. Calculs'!$C$5:$C$154</c:f>
              <c:numCache>
                <c:formatCode>h:mm:ss\ AM/PM</c:formatCode>
                <c:ptCount val="150"/>
                <c:pt idx="0">
                  <c:v>0.51620370370370372</c:v>
                </c:pt>
                <c:pt idx="1">
                  <c:v>0.51689814814814816</c:v>
                </c:pt>
                <c:pt idx="2">
                  <c:v>0.5175925925925926</c:v>
                </c:pt>
                <c:pt idx="3">
                  <c:v>0.51828703703703705</c:v>
                </c:pt>
                <c:pt idx="4">
                  <c:v>0.51898148148148149</c:v>
                </c:pt>
                <c:pt idx="5">
                  <c:v>0.51967592592592593</c:v>
                </c:pt>
                <c:pt idx="6">
                  <c:v>0.52037037037037037</c:v>
                </c:pt>
                <c:pt idx="7">
                  <c:v>0.52106481481481481</c:v>
                </c:pt>
                <c:pt idx="8">
                  <c:v>0.52175925925925926</c:v>
                </c:pt>
                <c:pt idx="9">
                  <c:v>0.5224537037037037</c:v>
                </c:pt>
                <c:pt idx="10">
                  <c:v>0.52314814814814814</c:v>
                </c:pt>
                <c:pt idx="11">
                  <c:v>0.52384259259259258</c:v>
                </c:pt>
                <c:pt idx="12">
                  <c:v>0.52453703703703702</c:v>
                </c:pt>
                <c:pt idx="13">
                  <c:v>0.52523148148148147</c:v>
                </c:pt>
                <c:pt idx="14">
                  <c:v>0.52592592592592591</c:v>
                </c:pt>
                <c:pt idx="15">
                  <c:v>0.52662037037037035</c:v>
                </c:pt>
                <c:pt idx="16">
                  <c:v>0.52731481481481479</c:v>
                </c:pt>
                <c:pt idx="17">
                  <c:v>0.52800925925925923</c:v>
                </c:pt>
                <c:pt idx="18">
                  <c:v>0.52870370370370368</c:v>
                </c:pt>
                <c:pt idx="19">
                  <c:v>0.52939814814814812</c:v>
                </c:pt>
                <c:pt idx="20">
                  <c:v>0.53009259259259256</c:v>
                </c:pt>
                <c:pt idx="21">
                  <c:v>0.530787037037037</c:v>
                </c:pt>
                <c:pt idx="22">
                  <c:v>0.53148148148148155</c:v>
                </c:pt>
                <c:pt idx="23">
                  <c:v>0.53217592592592589</c:v>
                </c:pt>
                <c:pt idx="24">
                  <c:v>0.53287037037037044</c:v>
                </c:pt>
                <c:pt idx="25">
                  <c:v>0.53356481481481477</c:v>
                </c:pt>
                <c:pt idx="26">
                  <c:v>0.53425925925925932</c:v>
                </c:pt>
                <c:pt idx="27">
                  <c:v>0.53495370370370365</c:v>
                </c:pt>
                <c:pt idx="28">
                  <c:v>0.53564814814814821</c:v>
                </c:pt>
                <c:pt idx="29">
                  <c:v>0.53634259259259254</c:v>
                </c:pt>
                <c:pt idx="30">
                  <c:v>0.53703703703703709</c:v>
                </c:pt>
                <c:pt idx="31">
                  <c:v>0.53773148148148142</c:v>
                </c:pt>
                <c:pt idx="32">
                  <c:v>0.53842592592592597</c:v>
                </c:pt>
                <c:pt idx="33">
                  <c:v>0.53912037037037031</c:v>
                </c:pt>
                <c:pt idx="34">
                  <c:v>0.53981481481481486</c:v>
                </c:pt>
                <c:pt idx="35">
                  <c:v>0.54050925925925919</c:v>
                </c:pt>
                <c:pt idx="36">
                  <c:v>0.54120370370370374</c:v>
                </c:pt>
                <c:pt idx="37">
                  <c:v>0.54189814814814818</c:v>
                </c:pt>
                <c:pt idx="38">
                  <c:v>0.54259259259259263</c:v>
                </c:pt>
                <c:pt idx="39">
                  <c:v>0.54328703703703707</c:v>
                </c:pt>
                <c:pt idx="40">
                  <c:v>0.54398148148148151</c:v>
                </c:pt>
                <c:pt idx="41">
                  <c:v>0.54467592592592595</c:v>
                </c:pt>
                <c:pt idx="42">
                  <c:v>0.54537037037037039</c:v>
                </c:pt>
                <c:pt idx="43">
                  <c:v>0.54606481481481484</c:v>
                </c:pt>
                <c:pt idx="44">
                  <c:v>0.54675925925925928</c:v>
                </c:pt>
                <c:pt idx="45">
                  <c:v>0.54745370370370372</c:v>
                </c:pt>
                <c:pt idx="46">
                  <c:v>0.54814814814814816</c:v>
                </c:pt>
                <c:pt idx="47">
                  <c:v>0.5488425925925926</c:v>
                </c:pt>
                <c:pt idx="48">
                  <c:v>0.54953703703703705</c:v>
                </c:pt>
                <c:pt idx="49">
                  <c:v>0.55023148148148149</c:v>
                </c:pt>
                <c:pt idx="50">
                  <c:v>0.55092592592592593</c:v>
                </c:pt>
                <c:pt idx="51">
                  <c:v>0.55162037037037037</c:v>
                </c:pt>
                <c:pt idx="52">
                  <c:v>0.55231481481481481</c:v>
                </c:pt>
                <c:pt idx="53">
                  <c:v>0.55300925925925926</c:v>
                </c:pt>
                <c:pt idx="54">
                  <c:v>0.5537037037037037</c:v>
                </c:pt>
                <c:pt idx="55">
                  <c:v>0.55439814814814814</c:v>
                </c:pt>
                <c:pt idx="56">
                  <c:v>0.55509259259259258</c:v>
                </c:pt>
                <c:pt idx="57">
                  <c:v>0.55578703703703702</c:v>
                </c:pt>
                <c:pt idx="58">
                  <c:v>0.55648148148148147</c:v>
                </c:pt>
                <c:pt idx="59">
                  <c:v>0.55717592592592591</c:v>
                </c:pt>
                <c:pt idx="60">
                  <c:v>0.55787037037037035</c:v>
                </c:pt>
                <c:pt idx="61">
                  <c:v>0.55856481481481479</c:v>
                </c:pt>
                <c:pt idx="62">
                  <c:v>0.55925925925925923</c:v>
                </c:pt>
                <c:pt idx="63">
                  <c:v>0.55995370370370368</c:v>
                </c:pt>
                <c:pt idx="64">
                  <c:v>0.56064814814814812</c:v>
                </c:pt>
                <c:pt idx="65">
                  <c:v>0.56134259259259256</c:v>
                </c:pt>
                <c:pt idx="66">
                  <c:v>0.562037037037037</c:v>
                </c:pt>
                <c:pt idx="67">
                  <c:v>0.56273148148148155</c:v>
                </c:pt>
                <c:pt idx="68">
                  <c:v>0.56342592592592589</c:v>
                </c:pt>
                <c:pt idx="69">
                  <c:v>0.56412037037037044</c:v>
                </c:pt>
                <c:pt idx="70">
                  <c:v>0.56481481481481477</c:v>
                </c:pt>
                <c:pt idx="71">
                  <c:v>0.56550925925925932</c:v>
                </c:pt>
                <c:pt idx="72">
                  <c:v>0.56620370370370365</c:v>
                </c:pt>
                <c:pt idx="73">
                  <c:v>0.56689814814814821</c:v>
                </c:pt>
                <c:pt idx="74">
                  <c:v>0.56759259259259254</c:v>
                </c:pt>
                <c:pt idx="75">
                  <c:v>0.56828703703703709</c:v>
                </c:pt>
                <c:pt idx="76">
                  <c:v>0.56898148148148142</c:v>
                </c:pt>
                <c:pt idx="77">
                  <c:v>0.56967592592592597</c:v>
                </c:pt>
                <c:pt idx="78">
                  <c:v>0.57037037037037031</c:v>
                </c:pt>
                <c:pt idx="79">
                  <c:v>0.57106481481481486</c:v>
                </c:pt>
                <c:pt idx="80">
                  <c:v>0.57175925925925919</c:v>
                </c:pt>
                <c:pt idx="81">
                  <c:v>0.57245370370370374</c:v>
                </c:pt>
                <c:pt idx="82">
                  <c:v>0.57314814814814818</c:v>
                </c:pt>
                <c:pt idx="83">
                  <c:v>0.57384259259259263</c:v>
                </c:pt>
                <c:pt idx="84">
                  <c:v>0.57453703703703707</c:v>
                </c:pt>
                <c:pt idx="85">
                  <c:v>0.57523148148148151</c:v>
                </c:pt>
                <c:pt idx="86">
                  <c:v>0.57592592592592595</c:v>
                </c:pt>
                <c:pt idx="87">
                  <c:v>0.57662037037037039</c:v>
                </c:pt>
                <c:pt idx="88">
                  <c:v>0.57731481481481484</c:v>
                </c:pt>
                <c:pt idx="89">
                  <c:v>0.57800925925925928</c:v>
                </c:pt>
                <c:pt idx="90">
                  <c:v>0.57870370370370372</c:v>
                </c:pt>
                <c:pt idx="91">
                  <c:v>0.57938657407407412</c:v>
                </c:pt>
                <c:pt idx="92">
                  <c:v>0.5800925925925926</c:v>
                </c:pt>
                <c:pt idx="93">
                  <c:v>0.58078703703703705</c:v>
                </c:pt>
                <c:pt idx="94">
                  <c:v>0.58148148148148149</c:v>
                </c:pt>
                <c:pt idx="95">
                  <c:v>0.58217592592592593</c:v>
                </c:pt>
                <c:pt idx="96">
                  <c:v>0.58287037037037037</c:v>
                </c:pt>
                <c:pt idx="97">
                  <c:v>0.58356481481481481</c:v>
                </c:pt>
                <c:pt idx="98">
                  <c:v>0.58425925925925926</c:v>
                </c:pt>
                <c:pt idx="99">
                  <c:v>0.5849537037037037</c:v>
                </c:pt>
                <c:pt idx="100">
                  <c:v>0.58564814814814814</c:v>
                </c:pt>
                <c:pt idx="101">
                  <c:v>0.58634259259259258</c:v>
                </c:pt>
                <c:pt idx="102">
                  <c:v>0.58703703703703702</c:v>
                </c:pt>
                <c:pt idx="103">
                  <c:v>0.58773148148148147</c:v>
                </c:pt>
                <c:pt idx="104">
                  <c:v>0.58842592592592591</c:v>
                </c:pt>
                <c:pt idx="105">
                  <c:v>0.58912037037037035</c:v>
                </c:pt>
                <c:pt idx="106">
                  <c:v>0.58980324074074075</c:v>
                </c:pt>
                <c:pt idx="107">
                  <c:v>0.59050925925925923</c:v>
                </c:pt>
                <c:pt idx="108">
                  <c:v>0.59119212962962964</c:v>
                </c:pt>
                <c:pt idx="109">
                  <c:v>0.59189814814814812</c:v>
                </c:pt>
                <c:pt idx="110">
                  <c:v>0.59259259259259256</c:v>
                </c:pt>
                <c:pt idx="111">
                  <c:v>0.59327546296296296</c:v>
                </c:pt>
                <c:pt idx="112">
                  <c:v>0.59398148148148155</c:v>
                </c:pt>
                <c:pt idx="113">
                  <c:v>0.59467592592592589</c:v>
                </c:pt>
                <c:pt idx="114">
                  <c:v>0.59535879629629629</c:v>
                </c:pt>
                <c:pt idx="115">
                  <c:v>0.59605324074074073</c:v>
                </c:pt>
                <c:pt idx="116">
                  <c:v>0.59674768518518517</c:v>
                </c:pt>
                <c:pt idx="117">
                  <c:v>0.59744212962962961</c:v>
                </c:pt>
                <c:pt idx="118">
                  <c:v>0.59813657407407406</c:v>
                </c:pt>
                <c:pt idx="119">
                  <c:v>0.5988310185185185</c:v>
                </c:pt>
                <c:pt idx="120">
                  <c:v>0.59952546296296294</c:v>
                </c:pt>
                <c:pt idx="121">
                  <c:v>0.60021990740740738</c:v>
                </c:pt>
                <c:pt idx="122">
                  <c:v>0.60091435185185182</c:v>
                </c:pt>
                <c:pt idx="123">
                  <c:v>0.60160879629629627</c:v>
                </c:pt>
                <c:pt idx="124">
                  <c:v>0.60230324074074071</c:v>
                </c:pt>
                <c:pt idx="125">
                  <c:v>0.60299768518518515</c:v>
                </c:pt>
                <c:pt idx="126">
                  <c:v>0.6036921296296297</c:v>
                </c:pt>
                <c:pt idx="127">
                  <c:v>0.60438657407407403</c:v>
                </c:pt>
                <c:pt idx="128">
                  <c:v>0.60508101851851859</c:v>
                </c:pt>
                <c:pt idx="129">
                  <c:v>0.60577546296296292</c:v>
                </c:pt>
                <c:pt idx="130">
                  <c:v>0.60646990740740747</c:v>
                </c:pt>
                <c:pt idx="131">
                  <c:v>0.6071643518518518</c:v>
                </c:pt>
                <c:pt idx="132">
                  <c:v>0.60785879629629636</c:v>
                </c:pt>
                <c:pt idx="133">
                  <c:v>0.60855324074074069</c:v>
                </c:pt>
                <c:pt idx="134">
                  <c:v>0.60924768518518524</c:v>
                </c:pt>
                <c:pt idx="135">
                  <c:v>0.60994212962962957</c:v>
                </c:pt>
                <c:pt idx="136">
                  <c:v>0.61063657407407412</c:v>
                </c:pt>
                <c:pt idx="137">
                  <c:v>0.61133101851851845</c:v>
                </c:pt>
                <c:pt idx="138">
                  <c:v>0.61202546296296301</c:v>
                </c:pt>
                <c:pt idx="139">
                  <c:v>0.61271990740740734</c:v>
                </c:pt>
                <c:pt idx="140">
                  <c:v>0.61341435185185189</c:v>
                </c:pt>
                <c:pt idx="141">
                  <c:v>0.61410879629629633</c:v>
                </c:pt>
                <c:pt idx="142">
                  <c:v>0.61480324074074078</c:v>
                </c:pt>
                <c:pt idx="143">
                  <c:v>0.61549768518518522</c:v>
                </c:pt>
                <c:pt idx="144">
                  <c:v>0.61619212962962966</c:v>
                </c:pt>
                <c:pt idx="145">
                  <c:v>0.6168865740740741</c:v>
                </c:pt>
                <c:pt idx="146">
                  <c:v>0.61758101851851854</c:v>
                </c:pt>
                <c:pt idx="147">
                  <c:v>0.61827546296296299</c:v>
                </c:pt>
                <c:pt idx="148">
                  <c:v>0.61896990740740743</c:v>
                </c:pt>
                <c:pt idx="149">
                  <c:v>0.61966435185185187</c:v>
                </c:pt>
              </c:numCache>
            </c:numRef>
          </c:cat>
          <c:val>
            <c:numRef>
              <c:f>'2. Calculs'!$R$5:$R$154</c:f>
              <c:numCache>
                <c:formatCode>0.00</c:formatCode>
                <c:ptCount val="150"/>
                <c:pt idx="0">
                  <c:v>5.8999999999999995</c:v>
                </c:pt>
                <c:pt idx="1">
                  <c:v>5.97</c:v>
                </c:pt>
                <c:pt idx="2">
                  <c:v>6.03</c:v>
                </c:pt>
                <c:pt idx="3">
                  <c:v>6.09</c:v>
                </c:pt>
                <c:pt idx="4">
                  <c:v>6.1499999999999995</c:v>
                </c:pt>
                <c:pt idx="5">
                  <c:v>6.03</c:v>
                </c:pt>
                <c:pt idx="6">
                  <c:v>5.84</c:v>
                </c:pt>
                <c:pt idx="7">
                  <c:v>5.72</c:v>
                </c:pt>
                <c:pt idx="8">
                  <c:v>5.72</c:v>
                </c:pt>
                <c:pt idx="9">
                  <c:v>5.72</c:v>
                </c:pt>
                <c:pt idx="10">
                  <c:v>5.78</c:v>
                </c:pt>
                <c:pt idx="11">
                  <c:v>5.84</c:v>
                </c:pt>
                <c:pt idx="12">
                  <c:v>5.97</c:v>
                </c:pt>
                <c:pt idx="13">
                  <c:v>6.03</c:v>
                </c:pt>
                <c:pt idx="14">
                  <c:v>6.03</c:v>
                </c:pt>
                <c:pt idx="15">
                  <c:v>5.78</c:v>
                </c:pt>
                <c:pt idx="16">
                  <c:v>5.6499999999999995</c:v>
                </c:pt>
                <c:pt idx="17">
                  <c:v>5.59</c:v>
                </c:pt>
                <c:pt idx="18">
                  <c:v>5.6499999999999995</c:v>
                </c:pt>
                <c:pt idx="19">
                  <c:v>5.72</c:v>
                </c:pt>
                <c:pt idx="20">
                  <c:v>5.78</c:v>
                </c:pt>
                <c:pt idx="21">
                  <c:v>5.84</c:v>
                </c:pt>
                <c:pt idx="22">
                  <c:v>5.97</c:v>
                </c:pt>
                <c:pt idx="23">
                  <c:v>6.03</c:v>
                </c:pt>
                <c:pt idx="24">
                  <c:v>5.84</c:v>
                </c:pt>
                <c:pt idx="25">
                  <c:v>5.6499999999999995</c:v>
                </c:pt>
                <c:pt idx="26">
                  <c:v>5.59</c:v>
                </c:pt>
                <c:pt idx="27">
                  <c:v>5.59</c:v>
                </c:pt>
                <c:pt idx="28">
                  <c:v>5.6499999999999995</c:v>
                </c:pt>
                <c:pt idx="29">
                  <c:v>5.72</c:v>
                </c:pt>
                <c:pt idx="30">
                  <c:v>5.78</c:v>
                </c:pt>
                <c:pt idx="31">
                  <c:v>5.8999999999999995</c:v>
                </c:pt>
                <c:pt idx="32">
                  <c:v>5.97</c:v>
                </c:pt>
                <c:pt idx="33">
                  <c:v>5.97</c:v>
                </c:pt>
                <c:pt idx="34">
                  <c:v>5.78</c:v>
                </c:pt>
                <c:pt idx="35">
                  <c:v>5.59</c:v>
                </c:pt>
                <c:pt idx="36">
                  <c:v>5.59</c:v>
                </c:pt>
                <c:pt idx="37">
                  <c:v>5.6499999999999995</c:v>
                </c:pt>
                <c:pt idx="38">
                  <c:v>5.6499999999999995</c:v>
                </c:pt>
                <c:pt idx="39">
                  <c:v>5.72</c:v>
                </c:pt>
                <c:pt idx="40">
                  <c:v>5.84</c:v>
                </c:pt>
                <c:pt idx="41">
                  <c:v>5.8999999999999995</c:v>
                </c:pt>
                <c:pt idx="42">
                  <c:v>5.97</c:v>
                </c:pt>
                <c:pt idx="43">
                  <c:v>5.84</c:v>
                </c:pt>
                <c:pt idx="44">
                  <c:v>5.6499999999999995</c:v>
                </c:pt>
                <c:pt idx="45">
                  <c:v>5.59</c:v>
                </c:pt>
                <c:pt idx="46">
                  <c:v>5.59</c:v>
                </c:pt>
                <c:pt idx="47">
                  <c:v>5.59</c:v>
                </c:pt>
                <c:pt idx="48">
                  <c:v>5.6499999999999995</c:v>
                </c:pt>
                <c:pt idx="49">
                  <c:v>5.78</c:v>
                </c:pt>
                <c:pt idx="50">
                  <c:v>5.84</c:v>
                </c:pt>
                <c:pt idx="51">
                  <c:v>5.8999999999999995</c:v>
                </c:pt>
                <c:pt idx="52">
                  <c:v>5.97</c:v>
                </c:pt>
                <c:pt idx="53">
                  <c:v>5.84</c:v>
                </c:pt>
                <c:pt idx="54">
                  <c:v>5.6499999999999995</c:v>
                </c:pt>
                <c:pt idx="55">
                  <c:v>5.59</c:v>
                </c:pt>
                <c:pt idx="56">
                  <c:v>5.59</c:v>
                </c:pt>
                <c:pt idx="57">
                  <c:v>5.6499999999999995</c:v>
                </c:pt>
                <c:pt idx="58">
                  <c:v>5.72</c:v>
                </c:pt>
                <c:pt idx="59">
                  <c:v>5.78</c:v>
                </c:pt>
                <c:pt idx="60">
                  <c:v>5.8999999999999995</c:v>
                </c:pt>
                <c:pt idx="61">
                  <c:v>5.97</c:v>
                </c:pt>
                <c:pt idx="62">
                  <c:v>5.97</c:v>
                </c:pt>
                <c:pt idx="63">
                  <c:v>5.78</c:v>
                </c:pt>
                <c:pt idx="64">
                  <c:v>5.59</c:v>
                </c:pt>
                <c:pt idx="65">
                  <c:v>5.59</c:v>
                </c:pt>
                <c:pt idx="66">
                  <c:v>5.59</c:v>
                </c:pt>
                <c:pt idx="67">
                  <c:v>5.6499999999999995</c:v>
                </c:pt>
                <c:pt idx="68">
                  <c:v>5.72</c:v>
                </c:pt>
                <c:pt idx="69">
                  <c:v>5.84</c:v>
                </c:pt>
                <c:pt idx="70">
                  <c:v>5.8999999999999995</c:v>
                </c:pt>
                <c:pt idx="71">
                  <c:v>5.97</c:v>
                </c:pt>
                <c:pt idx="72">
                  <c:v>5.8999999999999995</c:v>
                </c:pt>
                <c:pt idx="73">
                  <c:v>5.72</c:v>
                </c:pt>
                <c:pt idx="74">
                  <c:v>5.59</c:v>
                </c:pt>
                <c:pt idx="75">
                  <c:v>5.53</c:v>
                </c:pt>
                <c:pt idx="76">
                  <c:v>5.59</c:v>
                </c:pt>
                <c:pt idx="77">
                  <c:v>5.6499999999999995</c:v>
                </c:pt>
                <c:pt idx="78">
                  <c:v>5.72</c:v>
                </c:pt>
                <c:pt idx="79">
                  <c:v>5.84</c:v>
                </c:pt>
                <c:pt idx="80">
                  <c:v>5.8999999999999995</c:v>
                </c:pt>
                <c:pt idx="81">
                  <c:v>5.97</c:v>
                </c:pt>
                <c:pt idx="82">
                  <c:v>5.8999999999999995</c:v>
                </c:pt>
                <c:pt idx="83">
                  <c:v>5.72</c:v>
                </c:pt>
                <c:pt idx="84">
                  <c:v>5.59</c:v>
                </c:pt>
                <c:pt idx="85">
                  <c:v>5.59</c:v>
                </c:pt>
                <c:pt idx="86">
                  <c:v>5.59</c:v>
                </c:pt>
                <c:pt idx="87">
                  <c:v>5.6499999999999995</c:v>
                </c:pt>
                <c:pt idx="88">
                  <c:v>5.72</c:v>
                </c:pt>
                <c:pt idx="89">
                  <c:v>5.84</c:v>
                </c:pt>
                <c:pt idx="90">
                  <c:v>5.8999999999999995</c:v>
                </c:pt>
                <c:pt idx="91">
                  <c:v>5.97</c:v>
                </c:pt>
                <c:pt idx="92">
                  <c:v>5.8999999999999995</c:v>
                </c:pt>
                <c:pt idx="93">
                  <c:v>5.6499999999999995</c:v>
                </c:pt>
                <c:pt idx="94">
                  <c:v>5.59</c:v>
                </c:pt>
                <c:pt idx="95">
                  <c:v>5.59</c:v>
                </c:pt>
                <c:pt idx="96">
                  <c:v>5.59</c:v>
                </c:pt>
                <c:pt idx="97">
                  <c:v>5.6499999999999995</c:v>
                </c:pt>
                <c:pt idx="98">
                  <c:v>5.72</c:v>
                </c:pt>
                <c:pt idx="99">
                  <c:v>5.84</c:v>
                </c:pt>
                <c:pt idx="100">
                  <c:v>5.8999999999999995</c:v>
                </c:pt>
                <c:pt idx="101">
                  <c:v>5.97</c:v>
                </c:pt>
                <c:pt idx="102">
                  <c:v>5.84</c:v>
                </c:pt>
                <c:pt idx="103">
                  <c:v>5.6499999999999995</c:v>
                </c:pt>
                <c:pt idx="104">
                  <c:v>5.59</c:v>
                </c:pt>
                <c:pt idx="105">
                  <c:v>5.59</c:v>
                </c:pt>
                <c:pt idx="106">
                  <c:v>5.59</c:v>
                </c:pt>
                <c:pt idx="107">
                  <c:v>5.6499999999999995</c:v>
                </c:pt>
                <c:pt idx="108">
                  <c:v>5.72</c:v>
                </c:pt>
                <c:pt idx="109">
                  <c:v>5.84</c:v>
                </c:pt>
                <c:pt idx="110">
                  <c:v>5.8999999999999995</c:v>
                </c:pt>
                <c:pt idx="111">
                  <c:v>5.97</c:v>
                </c:pt>
                <c:pt idx="112">
                  <c:v>5.84</c:v>
                </c:pt>
                <c:pt idx="113">
                  <c:v>5.6499999999999995</c:v>
                </c:pt>
                <c:pt idx="114">
                  <c:v>5.59</c:v>
                </c:pt>
                <c:pt idx="115">
                  <c:v>5.59</c:v>
                </c:pt>
                <c:pt idx="116">
                  <c:v>5.59</c:v>
                </c:pt>
                <c:pt idx="117">
                  <c:v>5.6499999999999995</c:v>
                </c:pt>
                <c:pt idx="118">
                  <c:v>5.78</c:v>
                </c:pt>
                <c:pt idx="119">
                  <c:v>5.84</c:v>
                </c:pt>
                <c:pt idx="120">
                  <c:v>5.97</c:v>
                </c:pt>
                <c:pt idx="121">
                  <c:v>5.97</c:v>
                </c:pt>
                <c:pt idx="122">
                  <c:v>5.84</c:v>
                </c:pt>
                <c:pt idx="123">
                  <c:v>5.6499999999999995</c:v>
                </c:pt>
                <c:pt idx="124">
                  <c:v>5.59</c:v>
                </c:pt>
                <c:pt idx="125">
                  <c:v>5.59</c:v>
                </c:pt>
                <c:pt idx="126">
                  <c:v>5.59</c:v>
                </c:pt>
                <c:pt idx="127">
                  <c:v>5.6499999999999995</c:v>
                </c:pt>
                <c:pt idx="128">
                  <c:v>5.78</c:v>
                </c:pt>
                <c:pt idx="129">
                  <c:v>5.84</c:v>
                </c:pt>
                <c:pt idx="130">
                  <c:v>5.97</c:v>
                </c:pt>
                <c:pt idx="131">
                  <c:v>5.97</c:v>
                </c:pt>
                <c:pt idx="132">
                  <c:v>5.84</c:v>
                </c:pt>
                <c:pt idx="133">
                  <c:v>5.6499999999999995</c:v>
                </c:pt>
                <c:pt idx="134">
                  <c:v>5.59</c:v>
                </c:pt>
                <c:pt idx="135">
                  <c:v>5.59</c:v>
                </c:pt>
                <c:pt idx="136">
                  <c:v>5.59</c:v>
                </c:pt>
                <c:pt idx="137">
                  <c:v>5.6499999999999995</c:v>
                </c:pt>
                <c:pt idx="138">
                  <c:v>5.72</c:v>
                </c:pt>
                <c:pt idx="139">
                  <c:v>5.84</c:v>
                </c:pt>
                <c:pt idx="140">
                  <c:v>5.8999999999999995</c:v>
                </c:pt>
                <c:pt idx="141">
                  <c:v>5.97</c:v>
                </c:pt>
                <c:pt idx="142">
                  <c:v>5.8999999999999995</c:v>
                </c:pt>
                <c:pt idx="143">
                  <c:v>5.6499999999999995</c:v>
                </c:pt>
                <c:pt idx="144">
                  <c:v>5.59</c:v>
                </c:pt>
                <c:pt idx="145">
                  <c:v>5.59</c:v>
                </c:pt>
                <c:pt idx="146">
                  <c:v>5.59</c:v>
                </c:pt>
                <c:pt idx="147">
                  <c:v>5.6499999999999995</c:v>
                </c:pt>
                <c:pt idx="148">
                  <c:v>5.78</c:v>
                </c:pt>
                <c:pt idx="149">
                  <c:v>5.84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44F-C64D-B929-D64B6A8A24D9}"/>
            </c:ext>
          </c:extLst>
        </c:ser>
        <c:ser>
          <c:idx val="1"/>
          <c:order val="1"/>
          <c:tx>
            <c:strRef>
              <c:f>'2. Calculs'!$S$4</c:f>
              <c:strCache>
                <c:ptCount val="1"/>
                <c:pt idx="0">
                  <c:v>HGAR/(°C)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'2. Calculs'!$C$5:$C$154</c:f>
              <c:numCache>
                <c:formatCode>h:mm:ss\ AM/PM</c:formatCode>
                <c:ptCount val="150"/>
                <c:pt idx="0">
                  <c:v>0.51620370370370372</c:v>
                </c:pt>
                <c:pt idx="1">
                  <c:v>0.51689814814814816</c:v>
                </c:pt>
                <c:pt idx="2">
                  <c:v>0.5175925925925926</c:v>
                </c:pt>
                <c:pt idx="3">
                  <c:v>0.51828703703703705</c:v>
                </c:pt>
                <c:pt idx="4">
                  <c:v>0.51898148148148149</c:v>
                </c:pt>
                <c:pt idx="5">
                  <c:v>0.51967592592592593</c:v>
                </c:pt>
                <c:pt idx="6">
                  <c:v>0.52037037037037037</c:v>
                </c:pt>
                <c:pt idx="7">
                  <c:v>0.52106481481481481</c:v>
                </c:pt>
                <c:pt idx="8">
                  <c:v>0.52175925925925926</c:v>
                </c:pt>
                <c:pt idx="9">
                  <c:v>0.5224537037037037</c:v>
                </c:pt>
                <c:pt idx="10">
                  <c:v>0.52314814814814814</c:v>
                </c:pt>
                <c:pt idx="11">
                  <c:v>0.52384259259259258</c:v>
                </c:pt>
                <c:pt idx="12">
                  <c:v>0.52453703703703702</c:v>
                </c:pt>
                <c:pt idx="13">
                  <c:v>0.52523148148148147</c:v>
                </c:pt>
                <c:pt idx="14">
                  <c:v>0.52592592592592591</c:v>
                </c:pt>
                <c:pt idx="15">
                  <c:v>0.52662037037037035</c:v>
                </c:pt>
                <c:pt idx="16">
                  <c:v>0.52731481481481479</c:v>
                </c:pt>
                <c:pt idx="17">
                  <c:v>0.52800925925925923</c:v>
                </c:pt>
                <c:pt idx="18">
                  <c:v>0.52870370370370368</c:v>
                </c:pt>
                <c:pt idx="19">
                  <c:v>0.52939814814814812</c:v>
                </c:pt>
                <c:pt idx="20">
                  <c:v>0.53009259259259256</c:v>
                </c:pt>
                <c:pt idx="21">
                  <c:v>0.530787037037037</c:v>
                </c:pt>
                <c:pt idx="22">
                  <c:v>0.53148148148148155</c:v>
                </c:pt>
                <c:pt idx="23">
                  <c:v>0.53217592592592589</c:v>
                </c:pt>
                <c:pt idx="24">
                  <c:v>0.53287037037037044</c:v>
                </c:pt>
                <c:pt idx="25">
                  <c:v>0.53356481481481477</c:v>
                </c:pt>
                <c:pt idx="26">
                  <c:v>0.53425925925925932</c:v>
                </c:pt>
                <c:pt idx="27">
                  <c:v>0.53495370370370365</c:v>
                </c:pt>
                <c:pt idx="28">
                  <c:v>0.53564814814814821</c:v>
                </c:pt>
                <c:pt idx="29">
                  <c:v>0.53634259259259254</c:v>
                </c:pt>
                <c:pt idx="30">
                  <c:v>0.53703703703703709</c:v>
                </c:pt>
                <c:pt idx="31">
                  <c:v>0.53773148148148142</c:v>
                </c:pt>
                <c:pt idx="32">
                  <c:v>0.53842592592592597</c:v>
                </c:pt>
                <c:pt idx="33">
                  <c:v>0.53912037037037031</c:v>
                </c:pt>
                <c:pt idx="34">
                  <c:v>0.53981481481481486</c:v>
                </c:pt>
                <c:pt idx="35">
                  <c:v>0.54050925925925919</c:v>
                </c:pt>
                <c:pt idx="36">
                  <c:v>0.54120370370370374</c:v>
                </c:pt>
                <c:pt idx="37">
                  <c:v>0.54189814814814818</c:v>
                </c:pt>
                <c:pt idx="38">
                  <c:v>0.54259259259259263</c:v>
                </c:pt>
                <c:pt idx="39">
                  <c:v>0.54328703703703707</c:v>
                </c:pt>
                <c:pt idx="40">
                  <c:v>0.54398148148148151</c:v>
                </c:pt>
                <c:pt idx="41">
                  <c:v>0.54467592592592595</c:v>
                </c:pt>
                <c:pt idx="42">
                  <c:v>0.54537037037037039</c:v>
                </c:pt>
                <c:pt idx="43">
                  <c:v>0.54606481481481484</c:v>
                </c:pt>
                <c:pt idx="44">
                  <c:v>0.54675925925925928</c:v>
                </c:pt>
                <c:pt idx="45">
                  <c:v>0.54745370370370372</c:v>
                </c:pt>
                <c:pt idx="46">
                  <c:v>0.54814814814814816</c:v>
                </c:pt>
                <c:pt idx="47">
                  <c:v>0.5488425925925926</c:v>
                </c:pt>
                <c:pt idx="48">
                  <c:v>0.54953703703703705</c:v>
                </c:pt>
                <c:pt idx="49">
                  <c:v>0.55023148148148149</c:v>
                </c:pt>
                <c:pt idx="50">
                  <c:v>0.55092592592592593</c:v>
                </c:pt>
                <c:pt idx="51">
                  <c:v>0.55162037037037037</c:v>
                </c:pt>
                <c:pt idx="52">
                  <c:v>0.55231481481481481</c:v>
                </c:pt>
                <c:pt idx="53">
                  <c:v>0.55300925925925926</c:v>
                </c:pt>
                <c:pt idx="54">
                  <c:v>0.5537037037037037</c:v>
                </c:pt>
                <c:pt idx="55">
                  <c:v>0.55439814814814814</c:v>
                </c:pt>
                <c:pt idx="56">
                  <c:v>0.55509259259259258</c:v>
                </c:pt>
                <c:pt idx="57">
                  <c:v>0.55578703703703702</c:v>
                </c:pt>
                <c:pt idx="58">
                  <c:v>0.55648148148148147</c:v>
                </c:pt>
                <c:pt idx="59">
                  <c:v>0.55717592592592591</c:v>
                </c:pt>
                <c:pt idx="60">
                  <c:v>0.55787037037037035</c:v>
                </c:pt>
                <c:pt idx="61">
                  <c:v>0.55856481481481479</c:v>
                </c:pt>
                <c:pt idx="62">
                  <c:v>0.55925925925925923</c:v>
                </c:pt>
                <c:pt idx="63">
                  <c:v>0.55995370370370368</c:v>
                </c:pt>
                <c:pt idx="64">
                  <c:v>0.56064814814814812</c:v>
                </c:pt>
                <c:pt idx="65">
                  <c:v>0.56134259259259256</c:v>
                </c:pt>
                <c:pt idx="66">
                  <c:v>0.562037037037037</c:v>
                </c:pt>
                <c:pt idx="67">
                  <c:v>0.56273148148148155</c:v>
                </c:pt>
                <c:pt idx="68">
                  <c:v>0.56342592592592589</c:v>
                </c:pt>
                <c:pt idx="69">
                  <c:v>0.56412037037037044</c:v>
                </c:pt>
                <c:pt idx="70">
                  <c:v>0.56481481481481477</c:v>
                </c:pt>
                <c:pt idx="71">
                  <c:v>0.56550925925925932</c:v>
                </c:pt>
                <c:pt idx="72">
                  <c:v>0.56620370370370365</c:v>
                </c:pt>
                <c:pt idx="73">
                  <c:v>0.56689814814814821</c:v>
                </c:pt>
                <c:pt idx="74">
                  <c:v>0.56759259259259254</c:v>
                </c:pt>
                <c:pt idx="75">
                  <c:v>0.56828703703703709</c:v>
                </c:pt>
                <c:pt idx="76">
                  <c:v>0.56898148148148142</c:v>
                </c:pt>
                <c:pt idx="77">
                  <c:v>0.56967592592592597</c:v>
                </c:pt>
                <c:pt idx="78">
                  <c:v>0.57037037037037031</c:v>
                </c:pt>
                <c:pt idx="79">
                  <c:v>0.57106481481481486</c:v>
                </c:pt>
                <c:pt idx="80">
                  <c:v>0.57175925925925919</c:v>
                </c:pt>
                <c:pt idx="81">
                  <c:v>0.57245370370370374</c:v>
                </c:pt>
                <c:pt idx="82">
                  <c:v>0.57314814814814818</c:v>
                </c:pt>
                <c:pt idx="83">
                  <c:v>0.57384259259259263</c:v>
                </c:pt>
                <c:pt idx="84">
                  <c:v>0.57453703703703707</c:v>
                </c:pt>
                <c:pt idx="85">
                  <c:v>0.57523148148148151</c:v>
                </c:pt>
                <c:pt idx="86">
                  <c:v>0.57592592592592595</c:v>
                </c:pt>
                <c:pt idx="87">
                  <c:v>0.57662037037037039</c:v>
                </c:pt>
                <c:pt idx="88">
                  <c:v>0.57731481481481484</c:v>
                </c:pt>
                <c:pt idx="89">
                  <c:v>0.57800925925925928</c:v>
                </c:pt>
                <c:pt idx="90">
                  <c:v>0.57870370370370372</c:v>
                </c:pt>
                <c:pt idx="91">
                  <c:v>0.57938657407407412</c:v>
                </c:pt>
                <c:pt idx="92">
                  <c:v>0.5800925925925926</c:v>
                </c:pt>
                <c:pt idx="93">
                  <c:v>0.58078703703703705</c:v>
                </c:pt>
                <c:pt idx="94">
                  <c:v>0.58148148148148149</c:v>
                </c:pt>
                <c:pt idx="95">
                  <c:v>0.58217592592592593</c:v>
                </c:pt>
                <c:pt idx="96">
                  <c:v>0.58287037037037037</c:v>
                </c:pt>
                <c:pt idx="97">
                  <c:v>0.58356481481481481</c:v>
                </c:pt>
                <c:pt idx="98">
                  <c:v>0.58425925925925926</c:v>
                </c:pt>
                <c:pt idx="99">
                  <c:v>0.5849537037037037</c:v>
                </c:pt>
                <c:pt idx="100">
                  <c:v>0.58564814814814814</c:v>
                </c:pt>
                <c:pt idx="101">
                  <c:v>0.58634259259259258</c:v>
                </c:pt>
                <c:pt idx="102">
                  <c:v>0.58703703703703702</c:v>
                </c:pt>
                <c:pt idx="103">
                  <c:v>0.58773148148148147</c:v>
                </c:pt>
                <c:pt idx="104">
                  <c:v>0.58842592592592591</c:v>
                </c:pt>
                <c:pt idx="105">
                  <c:v>0.58912037037037035</c:v>
                </c:pt>
                <c:pt idx="106">
                  <c:v>0.58980324074074075</c:v>
                </c:pt>
                <c:pt idx="107">
                  <c:v>0.59050925925925923</c:v>
                </c:pt>
                <c:pt idx="108">
                  <c:v>0.59119212962962964</c:v>
                </c:pt>
                <c:pt idx="109">
                  <c:v>0.59189814814814812</c:v>
                </c:pt>
                <c:pt idx="110">
                  <c:v>0.59259259259259256</c:v>
                </c:pt>
                <c:pt idx="111">
                  <c:v>0.59327546296296296</c:v>
                </c:pt>
                <c:pt idx="112">
                  <c:v>0.59398148148148155</c:v>
                </c:pt>
                <c:pt idx="113">
                  <c:v>0.59467592592592589</c:v>
                </c:pt>
                <c:pt idx="114">
                  <c:v>0.59535879629629629</c:v>
                </c:pt>
                <c:pt idx="115">
                  <c:v>0.59605324074074073</c:v>
                </c:pt>
                <c:pt idx="116">
                  <c:v>0.59674768518518517</c:v>
                </c:pt>
                <c:pt idx="117">
                  <c:v>0.59744212962962961</c:v>
                </c:pt>
                <c:pt idx="118">
                  <c:v>0.59813657407407406</c:v>
                </c:pt>
                <c:pt idx="119">
                  <c:v>0.5988310185185185</c:v>
                </c:pt>
                <c:pt idx="120">
                  <c:v>0.59952546296296294</c:v>
                </c:pt>
                <c:pt idx="121">
                  <c:v>0.60021990740740738</c:v>
                </c:pt>
                <c:pt idx="122">
                  <c:v>0.60091435185185182</c:v>
                </c:pt>
                <c:pt idx="123">
                  <c:v>0.60160879629629627</c:v>
                </c:pt>
                <c:pt idx="124">
                  <c:v>0.60230324074074071</c:v>
                </c:pt>
                <c:pt idx="125">
                  <c:v>0.60299768518518515</c:v>
                </c:pt>
                <c:pt idx="126">
                  <c:v>0.6036921296296297</c:v>
                </c:pt>
                <c:pt idx="127">
                  <c:v>0.60438657407407403</c:v>
                </c:pt>
                <c:pt idx="128">
                  <c:v>0.60508101851851859</c:v>
                </c:pt>
                <c:pt idx="129">
                  <c:v>0.60577546296296292</c:v>
                </c:pt>
                <c:pt idx="130">
                  <c:v>0.60646990740740747</c:v>
                </c:pt>
                <c:pt idx="131">
                  <c:v>0.6071643518518518</c:v>
                </c:pt>
                <c:pt idx="132">
                  <c:v>0.60785879629629636</c:v>
                </c:pt>
                <c:pt idx="133">
                  <c:v>0.60855324074074069</c:v>
                </c:pt>
                <c:pt idx="134">
                  <c:v>0.60924768518518524</c:v>
                </c:pt>
                <c:pt idx="135">
                  <c:v>0.60994212962962957</c:v>
                </c:pt>
                <c:pt idx="136">
                  <c:v>0.61063657407407412</c:v>
                </c:pt>
                <c:pt idx="137">
                  <c:v>0.61133101851851845</c:v>
                </c:pt>
                <c:pt idx="138">
                  <c:v>0.61202546296296301</c:v>
                </c:pt>
                <c:pt idx="139">
                  <c:v>0.61271990740740734</c:v>
                </c:pt>
                <c:pt idx="140">
                  <c:v>0.61341435185185189</c:v>
                </c:pt>
                <c:pt idx="141">
                  <c:v>0.61410879629629633</c:v>
                </c:pt>
                <c:pt idx="142">
                  <c:v>0.61480324074074078</c:v>
                </c:pt>
                <c:pt idx="143">
                  <c:v>0.61549768518518522</c:v>
                </c:pt>
                <c:pt idx="144">
                  <c:v>0.61619212962962966</c:v>
                </c:pt>
                <c:pt idx="145">
                  <c:v>0.6168865740740741</c:v>
                </c:pt>
                <c:pt idx="146">
                  <c:v>0.61758101851851854</c:v>
                </c:pt>
                <c:pt idx="147">
                  <c:v>0.61827546296296299</c:v>
                </c:pt>
                <c:pt idx="148">
                  <c:v>0.61896990740740743</c:v>
                </c:pt>
                <c:pt idx="149">
                  <c:v>0.61966435185185187</c:v>
                </c:pt>
              </c:numCache>
            </c:numRef>
          </c:cat>
          <c:val>
            <c:numRef>
              <c:f>'2. Calculs'!$S$5:$S$154</c:f>
              <c:numCache>
                <c:formatCode>0.00</c:formatCode>
                <c:ptCount val="150"/>
                <c:pt idx="0">
                  <c:v>5.4200000000000008</c:v>
                </c:pt>
                <c:pt idx="1">
                  <c:v>5.48</c:v>
                </c:pt>
                <c:pt idx="2">
                  <c:v>5.54</c:v>
                </c:pt>
                <c:pt idx="3">
                  <c:v>5.6700000000000008</c:v>
                </c:pt>
                <c:pt idx="4">
                  <c:v>5.79</c:v>
                </c:pt>
                <c:pt idx="5">
                  <c:v>5.61</c:v>
                </c:pt>
                <c:pt idx="6">
                  <c:v>5.36</c:v>
                </c:pt>
                <c:pt idx="7">
                  <c:v>5.1700000000000008</c:v>
                </c:pt>
                <c:pt idx="8">
                  <c:v>5.1700000000000008</c:v>
                </c:pt>
                <c:pt idx="9">
                  <c:v>5.29</c:v>
                </c:pt>
                <c:pt idx="10">
                  <c:v>5.36</c:v>
                </c:pt>
                <c:pt idx="11">
                  <c:v>5.48</c:v>
                </c:pt>
                <c:pt idx="12">
                  <c:v>5.61</c:v>
                </c:pt>
                <c:pt idx="13">
                  <c:v>5.73</c:v>
                </c:pt>
                <c:pt idx="14">
                  <c:v>5.61</c:v>
                </c:pt>
                <c:pt idx="15">
                  <c:v>5.36</c:v>
                </c:pt>
                <c:pt idx="16">
                  <c:v>5.1700000000000008</c:v>
                </c:pt>
                <c:pt idx="17">
                  <c:v>5.1700000000000008</c:v>
                </c:pt>
                <c:pt idx="18">
                  <c:v>5.23</c:v>
                </c:pt>
                <c:pt idx="19">
                  <c:v>5.36</c:v>
                </c:pt>
                <c:pt idx="20">
                  <c:v>5.4200000000000008</c:v>
                </c:pt>
                <c:pt idx="21">
                  <c:v>5.54</c:v>
                </c:pt>
                <c:pt idx="22">
                  <c:v>5.6700000000000008</c:v>
                </c:pt>
                <c:pt idx="23">
                  <c:v>5.6700000000000008</c:v>
                </c:pt>
                <c:pt idx="24">
                  <c:v>5.48</c:v>
                </c:pt>
                <c:pt idx="25">
                  <c:v>5.23</c:v>
                </c:pt>
                <c:pt idx="26">
                  <c:v>5.1700000000000008</c:v>
                </c:pt>
                <c:pt idx="27">
                  <c:v>5.1700000000000008</c:v>
                </c:pt>
                <c:pt idx="28">
                  <c:v>5.29</c:v>
                </c:pt>
                <c:pt idx="29">
                  <c:v>5.36</c:v>
                </c:pt>
                <c:pt idx="30">
                  <c:v>5.48</c:v>
                </c:pt>
                <c:pt idx="31">
                  <c:v>5.61</c:v>
                </c:pt>
                <c:pt idx="32">
                  <c:v>5.73</c:v>
                </c:pt>
                <c:pt idx="33">
                  <c:v>5.61</c:v>
                </c:pt>
                <c:pt idx="34">
                  <c:v>5.29</c:v>
                </c:pt>
                <c:pt idx="35">
                  <c:v>5.1700000000000008</c:v>
                </c:pt>
                <c:pt idx="36">
                  <c:v>5.1700000000000008</c:v>
                </c:pt>
                <c:pt idx="37">
                  <c:v>5.23</c:v>
                </c:pt>
                <c:pt idx="38">
                  <c:v>5.29</c:v>
                </c:pt>
                <c:pt idx="39">
                  <c:v>5.4200000000000008</c:v>
                </c:pt>
                <c:pt idx="40">
                  <c:v>5.54</c:v>
                </c:pt>
                <c:pt idx="41">
                  <c:v>5.6700000000000008</c:v>
                </c:pt>
                <c:pt idx="42">
                  <c:v>5.73</c:v>
                </c:pt>
                <c:pt idx="43">
                  <c:v>5.48</c:v>
                </c:pt>
                <c:pt idx="44">
                  <c:v>5.23</c:v>
                </c:pt>
                <c:pt idx="45">
                  <c:v>5.1100000000000003</c:v>
                </c:pt>
                <c:pt idx="46">
                  <c:v>5.1700000000000008</c:v>
                </c:pt>
                <c:pt idx="47">
                  <c:v>5.23</c:v>
                </c:pt>
                <c:pt idx="48">
                  <c:v>5.29</c:v>
                </c:pt>
                <c:pt idx="49">
                  <c:v>5.4200000000000008</c:v>
                </c:pt>
                <c:pt idx="50">
                  <c:v>5.54</c:v>
                </c:pt>
                <c:pt idx="51">
                  <c:v>5.6700000000000008</c:v>
                </c:pt>
                <c:pt idx="52">
                  <c:v>5.6700000000000008</c:v>
                </c:pt>
                <c:pt idx="53">
                  <c:v>5.4200000000000008</c:v>
                </c:pt>
                <c:pt idx="54">
                  <c:v>5.1700000000000008</c:v>
                </c:pt>
                <c:pt idx="55">
                  <c:v>5.1100000000000003</c:v>
                </c:pt>
                <c:pt idx="56">
                  <c:v>5.1700000000000008</c:v>
                </c:pt>
                <c:pt idx="57">
                  <c:v>5.23</c:v>
                </c:pt>
                <c:pt idx="58">
                  <c:v>5.36</c:v>
                </c:pt>
                <c:pt idx="59">
                  <c:v>5.48</c:v>
                </c:pt>
                <c:pt idx="60">
                  <c:v>5.61</c:v>
                </c:pt>
                <c:pt idx="61">
                  <c:v>5.6700000000000008</c:v>
                </c:pt>
                <c:pt idx="62">
                  <c:v>5.6700000000000008</c:v>
                </c:pt>
                <c:pt idx="63">
                  <c:v>5.36</c:v>
                </c:pt>
                <c:pt idx="64">
                  <c:v>5.1700000000000008</c:v>
                </c:pt>
                <c:pt idx="65">
                  <c:v>5.1700000000000008</c:v>
                </c:pt>
                <c:pt idx="66">
                  <c:v>5.1700000000000008</c:v>
                </c:pt>
                <c:pt idx="67">
                  <c:v>5.29</c:v>
                </c:pt>
                <c:pt idx="68">
                  <c:v>5.36</c:v>
                </c:pt>
                <c:pt idx="69">
                  <c:v>5.48</c:v>
                </c:pt>
                <c:pt idx="70">
                  <c:v>5.61</c:v>
                </c:pt>
                <c:pt idx="71">
                  <c:v>5.6700000000000008</c:v>
                </c:pt>
                <c:pt idx="72">
                  <c:v>5.61</c:v>
                </c:pt>
                <c:pt idx="73">
                  <c:v>5.23</c:v>
                </c:pt>
                <c:pt idx="74">
                  <c:v>5.1100000000000003</c:v>
                </c:pt>
                <c:pt idx="75">
                  <c:v>5.1100000000000003</c:v>
                </c:pt>
                <c:pt idx="76">
                  <c:v>5.1700000000000008</c:v>
                </c:pt>
                <c:pt idx="77">
                  <c:v>5.29</c:v>
                </c:pt>
                <c:pt idx="78">
                  <c:v>5.36</c:v>
                </c:pt>
                <c:pt idx="79">
                  <c:v>5.48</c:v>
                </c:pt>
                <c:pt idx="80">
                  <c:v>5.6700000000000008</c:v>
                </c:pt>
                <c:pt idx="81">
                  <c:v>5.73</c:v>
                </c:pt>
                <c:pt idx="82">
                  <c:v>5.54</c:v>
                </c:pt>
                <c:pt idx="83">
                  <c:v>5.29</c:v>
                </c:pt>
                <c:pt idx="84">
                  <c:v>5.1700000000000008</c:v>
                </c:pt>
                <c:pt idx="85">
                  <c:v>5.1700000000000008</c:v>
                </c:pt>
                <c:pt idx="86">
                  <c:v>5.1700000000000008</c:v>
                </c:pt>
                <c:pt idx="87">
                  <c:v>5.29</c:v>
                </c:pt>
                <c:pt idx="88">
                  <c:v>5.36</c:v>
                </c:pt>
                <c:pt idx="89">
                  <c:v>5.48</c:v>
                </c:pt>
                <c:pt idx="90">
                  <c:v>5.61</c:v>
                </c:pt>
                <c:pt idx="91">
                  <c:v>5.73</c:v>
                </c:pt>
                <c:pt idx="92">
                  <c:v>5.54</c:v>
                </c:pt>
                <c:pt idx="93">
                  <c:v>5.23</c:v>
                </c:pt>
                <c:pt idx="94">
                  <c:v>5.1100000000000003</c:v>
                </c:pt>
                <c:pt idx="95">
                  <c:v>5.1700000000000008</c:v>
                </c:pt>
                <c:pt idx="96">
                  <c:v>5.23</c:v>
                </c:pt>
                <c:pt idx="97">
                  <c:v>5.29</c:v>
                </c:pt>
                <c:pt idx="98">
                  <c:v>5.4200000000000008</c:v>
                </c:pt>
                <c:pt idx="99">
                  <c:v>5.54</c:v>
                </c:pt>
                <c:pt idx="100">
                  <c:v>5.61</c:v>
                </c:pt>
                <c:pt idx="101">
                  <c:v>5.6700000000000008</c:v>
                </c:pt>
                <c:pt idx="102">
                  <c:v>5.48</c:v>
                </c:pt>
                <c:pt idx="103">
                  <c:v>5.23</c:v>
                </c:pt>
                <c:pt idx="104">
                  <c:v>5.1100000000000003</c:v>
                </c:pt>
                <c:pt idx="105">
                  <c:v>5.1100000000000003</c:v>
                </c:pt>
                <c:pt idx="106">
                  <c:v>5.1700000000000008</c:v>
                </c:pt>
                <c:pt idx="107">
                  <c:v>5.29</c:v>
                </c:pt>
                <c:pt idx="108">
                  <c:v>5.4200000000000008</c:v>
                </c:pt>
                <c:pt idx="109">
                  <c:v>5.54</c:v>
                </c:pt>
                <c:pt idx="110">
                  <c:v>5.6700000000000008</c:v>
                </c:pt>
                <c:pt idx="111">
                  <c:v>5.6700000000000008</c:v>
                </c:pt>
                <c:pt idx="112">
                  <c:v>5.48</c:v>
                </c:pt>
                <c:pt idx="113">
                  <c:v>5.23</c:v>
                </c:pt>
                <c:pt idx="114">
                  <c:v>5.1100000000000003</c:v>
                </c:pt>
                <c:pt idx="115">
                  <c:v>5.1700000000000008</c:v>
                </c:pt>
                <c:pt idx="116">
                  <c:v>5.23</c:v>
                </c:pt>
                <c:pt idx="117">
                  <c:v>5.29</c:v>
                </c:pt>
                <c:pt idx="118">
                  <c:v>5.4200000000000008</c:v>
                </c:pt>
                <c:pt idx="119">
                  <c:v>5.54</c:v>
                </c:pt>
                <c:pt idx="120">
                  <c:v>5.6700000000000008</c:v>
                </c:pt>
                <c:pt idx="121">
                  <c:v>5.6700000000000008</c:v>
                </c:pt>
                <c:pt idx="122">
                  <c:v>5.48</c:v>
                </c:pt>
                <c:pt idx="123">
                  <c:v>5.23</c:v>
                </c:pt>
                <c:pt idx="124">
                  <c:v>5.1100000000000003</c:v>
                </c:pt>
                <c:pt idx="125">
                  <c:v>5.1700000000000008</c:v>
                </c:pt>
                <c:pt idx="126">
                  <c:v>5.1700000000000008</c:v>
                </c:pt>
                <c:pt idx="127">
                  <c:v>5.29</c:v>
                </c:pt>
                <c:pt idx="128">
                  <c:v>5.4200000000000008</c:v>
                </c:pt>
                <c:pt idx="129">
                  <c:v>5.54</c:v>
                </c:pt>
                <c:pt idx="130">
                  <c:v>5.6700000000000008</c:v>
                </c:pt>
                <c:pt idx="131">
                  <c:v>5.73</c:v>
                </c:pt>
                <c:pt idx="132">
                  <c:v>5.48</c:v>
                </c:pt>
                <c:pt idx="133">
                  <c:v>5.1700000000000008</c:v>
                </c:pt>
                <c:pt idx="134">
                  <c:v>5.1100000000000003</c:v>
                </c:pt>
                <c:pt idx="135">
                  <c:v>5.1700000000000008</c:v>
                </c:pt>
                <c:pt idx="136">
                  <c:v>5.1700000000000008</c:v>
                </c:pt>
                <c:pt idx="137">
                  <c:v>5.29</c:v>
                </c:pt>
                <c:pt idx="138">
                  <c:v>5.4200000000000008</c:v>
                </c:pt>
                <c:pt idx="139">
                  <c:v>5.48</c:v>
                </c:pt>
                <c:pt idx="140">
                  <c:v>5.6700000000000008</c:v>
                </c:pt>
                <c:pt idx="141">
                  <c:v>5.6700000000000008</c:v>
                </c:pt>
                <c:pt idx="142">
                  <c:v>5.48</c:v>
                </c:pt>
                <c:pt idx="143">
                  <c:v>5.23</c:v>
                </c:pt>
                <c:pt idx="144">
                  <c:v>5.1100000000000003</c:v>
                </c:pt>
                <c:pt idx="145">
                  <c:v>5.1700000000000008</c:v>
                </c:pt>
                <c:pt idx="146">
                  <c:v>5.23</c:v>
                </c:pt>
                <c:pt idx="147">
                  <c:v>5.29</c:v>
                </c:pt>
                <c:pt idx="148">
                  <c:v>5.4200000000000008</c:v>
                </c:pt>
                <c:pt idx="149">
                  <c:v>5.54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44F-C64D-B929-D64B6A8A24D9}"/>
            </c:ext>
          </c:extLst>
        </c:ser>
        <c:ser>
          <c:idx val="2"/>
          <c:order val="2"/>
          <c:tx>
            <c:strRef>
              <c:f>'2. Calculs'!$T$4</c:f>
              <c:strCache>
                <c:ptCount val="1"/>
                <c:pt idx="0">
                  <c:v>HDAR/ (°C)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'2. Calculs'!$C$5:$C$154</c:f>
              <c:numCache>
                <c:formatCode>h:mm:ss\ AM/PM</c:formatCode>
                <c:ptCount val="150"/>
                <c:pt idx="0">
                  <c:v>0.51620370370370372</c:v>
                </c:pt>
                <c:pt idx="1">
                  <c:v>0.51689814814814816</c:v>
                </c:pt>
                <c:pt idx="2">
                  <c:v>0.5175925925925926</c:v>
                </c:pt>
                <c:pt idx="3">
                  <c:v>0.51828703703703705</c:v>
                </c:pt>
                <c:pt idx="4">
                  <c:v>0.51898148148148149</c:v>
                </c:pt>
                <c:pt idx="5">
                  <c:v>0.51967592592592593</c:v>
                </c:pt>
                <c:pt idx="6">
                  <c:v>0.52037037037037037</c:v>
                </c:pt>
                <c:pt idx="7">
                  <c:v>0.52106481481481481</c:v>
                </c:pt>
                <c:pt idx="8">
                  <c:v>0.52175925925925926</c:v>
                </c:pt>
                <c:pt idx="9">
                  <c:v>0.5224537037037037</c:v>
                </c:pt>
                <c:pt idx="10">
                  <c:v>0.52314814814814814</c:v>
                </c:pt>
                <c:pt idx="11">
                  <c:v>0.52384259259259258</c:v>
                </c:pt>
                <c:pt idx="12">
                  <c:v>0.52453703703703702</c:v>
                </c:pt>
                <c:pt idx="13">
                  <c:v>0.52523148148148147</c:v>
                </c:pt>
                <c:pt idx="14">
                  <c:v>0.52592592592592591</c:v>
                </c:pt>
                <c:pt idx="15">
                  <c:v>0.52662037037037035</c:v>
                </c:pt>
                <c:pt idx="16">
                  <c:v>0.52731481481481479</c:v>
                </c:pt>
                <c:pt idx="17">
                  <c:v>0.52800925925925923</c:v>
                </c:pt>
                <c:pt idx="18">
                  <c:v>0.52870370370370368</c:v>
                </c:pt>
                <c:pt idx="19">
                  <c:v>0.52939814814814812</c:v>
                </c:pt>
                <c:pt idx="20">
                  <c:v>0.53009259259259256</c:v>
                </c:pt>
                <c:pt idx="21">
                  <c:v>0.530787037037037</c:v>
                </c:pt>
                <c:pt idx="22">
                  <c:v>0.53148148148148155</c:v>
                </c:pt>
                <c:pt idx="23">
                  <c:v>0.53217592592592589</c:v>
                </c:pt>
                <c:pt idx="24">
                  <c:v>0.53287037037037044</c:v>
                </c:pt>
                <c:pt idx="25">
                  <c:v>0.53356481481481477</c:v>
                </c:pt>
                <c:pt idx="26">
                  <c:v>0.53425925925925932</c:v>
                </c:pt>
                <c:pt idx="27">
                  <c:v>0.53495370370370365</c:v>
                </c:pt>
                <c:pt idx="28">
                  <c:v>0.53564814814814821</c:v>
                </c:pt>
                <c:pt idx="29">
                  <c:v>0.53634259259259254</c:v>
                </c:pt>
                <c:pt idx="30">
                  <c:v>0.53703703703703709</c:v>
                </c:pt>
                <c:pt idx="31">
                  <c:v>0.53773148148148142</c:v>
                </c:pt>
                <c:pt idx="32">
                  <c:v>0.53842592592592597</c:v>
                </c:pt>
                <c:pt idx="33">
                  <c:v>0.53912037037037031</c:v>
                </c:pt>
                <c:pt idx="34">
                  <c:v>0.53981481481481486</c:v>
                </c:pt>
                <c:pt idx="35">
                  <c:v>0.54050925925925919</c:v>
                </c:pt>
                <c:pt idx="36">
                  <c:v>0.54120370370370374</c:v>
                </c:pt>
                <c:pt idx="37">
                  <c:v>0.54189814814814818</c:v>
                </c:pt>
                <c:pt idx="38">
                  <c:v>0.54259259259259263</c:v>
                </c:pt>
                <c:pt idx="39">
                  <c:v>0.54328703703703707</c:v>
                </c:pt>
                <c:pt idx="40">
                  <c:v>0.54398148148148151</c:v>
                </c:pt>
                <c:pt idx="41">
                  <c:v>0.54467592592592595</c:v>
                </c:pt>
                <c:pt idx="42">
                  <c:v>0.54537037037037039</c:v>
                </c:pt>
                <c:pt idx="43">
                  <c:v>0.54606481481481484</c:v>
                </c:pt>
                <c:pt idx="44">
                  <c:v>0.54675925925925928</c:v>
                </c:pt>
                <c:pt idx="45">
                  <c:v>0.54745370370370372</c:v>
                </c:pt>
                <c:pt idx="46">
                  <c:v>0.54814814814814816</c:v>
                </c:pt>
                <c:pt idx="47">
                  <c:v>0.5488425925925926</c:v>
                </c:pt>
                <c:pt idx="48">
                  <c:v>0.54953703703703705</c:v>
                </c:pt>
                <c:pt idx="49">
                  <c:v>0.55023148148148149</c:v>
                </c:pt>
                <c:pt idx="50">
                  <c:v>0.55092592592592593</c:v>
                </c:pt>
                <c:pt idx="51">
                  <c:v>0.55162037037037037</c:v>
                </c:pt>
                <c:pt idx="52">
                  <c:v>0.55231481481481481</c:v>
                </c:pt>
                <c:pt idx="53">
                  <c:v>0.55300925925925926</c:v>
                </c:pt>
                <c:pt idx="54">
                  <c:v>0.5537037037037037</c:v>
                </c:pt>
                <c:pt idx="55">
                  <c:v>0.55439814814814814</c:v>
                </c:pt>
                <c:pt idx="56">
                  <c:v>0.55509259259259258</c:v>
                </c:pt>
                <c:pt idx="57">
                  <c:v>0.55578703703703702</c:v>
                </c:pt>
                <c:pt idx="58">
                  <c:v>0.55648148148148147</c:v>
                </c:pt>
                <c:pt idx="59">
                  <c:v>0.55717592592592591</c:v>
                </c:pt>
                <c:pt idx="60">
                  <c:v>0.55787037037037035</c:v>
                </c:pt>
                <c:pt idx="61">
                  <c:v>0.55856481481481479</c:v>
                </c:pt>
                <c:pt idx="62">
                  <c:v>0.55925925925925923</c:v>
                </c:pt>
                <c:pt idx="63">
                  <c:v>0.55995370370370368</c:v>
                </c:pt>
                <c:pt idx="64">
                  <c:v>0.56064814814814812</c:v>
                </c:pt>
                <c:pt idx="65">
                  <c:v>0.56134259259259256</c:v>
                </c:pt>
                <c:pt idx="66">
                  <c:v>0.562037037037037</c:v>
                </c:pt>
                <c:pt idx="67">
                  <c:v>0.56273148148148155</c:v>
                </c:pt>
                <c:pt idx="68">
                  <c:v>0.56342592592592589</c:v>
                </c:pt>
                <c:pt idx="69">
                  <c:v>0.56412037037037044</c:v>
                </c:pt>
                <c:pt idx="70">
                  <c:v>0.56481481481481477</c:v>
                </c:pt>
                <c:pt idx="71">
                  <c:v>0.56550925925925932</c:v>
                </c:pt>
                <c:pt idx="72">
                  <c:v>0.56620370370370365</c:v>
                </c:pt>
                <c:pt idx="73">
                  <c:v>0.56689814814814821</c:v>
                </c:pt>
                <c:pt idx="74">
                  <c:v>0.56759259259259254</c:v>
                </c:pt>
                <c:pt idx="75">
                  <c:v>0.56828703703703709</c:v>
                </c:pt>
                <c:pt idx="76">
                  <c:v>0.56898148148148142</c:v>
                </c:pt>
                <c:pt idx="77">
                  <c:v>0.56967592592592597</c:v>
                </c:pt>
                <c:pt idx="78">
                  <c:v>0.57037037037037031</c:v>
                </c:pt>
                <c:pt idx="79">
                  <c:v>0.57106481481481486</c:v>
                </c:pt>
                <c:pt idx="80">
                  <c:v>0.57175925925925919</c:v>
                </c:pt>
                <c:pt idx="81">
                  <c:v>0.57245370370370374</c:v>
                </c:pt>
                <c:pt idx="82">
                  <c:v>0.57314814814814818</c:v>
                </c:pt>
                <c:pt idx="83">
                  <c:v>0.57384259259259263</c:v>
                </c:pt>
                <c:pt idx="84">
                  <c:v>0.57453703703703707</c:v>
                </c:pt>
                <c:pt idx="85">
                  <c:v>0.57523148148148151</c:v>
                </c:pt>
                <c:pt idx="86">
                  <c:v>0.57592592592592595</c:v>
                </c:pt>
                <c:pt idx="87">
                  <c:v>0.57662037037037039</c:v>
                </c:pt>
                <c:pt idx="88">
                  <c:v>0.57731481481481484</c:v>
                </c:pt>
                <c:pt idx="89">
                  <c:v>0.57800925925925928</c:v>
                </c:pt>
                <c:pt idx="90">
                  <c:v>0.57870370370370372</c:v>
                </c:pt>
                <c:pt idx="91">
                  <c:v>0.57938657407407412</c:v>
                </c:pt>
                <c:pt idx="92">
                  <c:v>0.5800925925925926</c:v>
                </c:pt>
                <c:pt idx="93">
                  <c:v>0.58078703703703705</c:v>
                </c:pt>
                <c:pt idx="94">
                  <c:v>0.58148148148148149</c:v>
                </c:pt>
                <c:pt idx="95">
                  <c:v>0.58217592592592593</c:v>
                </c:pt>
                <c:pt idx="96">
                  <c:v>0.58287037037037037</c:v>
                </c:pt>
                <c:pt idx="97">
                  <c:v>0.58356481481481481</c:v>
                </c:pt>
                <c:pt idx="98">
                  <c:v>0.58425925925925926</c:v>
                </c:pt>
                <c:pt idx="99">
                  <c:v>0.5849537037037037</c:v>
                </c:pt>
                <c:pt idx="100">
                  <c:v>0.58564814814814814</c:v>
                </c:pt>
                <c:pt idx="101">
                  <c:v>0.58634259259259258</c:v>
                </c:pt>
                <c:pt idx="102">
                  <c:v>0.58703703703703702</c:v>
                </c:pt>
                <c:pt idx="103">
                  <c:v>0.58773148148148147</c:v>
                </c:pt>
                <c:pt idx="104">
                  <c:v>0.58842592592592591</c:v>
                </c:pt>
                <c:pt idx="105">
                  <c:v>0.58912037037037035</c:v>
                </c:pt>
                <c:pt idx="106">
                  <c:v>0.58980324074074075</c:v>
                </c:pt>
                <c:pt idx="107">
                  <c:v>0.59050925925925923</c:v>
                </c:pt>
                <c:pt idx="108">
                  <c:v>0.59119212962962964</c:v>
                </c:pt>
                <c:pt idx="109">
                  <c:v>0.59189814814814812</c:v>
                </c:pt>
                <c:pt idx="110">
                  <c:v>0.59259259259259256</c:v>
                </c:pt>
                <c:pt idx="111">
                  <c:v>0.59327546296296296</c:v>
                </c:pt>
                <c:pt idx="112">
                  <c:v>0.59398148148148155</c:v>
                </c:pt>
                <c:pt idx="113">
                  <c:v>0.59467592592592589</c:v>
                </c:pt>
                <c:pt idx="114">
                  <c:v>0.59535879629629629</c:v>
                </c:pt>
                <c:pt idx="115">
                  <c:v>0.59605324074074073</c:v>
                </c:pt>
                <c:pt idx="116">
                  <c:v>0.59674768518518517</c:v>
                </c:pt>
                <c:pt idx="117">
                  <c:v>0.59744212962962961</c:v>
                </c:pt>
                <c:pt idx="118">
                  <c:v>0.59813657407407406</c:v>
                </c:pt>
                <c:pt idx="119">
                  <c:v>0.5988310185185185</c:v>
                </c:pt>
                <c:pt idx="120">
                  <c:v>0.59952546296296294</c:v>
                </c:pt>
                <c:pt idx="121">
                  <c:v>0.60021990740740738</c:v>
                </c:pt>
                <c:pt idx="122">
                  <c:v>0.60091435185185182</c:v>
                </c:pt>
                <c:pt idx="123">
                  <c:v>0.60160879629629627</c:v>
                </c:pt>
                <c:pt idx="124">
                  <c:v>0.60230324074074071</c:v>
                </c:pt>
                <c:pt idx="125">
                  <c:v>0.60299768518518515</c:v>
                </c:pt>
                <c:pt idx="126">
                  <c:v>0.6036921296296297</c:v>
                </c:pt>
                <c:pt idx="127">
                  <c:v>0.60438657407407403</c:v>
                </c:pt>
                <c:pt idx="128">
                  <c:v>0.60508101851851859</c:v>
                </c:pt>
                <c:pt idx="129">
                  <c:v>0.60577546296296292</c:v>
                </c:pt>
                <c:pt idx="130">
                  <c:v>0.60646990740740747</c:v>
                </c:pt>
                <c:pt idx="131">
                  <c:v>0.6071643518518518</c:v>
                </c:pt>
                <c:pt idx="132">
                  <c:v>0.60785879629629636</c:v>
                </c:pt>
                <c:pt idx="133">
                  <c:v>0.60855324074074069</c:v>
                </c:pt>
                <c:pt idx="134">
                  <c:v>0.60924768518518524</c:v>
                </c:pt>
                <c:pt idx="135">
                  <c:v>0.60994212962962957</c:v>
                </c:pt>
                <c:pt idx="136">
                  <c:v>0.61063657407407412</c:v>
                </c:pt>
                <c:pt idx="137">
                  <c:v>0.61133101851851845</c:v>
                </c:pt>
                <c:pt idx="138">
                  <c:v>0.61202546296296301</c:v>
                </c:pt>
                <c:pt idx="139">
                  <c:v>0.61271990740740734</c:v>
                </c:pt>
                <c:pt idx="140">
                  <c:v>0.61341435185185189</c:v>
                </c:pt>
                <c:pt idx="141">
                  <c:v>0.61410879629629633</c:v>
                </c:pt>
                <c:pt idx="142">
                  <c:v>0.61480324074074078</c:v>
                </c:pt>
                <c:pt idx="143">
                  <c:v>0.61549768518518522</c:v>
                </c:pt>
                <c:pt idx="144">
                  <c:v>0.61619212962962966</c:v>
                </c:pt>
                <c:pt idx="145">
                  <c:v>0.6168865740740741</c:v>
                </c:pt>
                <c:pt idx="146">
                  <c:v>0.61758101851851854</c:v>
                </c:pt>
                <c:pt idx="147">
                  <c:v>0.61827546296296299</c:v>
                </c:pt>
                <c:pt idx="148">
                  <c:v>0.61896990740740743</c:v>
                </c:pt>
                <c:pt idx="149">
                  <c:v>0.61966435185185187</c:v>
                </c:pt>
              </c:numCache>
            </c:numRef>
          </c:cat>
          <c:val>
            <c:numRef>
              <c:f>'2. Calculs'!$T$5:$T$154</c:f>
              <c:numCache>
                <c:formatCode>0.00</c:formatCode>
                <c:ptCount val="150"/>
                <c:pt idx="0">
                  <c:v>4.47</c:v>
                </c:pt>
                <c:pt idx="1">
                  <c:v>4.54</c:v>
                </c:pt>
                <c:pt idx="2">
                  <c:v>4.66</c:v>
                </c:pt>
                <c:pt idx="3">
                  <c:v>4.79</c:v>
                </c:pt>
                <c:pt idx="4">
                  <c:v>4.91</c:v>
                </c:pt>
                <c:pt idx="5">
                  <c:v>4.66</c:v>
                </c:pt>
                <c:pt idx="6">
                  <c:v>4.3500000000000005</c:v>
                </c:pt>
                <c:pt idx="7">
                  <c:v>4.22</c:v>
                </c:pt>
                <c:pt idx="8">
                  <c:v>4.22</c:v>
                </c:pt>
                <c:pt idx="9">
                  <c:v>4.3500000000000005</c:v>
                </c:pt>
                <c:pt idx="10">
                  <c:v>4.47</c:v>
                </c:pt>
                <c:pt idx="11">
                  <c:v>4.6000000000000005</c:v>
                </c:pt>
                <c:pt idx="12">
                  <c:v>4.79</c:v>
                </c:pt>
                <c:pt idx="13">
                  <c:v>4.91</c:v>
                </c:pt>
                <c:pt idx="14">
                  <c:v>4.72</c:v>
                </c:pt>
                <c:pt idx="15">
                  <c:v>4.41</c:v>
                </c:pt>
                <c:pt idx="16">
                  <c:v>4.22</c:v>
                </c:pt>
                <c:pt idx="17">
                  <c:v>4.22</c:v>
                </c:pt>
                <c:pt idx="18">
                  <c:v>4.29</c:v>
                </c:pt>
                <c:pt idx="19">
                  <c:v>4.41</c:v>
                </c:pt>
                <c:pt idx="20">
                  <c:v>4.6000000000000005</c:v>
                </c:pt>
                <c:pt idx="21">
                  <c:v>4.79</c:v>
                </c:pt>
                <c:pt idx="22">
                  <c:v>4.91</c:v>
                </c:pt>
                <c:pt idx="23">
                  <c:v>4.79</c:v>
                </c:pt>
                <c:pt idx="24">
                  <c:v>4.54</c:v>
                </c:pt>
                <c:pt idx="25">
                  <c:v>4.29</c:v>
                </c:pt>
                <c:pt idx="26">
                  <c:v>4.22</c:v>
                </c:pt>
                <c:pt idx="27">
                  <c:v>4.29</c:v>
                </c:pt>
                <c:pt idx="28">
                  <c:v>4.41</c:v>
                </c:pt>
                <c:pt idx="29">
                  <c:v>4.54</c:v>
                </c:pt>
                <c:pt idx="30">
                  <c:v>4.66</c:v>
                </c:pt>
                <c:pt idx="31">
                  <c:v>4.8500000000000005</c:v>
                </c:pt>
                <c:pt idx="32">
                  <c:v>4.97</c:v>
                </c:pt>
                <c:pt idx="33">
                  <c:v>4.72</c:v>
                </c:pt>
                <c:pt idx="34">
                  <c:v>4.41</c:v>
                </c:pt>
                <c:pt idx="35">
                  <c:v>4.22</c:v>
                </c:pt>
                <c:pt idx="36">
                  <c:v>4.29</c:v>
                </c:pt>
                <c:pt idx="37">
                  <c:v>4.3500000000000005</c:v>
                </c:pt>
                <c:pt idx="38">
                  <c:v>4.47</c:v>
                </c:pt>
                <c:pt idx="39">
                  <c:v>4.6000000000000005</c:v>
                </c:pt>
                <c:pt idx="40">
                  <c:v>4.79</c:v>
                </c:pt>
                <c:pt idx="41">
                  <c:v>4.91</c:v>
                </c:pt>
                <c:pt idx="42">
                  <c:v>4.91</c:v>
                </c:pt>
                <c:pt idx="43">
                  <c:v>4.6000000000000005</c:v>
                </c:pt>
                <c:pt idx="44">
                  <c:v>4.29</c:v>
                </c:pt>
                <c:pt idx="45">
                  <c:v>4.22</c:v>
                </c:pt>
                <c:pt idx="46">
                  <c:v>4.29</c:v>
                </c:pt>
                <c:pt idx="47">
                  <c:v>4.3500000000000005</c:v>
                </c:pt>
                <c:pt idx="48">
                  <c:v>4.47</c:v>
                </c:pt>
                <c:pt idx="49">
                  <c:v>4.66</c:v>
                </c:pt>
                <c:pt idx="50">
                  <c:v>4.79</c:v>
                </c:pt>
                <c:pt idx="51">
                  <c:v>4.97</c:v>
                </c:pt>
                <c:pt idx="52">
                  <c:v>4.8500000000000005</c:v>
                </c:pt>
                <c:pt idx="53">
                  <c:v>4.54</c:v>
                </c:pt>
                <c:pt idx="54">
                  <c:v>4.29</c:v>
                </c:pt>
                <c:pt idx="55">
                  <c:v>4.22</c:v>
                </c:pt>
                <c:pt idx="56">
                  <c:v>4.29</c:v>
                </c:pt>
                <c:pt idx="57">
                  <c:v>4.41</c:v>
                </c:pt>
                <c:pt idx="58">
                  <c:v>4.54</c:v>
                </c:pt>
                <c:pt idx="59">
                  <c:v>4.72</c:v>
                </c:pt>
                <c:pt idx="60">
                  <c:v>4.8500000000000005</c:v>
                </c:pt>
                <c:pt idx="61">
                  <c:v>4.97</c:v>
                </c:pt>
                <c:pt idx="62">
                  <c:v>4.79</c:v>
                </c:pt>
                <c:pt idx="63">
                  <c:v>4.41</c:v>
                </c:pt>
                <c:pt idx="64">
                  <c:v>4.29</c:v>
                </c:pt>
                <c:pt idx="65">
                  <c:v>4.22</c:v>
                </c:pt>
                <c:pt idx="66">
                  <c:v>4.3500000000000005</c:v>
                </c:pt>
                <c:pt idx="67">
                  <c:v>4.47</c:v>
                </c:pt>
                <c:pt idx="68">
                  <c:v>4.6000000000000005</c:v>
                </c:pt>
                <c:pt idx="69">
                  <c:v>4.72</c:v>
                </c:pt>
                <c:pt idx="70">
                  <c:v>4.91</c:v>
                </c:pt>
                <c:pt idx="71">
                  <c:v>4.97</c:v>
                </c:pt>
                <c:pt idx="72">
                  <c:v>4.72</c:v>
                </c:pt>
                <c:pt idx="73">
                  <c:v>4.3500000000000005</c:v>
                </c:pt>
                <c:pt idx="74">
                  <c:v>4.22</c:v>
                </c:pt>
                <c:pt idx="75">
                  <c:v>4.29</c:v>
                </c:pt>
                <c:pt idx="76">
                  <c:v>4.3500000000000005</c:v>
                </c:pt>
                <c:pt idx="77">
                  <c:v>4.41</c:v>
                </c:pt>
                <c:pt idx="78">
                  <c:v>4.6000000000000005</c:v>
                </c:pt>
                <c:pt idx="79">
                  <c:v>4.72</c:v>
                </c:pt>
                <c:pt idx="80">
                  <c:v>4.91</c:v>
                </c:pt>
                <c:pt idx="81">
                  <c:v>4.91</c:v>
                </c:pt>
                <c:pt idx="82">
                  <c:v>4.66</c:v>
                </c:pt>
                <c:pt idx="83">
                  <c:v>4.3500000000000005</c:v>
                </c:pt>
                <c:pt idx="84">
                  <c:v>4.22</c:v>
                </c:pt>
                <c:pt idx="85">
                  <c:v>4.29</c:v>
                </c:pt>
                <c:pt idx="86">
                  <c:v>4.3500000000000005</c:v>
                </c:pt>
                <c:pt idx="87">
                  <c:v>4.47</c:v>
                </c:pt>
                <c:pt idx="88">
                  <c:v>4.6000000000000005</c:v>
                </c:pt>
                <c:pt idx="89">
                  <c:v>4.72</c:v>
                </c:pt>
                <c:pt idx="90">
                  <c:v>4.91</c:v>
                </c:pt>
                <c:pt idx="91">
                  <c:v>4.91</c:v>
                </c:pt>
                <c:pt idx="92">
                  <c:v>4.66</c:v>
                </c:pt>
                <c:pt idx="93">
                  <c:v>4.3500000000000005</c:v>
                </c:pt>
                <c:pt idx="94">
                  <c:v>4.22</c:v>
                </c:pt>
                <c:pt idx="95">
                  <c:v>4.29</c:v>
                </c:pt>
                <c:pt idx="96">
                  <c:v>4.3500000000000005</c:v>
                </c:pt>
                <c:pt idx="97">
                  <c:v>4.47</c:v>
                </c:pt>
                <c:pt idx="98">
                  <c:v>4.6000000000000005</c:v>
                </c:pt>
                <c:pt idx="99">
                  <c:v>4.79</c:v>
                </c:pt>
                <c:pt idx="100">
                  <c:v>4.91</c:v>
                </c:pt>
                <c:pt idx="101">
                  <c:v>4.91</c:v>
                </c:pt>
                <c:pt idx="102">
                  <c:v>4.6000000000000005</c:v>
                </c:pt>
                <c:pt idx="103">
                  <c:v>4.29</c:v>
                </c:pt>
                <c:pt idx="104">
                  <c:v>4.22</c:v>
                </c:pt>
                <c:pt idx="105">
                  <c:v>4.29</c:v>
                </c:pt>
                <c:pt idx="106">
                  <c:v>4.3500000000000005</c:v>
                </c:pt>
                <c:pt idx="107">
                  <c:v>4.47</c:v>
                </c:pt>
                <c:pt idx="108">
                  <c:v>4.6000000000000005</c:v>
                </c:pt>
                <c:pt idx="109">
                  <c:v>4.79</c:v>
                </c:pt>
                <c:pt idx="110">
                  <c:v>4.91</c:v>
                </c:pt>
                <c:pt idx="111">
                  <c:v>4.91</c:v>
                </c:pt>
                <c:pt idx="112">
                  <c:v>4.6000000000000005</c:v>
                </c:pt>
                <c:pt idx="113">
                  <c:v>4.29</c:v>
                </c:pt>
                <c:pt idx="114">
                  <c:v>4.22</c:v>
                </c:pt>
                <c:pt idx="115">
                  <c:v>4.29</c:v>
                </c:pt>
                <c:pt idx="116">
                  <c:v>4.3500000000000005</c:v>
                </c:pt>
                <c:pt idx="117">
                  <c:v>4.47</c:v>
                </c:pt>
                <c:pt idx="118">
                  <c:v>4.66</c:v>
                </c:pt>
                <c:pt idx="119">
                  <c:v>4.79</c:v>
                </c:pt>
                <c:pt idx="120">
                  <c:v>4.97</c:v>
                </c:pt>
                <c:pt idx="121">
                  <c:v>4.91</c:v>
                </c:pt>
                <c:pt idx="122">
                  <c:v>4.6000000000000005</c:v>
                </c:pt>
                <c:pt idx="123">
                  <c:v>4.29</c:v>
                </c:pt>
                <c:pt idx="124">
                  <c:v>4.22</c:v>
                </c:pt>
                <c:pt idx="125">
                  <c:v>4.29</c:v>
                </c:pt>
                <c:pt idx="126">
                  <c:v>4.3500000000000005</c:v>
                </c:pt>
                <c:pt idx="127">
                  <c:v>4.47</c:v>
                </c:pt>
                <c:pt idx="128">
                  <c:v>4.66</c:v>
                </c:pt>
                <c:pt idx="129">
                  <c:v>4.79</c:v>
                </c:pt>
                <c:pt idx="130">
                  <c:v>4.91</c:v>
                </c:pt>
                <c:pt idx="131">
                  <c:v>4.91</c:v>
                </c:pt>
                <c:pt idx="132">
                  <c:v>4.6000000000000005</c:v>
                </c:pt>
                <c:pt idx="133">
                  <c:v>4.29</c:v>
                </c:pt>
                <c:pt idx="134">
                  <c:v>4.22</c:v>
                </c:pt>
                <c:pt idx="135">
                  <c:v>4.22</c:v>
                </c:pt>
                <c:pt idx="136">
                  <c:v>4.3500000000000005</c:v>
                </c:pt>
                <c:pt idx="137">
                  <c:v>4.47</c:v>
                </c:pt>
                <c:pt idx="138">
                  <c:v>4.66</c:v>
                </c:pt>
                <c:pt idx="139">
                  <c:v>4.79</c:v>
                </c:pt>
                <c:pt idx="140">
                  <c:v>4.91</c:v>
                </c:pt>
                <c:pt idx="141">
                  <c:v>4.91</c:v>
                </c:pt>
                <c:pt idx="142">
                  <c:v>4.6000000000000005</c:v>
                </c:pt>
                <c:pt idx="143">
                  <c:v>4.29</c:v>
                </c:pt>
                <c:pt idx="144">
                  <c:v>4.22</c:v>
                </c:pt>
                <c:pt idx="145">
                  <c:v>4.29</c:v>
                </c:pt>
                <c:pt idx="146">
                  <c:v>4.3500000000000005</c:v>
                </c:pt>
                <c:pt idx="147">
                  <c:v>4.47</c:v>
                </c:pt>
                <c:pt idx="148">
                  <c:v>4.66</c:v>
                </c:pt>
                <c:pt idx="149">
                  <c:v>4.79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244F-C64D-B929-D64B6A8A24D9}"/>
            </c:ext>
          </c:extLst>
        </c:ser>
        <c:ser>
          <c:idx val="3"/>
          <c:order val="3"/>
          <c:tx>
            <c:strRef>
              <c:f>'2. Calculs'!$U$4</c:f>
              <c:strCache>
                <c:ptCount val="1"/>
                <c:pt idx="0">
                  <c:v>HDAV/ (°C)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'2. Calculs'!$C$5:$C$154</c:f>
              <c:numCache>
                <c:formatCode>h:mm:ss\ AM/PM</c:formatCode>
                <c:ptCount val="150"/>
                <c:pt idx="0">
                  <c:v>0.51620370370370372</c:v>
                </c:pt>
                <c:pt idx="1">
                  <c:v>0.51689814814814816</c:v>
                </c:pt>
                <c:pt idx="2">
                  <c:v>0.5175925925925926</c:v>
                </c:pt>
                <c:pt idx="3">
                  <c:v>0.51828703703703705</c:v>
                </c:pt>
                <c:pt idx="4">
                  <c:v>0.51898148148148149</c:v>
                </c:pt>
                <c:pt idx="5">
                  <c:v>0.51967592592592593</c:v>
                </c:pt>
                <c:pt idx="6">
                  <c:v>0.52037037037037037</c:v>
                </c:pt>
                <c:pt idx="7">
                  <c:v>0.52106481481481481</c:v>
                </c:pt>
                <c:pt idx="8">
                  <c:v>0.52175925925925926</c:v>
                </c:pt>
                <c:pt idx="9">
                  <c:v>0.5224537037037037</c:v>
                </c:pt>
                <c:pt idx="10">
                  <c:v>0.52314814814814814</c:v>
                </c:pt>
                <c:pt idx="11">
                  <c:v>0.52384259259259258</c:v>
                </c:pt>
                <c:pt idx="12">
                  <c:v>0.52453703703703702</c:v>
                </c:pt>
                <c:pt idx="13">
                  <c:v>0.52523148148148147</c:v>
                </c:pt>
                <c:pt idx="14">
                  <c:v>0.52592592592592591</c:v>
                </c:pt>
                <c:pt idx="15">
                  <c:v>0.52662037037037035</c:v>
                </c:pt>
                <c:pt idx="16">
                  <c:v>0.52731481481481479</c:v>
                </c:pt>
                <c:pt idx="17">
                  <c:v>0.52800925925925923</c:v>
                </c:pt>
                <c:pt idx="18">
                  <c:v>0.52870370370370368</c:v>
                </c:pt>
                <c:pt idx="19">
                  <c:v>0.52939814814814812</c:v>
                </c:pt>
                <c:pt idx="20">
                  <c:v>0.53009259259259256</c:v>
                </c:pt>
                <c:pt idx="21">
                  <c:v>0.530787037037037</c:v>
                </c:pt>
                <c:pt idx="22">
                  <c:v>0.53148148148148155</c:v>
                </c:pt>
                <c:pt idx="23">
                  <c:v>0.53217592592592589</c:v>
                </c:pt>
                <c:pt idx="24">
                  <c:v>0.53287037037037044</c:v>
                </c:pt>
                <c:pt idx="25">
                  <c:v>0.53356481481481477</c:v>
                </c:pt>
                <c:pt idx="26">
                  <c:v>0.53425925925925932</c:v>
                </c:pt>
                <c:pt idx="27">
                  <c:v>0.53495370370370365</c:v>
                </c:pt>
                <c:pt idx="28">
                  <c:v>0.53564814814814821</c:v>
                </c:pt>
                <c:pt idx="29">
                  <c:v>0.53634259259259254</c:v>
                </c:pt>
                <c:pt idx="30">
                  <c:v>0.53703703703703709</c:v>
                </c:pt>
                <c:pt idx="31">
                  <c:v>0.53773148148148142</c:v>
                </c:pt>
                <c:pt idx="32">
                  <c:v>0.53842592592592597</c:v>
                </c:pt>
                <c:pt idx="33">
                  <c:v>0.53912037037037031</c:v>
                </c:pt>
                <c:pt idx="34">
                  <c:v>0.53981481481481486</c:v>
                </c:pt>
                <c:pt idx="35">
                  <c:v>0.54050925925925919</c:v>
                </c:pt>
                <c:pt idx="36">
                  <c:v>0.54120370370370374</c:v>
                </c:pt>
                <c:pt idx="37">
                  <c:v>0.54189814814814818</c:v>
                </c:pt>
                <c:pt idx="38">
                  <c:v>0.54259259259259263</c:v>
                </c:pt>
                <c:pt idx="39">
                  <c:v>0.54328703703703707</c:v>
                </c:pt>
                <c:pt idx="40">
                  <c:v>0.54398148148148151</c:v>
                </c:pt>
                <c:pt idx="41">
                  <c:v>0.54467592592592595</c:v>
                </c:pt>
                <c:pt idx="42">
                  <c:v>0.54537037037037039</c:v>
                </c:pt>
                <c:pt idx="43">
                  <c:v>0.54606481481481484</c:v>
                </c:pt>
                <c:pt idx="44">
                  <c:v>0.54675925925925928</c:v>
                </c:pt>
                <c:pt idx="45">
                  <c:v>0.54745370370370372</c:v>
                </c:pt>
                <c:pt idx="46">
                  <c:v>0.54814814814814816</c:v>
                </c:pt>
                <c:pt idx="47">
                  <c:v>0.5488425925925926</c:v>
                </c:pt>
                <c:pt idx="48">
                  <c:v>0.54953703703703705</c:v>
                </c:pt>
                <c:pt idx="49">
                  <c:v>0.55023148148148149</c:v>
                </c:pt>
                <c:pt idx="50">
                  <c:v>0.55092592592592593</c:v>
                </c:pt>
                <c:pt idx="51">
                  <c:v>0.55162037037037037</c:v>
                </c:pt>
                <c:pt idx="52">
                  <c:v>0.55231481481481481</c:v>
                </c:pt>
                <c:pt idx="53">
                  <c:v>0.55300925925925926</c:v>
                </c:pt>
                <c:pt idx="54">
                  <c:v>0.5537037037037037</c:v>
                </c:pt>
                <c:pt idx="55">
                  <c:v>0.55439814814814814</c:v>
                </c:pt>
                <c:pt idx="56">
                  <c:v>0.55509259259259258</c:v>
                </c:pt>
                <c:pt idx="57">
                  <c:v>0.55578703703703702</c:v>
                </c:pt>
                <c:pt idx="58">
                  <c:v>0.55648148148148147</c:v>
                </c:pt>
                <c:pt idx="59">
                  <c:v>0.55717592592592591</c:v>
                </c:pt>
                <c:pt idx="60">
                  <c:v>0.55787037037037035</c:v>
                </c:pt>
                <c:pt idx="61">
                  <c:v>0.55856481481481479</c:v>
                </c:pt>
                <c:pt idx="62">
                  <c:v>0.55925925925925923</c:v>
                </c:pt>
                <c:pt idx="63">
                  <c:v>0.55995370370370368</c:v>
                </c:pt>
                <c:pt idx="64">
                  <c:v>0.56064814814814812</c:v>
                </c:pt>
                <c:pt idx="65">
                  <c:v>0.56134259259259256</c:v>
                </c:pt>
                <c:pt idx="66">
                  <c:v>0.562037037037037</c:v>
                </c:pt>
                <c:pt idx="67">
                  <c:v>0.56273148148148155</c:v>
                </c:pt>
                <c:pt idx="68">
                  <c:v>0.56342592592592589</c:v>
                </c:pt>
                <c:pt idx="69">
                  <c:v>0.56412037037037044</c:v>
                </c:pt>
                <c:pt idx="70">
                  <c:v>0.56481481481481477</c:v>
                </c:pt>
                <c:pt idx="71">
                  <c:v>0.56550925925925932</c:v>
                </c:pt>
                <c:pt idx="72">
                  <c:v>0.56620370370370365</c:v>
                </c:pt>
                <c:pt idx="73">
                  <c:v>0.56689814814814821</c:v>
                </c:pt>
                <c:pt idx="74">
                  <c:v>0.56759259259259254</c:v>
                </c:pt>
                <c:pt idx="75">
                  <c:v>0.56828703703703709</c:v>
                </c:pt>
                <c:pt idx="76">
                  <c:v>0.56898148148148142</c:v>
                </c:pt>
                <c:pt idx="77">
                  <c:v>0.56967592592592597</c:v>
                </c:pt>
                <c:pt idx="78">
                  <c:v>0.57037037037037031</c:v>
                </c:pt>
                <c:pt idx="79">
                  <c:v>0.57106481481481486</c:v>
                </c:pt>
                <c:pt idx="80">
                  <c:v>0.57175925925925919</c:v>
                </c:pt>
                <c:pt idx="81">
                  <c:v>0.57245370370370374</c:v>
                </c:pt>
                <c:pt idx="82">
                  <c:v>0.57314814814814818</c:v>
                </c:pt>
                <c:pt idx="83">
                  <c:v>0.57384259259259263</c:v>
                </c:pt>
                <c:pt idx="84">
                  <c:v>0.57453703703703707</c:v>
                </c:pt>
                <c:pt idx="85">
                  <c:v>0.57523148148148151</c:v>
                </c:pt>
                <c:pt idx="86">
                  <c:v>0.57592592592592595</c:v>
                </c:pt>
                <c:pt idx="87">
                  <c:v>0.57662037037037039</c:v>
                </c:pt>
                <c:pt idx="88">
                  <c:v>0.57731481481481484</c:v>
                </c:pt>
                <c:pt idx="89">
                  <c:v>0.57800925925925928</c:v>
                </c:pt>
                <c:pt idx="90">
                  <c:v>0.57870370370370372</c:v>
                </c:pt>
                <c:pt idx="91">
                  <c:v>0.57938657407407412</c:v>
                </c:pt>
                <c:pt idx="92">
                  <c:v>0.5800925925925926</c:v>
                </c:pt>
                <c:pt idx="93">
                  <c:v>0.58078703703703705</c:v>
                </c:pt>
                <c:pt idx="94">
                  <c:v>0.58148148148148149</c:v>
                </c:pt>
                <c:pt idx="95">
                  <c:v>0.58217592592592593</c:v>
                </c:pt>
                <c:pt idx="96">
                  <c:v>0.58287037037037037</c:v>
                </c:pt>
                <c:pt idx="97">
                  <c:v>0.58356481481481481</c:v>
                </c:pt>
                <c:pt idx="98">
                  <c:v>0.58425925925925926</c:v>
                </c:pt>
                <c:pt idx="99">
                  <c:v>0.5849537037037037</c:v>
                </c:pt>
                <c:pt idx="100">
                  <c:v>0.58564814814814814</c:v>
                </c:pt>
                <c:pt idx="101">
                  <c:v>0.58634259259259258</c:v>
                </c:pt>
                <c:pt idx="102">
                  <c:v>0.58703703703703702</c:v>
                </c:pt>
                <c:pt idx="103">
                  <c:v>0.58773148148148147</c:v>
                </c:pt>
                <c:pt idx="104">
                  <c:v>0.58842592592592591</c:v>
                </c:pt>
                <c:pt idx="105">
                  <c:v>0.58912037037037035</c:v>
                </c:pt>
                <c:pt idx="106">
                  <c:v>0.58980324074074075</c:v>
                </c:pt>
                <c:pt idx="107">
                  <c:v>0.59050925925925923</c:v>
                </c:pt>
                <c:pt idx="108">
                  <c:v>0.59119212962962964</c:v>
                </c:pt>
                <c:pt idx="109">
                  <c:v>0.59189814814814812</c:v>
                </c:pt>
                <c:pt idx="110">
                  <c:v>0.59259259259259256</c:v>
                </c:pt>
                <c:pt idx="111">
                  <c:v>0.59327546296296296</c:v>
                </c:pt>
                <c:pt idx="112">
                  <c:v>0.59398148148148155</c:v>
                </c:pt>
                <c:pt idx="113">
                  <c:v>0.59467592592592589</c:v>
                </c:pt>
                <c:pt idx="114">
                  <c:v>0.59535879629629629</c:v>
                </c:pt>
                <c:pt idx="115">
                  <c:v>0.59605324074074073</c:v>
                </c:pt>
                <c:pt idx="116">
                  <c:v>0.59674768518518517</c:v>
                </c:pt>
                <c:pt idx="117">
                  <c:v>0.59744212962962961</c:v>
                </c:pt>
                <c:pt idx="118">
                  <c:v>0.59813657407407406</c:v>
                </c:pt>
                <c:pt idx="119">
                  <c:v>0.5988310185185185</c:v>
                </c:pt>
                <c:pt idx="120">
                  <c:v>0.59952546296296294</c:v>
                </c:pt>
                <c:pt idx="121">
                  <c:v>0.60021990740740738</c:v>
                </c:pt>
                <c:pt idx="122">
                  <c:v>0.60091435185185182</c:v>
                </c:pt>
                <c:pt idx="123">
                  <c:v>0.60160879629629627</c:v>
                </c:pt>
                <c:pt idx="124">
                  <c:v>0.60230324074074071</c:v>
                </c:pt>
                <c:pt idx="125">
                  <c:v>0.60299768518518515</c:v>
                </c:pt>
                <c:pt idx="126">
                  <c:v>0.6036921296296297</c:v>
                </c:pt>
                <c:pt idx="127">
                  <c:v>0.60438657407407403</c:v>
                </c:pt>
                <c:pt idx="128">
                  <c:v>0.60508101851851859</c:v>
                </c:pt>
                <c:pt idx="129">
                  <c:v>0.60577546296296292</c:v>
                </c:pt>
                <c:pt idx="130">
                  <c:v>0.60646990740740747</c:v>
                </c:pt>
                <c:pt idx="131">
                  <c:v>0.6071643518518518</c:v>
                </c:pt>
                <c:pt idx="132">
                  <c:v>0.60785879629629636</c:v>
                </c:pt>
                <c:pt idx="133">
                  <c:v>0.60855324074074069</c:v>
                </c:pt>
                <c:pt idx="134">
                  <c:v>0.60924768518518524</c:v>
                </c:pt>
                <c:pt idx="135">
                  <c:v>0.60994212962962957</c:v>
                </c:pt>
                <c:pt idx="136">
                  <c:v>0.61063657407407412</c:v>
                </c:pt>
                <c:pt idx="137">
                  <c:v>0.61133101851851845</c:v>
                </c:pt>
                <c:pt idx="138">
                  <c:v>0.61202546296296301</c:v>
                </c:pt>
                <c:pt idx="139">
                  <c:v>0.61271990740740734</c:v>
                </c:pt>
                <c:pt idx="140">
                  <c:v>0.61341435185185189</c:v>
                </c:pt>
                <c:pt idx="141">
                  <c:v>0.61410879629629633</c:v>
                </c:pt>
                <c:pt idx="142">
                  <c:v>0.61480324074074078</c:v>
                </c:pt>
                <c:pt idx="143">
                  <c:v>0.61549768518518522</c:v>
                </c:pt>
                <c:pt idx="144">
                  <c:v>0.61619212962962966</c:v>
                </c:pt>
                <c:pt idx="145">
                  <c:v>0.6168865740740741</c:v>
                </c:pt>
                <c:pt idx="146">
                  <c:v>0.61758101851851854</c:v>
                </c:pt>
                <c:pt idx="147">
                  <c:v>0.61827546296296299</c:v>
                </c:pt>
                <c:pt idx="148">
                  <c:v>0.61896990740740743</c:v>
                </c:pt>
                <c:pt idx="149">
                  <c:v>0.61966435185185187</c:v>
                </c:pt>
              </c:numCache>
            </c:numRef>
          </c:cat>
          <c:val>
            <c:numRef>
              <c:f>'2. Calculs'!$U$5:$U$154</c:f>
              <c:numCache>
                <c:formatCode>0.00</c:formatCode>
                <c:ptCount val="150"/>
                <c:pt idx="0">
                  <c:v>5.0199999999999996</c:v>
                </c:pt>
                <c:pt idx="1">
                  <c:v>5.1499999999999995</c:v>
                </c:pt>
                <c:pt idx="2">
                  <c:v>5.27</c:v>
                </c:pt>
                <c:pt idx="3">
                  <c:v>5.3999999999999995</c:v>
                </c:pt>
                <c:pt idx="4">
                  <c:v>5.52</c:v>
                </c:pt>
                <c:pt idx="5">
                  <c:v>5.21</c:v>
                </c:pt>
                <c:pt idx="6">
                  <c:v>4.7699999999999996</c:v>
                </c:pt>
                <c:pt idx="7">
                  <c:v>4.7699999999999996</c:v>
                </c:pt>
                <c:pt idx="8">
                  <c:v>4.8299999999999992</c:v>
                </c:pt>
                <c:pt idx="9">
                  <c:v>5.0199999999999996</c:v>
                </c:pt>
                <c:pt idx="10">
                  <c:v>5.1499999999999995</c:v>
                </c:pt>
                <c:pt idx="11">
                  <c:v>5.3299999999999992</c:v>
                </c:pt>
                <c:pt idx="12">
                  <c:v>5.46</c:v>
                </c:pt>
                <c:pt idx="13">
                  <c:v>5.5799999999999992</c:v>
                </c:pt>
                <c:pt idx="14">
                  <c:v>5.3999999999999995</c:v>
                </c:pt>
                <c:pt idx="15">
                  <c:v>4.8999999999999995</c:v>
                </c:pt>
                <c:pt idx="16">
                  <c:v>4.8299999999999992</c:v>
                </c:pt>
                <c:pt idx="17">
                  <c:v>4.8999999999999995</c:v>
                </c:pt>
                <c:pt idx="18">
                  <c:v>5.0199999999999996</c:v>
                </c:pt>
                <c:pt idx="19">
                  <c:v>5.1499999999999995</c:v>
                </c:pt>
                <c:pt idx="20">
                  <c:v>5.27</c:v>
                </c:pt>
                <c:pt idx="21">
                  <c:v>5.46</c:v>
                </c:pt>
                <c:pt idx="22">
                  <c:v>5.5799999999999992</c:v>
                </c:pt>
                <c:pt idx="23">
                  <c:v>5.46</c:v>
                </c:pt>
                <c:pt idx="24">
                  <c:v>5.0199999999999996</c:v>
                </c:pt>
                <c:pt idx="25">
                  <c:v>4.6499999999999995</c:v>
                </c:pt>
                <c:pt idx="26">
                  <c:v>4.71</c:v>
                </c:pt>
                <c:pt idx="27">
                  <c:v>4.8299999999999992</c:v>
                </c:pt>
                <c:pt idx="28">
                  <c:v>4.8999999999999995</c:v>
                </c:pt>
                <c:pt idx="29">
                  <c:v>5.0799999999999992</c:v>
                </c:pt>
                <c:pt idx="30">
                  <c:v>5.21</c:v>
                </c:pt>
                <c:pt idx="31">
                  <c:v>5.3999999999999995</c:v>
                </c:pt>
                <c:pt idx="32">
                  <c:v>5.52</c:v>
                </c:pt>
                <c:pt idx="33">
                  <c:v>5.21</c:v>
                </c:pt>
                <c:pt idx="34">
                  <c:v>4.71</c:v>
                </c:pt>
                <c:pt idx="35">
                  <c:v>4.6499999999999995</c:v>
                </c:pt>
                <c:pt idx="36">
                  <c:v>4.7699999999999996</c:v>
                </c:pt>
                <c:pt idx="37">
                  <c:v>4.8999999999999995</c:v>
                </c:pt>
                <c:pt idx="38">
                  <c:v>5.0199999999999996</c:v>
                </c:pt>
                <c:pt idx="39">
                  <c:v>5.21</c:v>
                </c:pt>
                <c:pt idx="40">
                  <c:v>5.3299999999999992</c:v>
                </c:pt>
                <c:pt idx="41">
                  <c:v>5.46</c:v>
                </c:pt>
                <c:pt idx="42">
                  <c:v>5.46</c:v>
                </c:pt>
                <c:pt idx="43">
                  <c:v>5.0199999999999996</c:v>
                </c:pt>
                <c:pt idx="44">
                  <c:v>4.71</c:v>
                </c:pt>
                <c:pt idx="45">
                  <c:v>4.7699999999999996</c:v>
                </c:pt>
                <c:pt idx="46">
                  <c:v>4.8299999999999992</c:v>
                </c:pt>
                <c:pt idx="47">
                  <c:v>4.96</c:v>
                </c:pt>
                <c:pt idx="48">
                  <c:v>5.0799999999999992</c:v>
                </c:pt>
                <c:pt idx="49">
                  <c:v>5.21</c:v>
                </c:pt>
                <c:pt idx="50">
                  <c:v>5.3999999999999995</c:v>
                </c:pt>
                <c:pt idx="51">
                  <c:v>5.52</c:v>
                </c:pt>
                <c:pt idx="52">
                  <c:v>5.3299999999999992</c:v>
                </c:pt>
                <c:pt idx="53">
                  <c:v>5.0199999999999996</c:v>
                </c:pt>
                <c:pt idx="54">
                  <c:v>4.71</c:v>
                </c:pt>
                <c:pt idx="55">
                  <c:v>4.7699999999999996</c:v>
                </c:pt>
                <c:pt idx="56">
                  <c:v>4.8999999999999995</c:v>
                </c:pt>
                <c:pt idx="57">
                  <c:v>5.0199999999999996</c:v>
                </c:pt>
                <c:pt idx="58">
                  <c:v>5.1499999999999995</c:v>
                </c:pt>
                <c:pt idx="59">
                  <c:v>5.3299999999999992</c:v>
                </c:pt>
                <c:pt idx="60">
                  <c:v>5.46</c:v>
                </c:pt>
                <c:pt idx="61">
                  <c:v>5.5799999999999992</c:v>
                </c:pt>
                <c:pt idx="62">
                  <c:v>5.27</c:v>
                </c:pt>
                <c:pt idx="63">
                  <c:v>4.8999999999999995</c:v>
                </c:pt>
                <c:pt idx="64">
                  <c:v>4.7699999999999996</c:v>
                </c:pt>
                <c:pt idx="65">
                  <c:v>4.8999999999999995</c:v>
                </c:pt>
                <c:pt idx="66">
                  <c:v>4.96</c:v>
                </c:pt>
                <c:pt idx="67">
                  <c:v>5.0199999999999996</c:v>
                </c:pt>
                <c:pt idx="68">
                  <c:v>5.21</c:v>
                </c:pt>
                <c:pt idx="69">
                  <c:v>5.3299999999999992</c:v>
                </c:pt>
                <c:pt idx="70">
                  <c:v>5.52</c:v>
                </c:pt>
                <c:pt idx="71">
                  <c:v>5.5799999999999992</c:v>
                </c:pt>
                <c:pt idx="72">
                  <c:v>5.27</c:v>
                </c:pt>
                <c:pt idx="73">
                  <c:v>4.8299999999999992</c:v>
                </c:pt>
                <c:pt idx="74">
                  <c:v>4.7699999999999996</c:v>
                </c:pt>
                <c:pt idx="75">
                  <c:v>4.8299999999999992</c:v>
                </c:pt>
                <c:pt idx="76">
                  <c:v>4.8999999999999995</c:v>
                </c:pt>
                <c:pt idx="77">
                  <c:v>5.0199999999999996</c:v>
                </c:pt>
                <c:pt idx="78">
                  <c:v>5.21</c:v>
                </c:pt>
                <c:pt idx="79">
                  <c:v>5.3299999999999992</c:v>
                </c:pt>
                <c:pt idx="80">
                  <c:v>5.52</c:v>
                </c:pt>
                <c:pt idx="81">
                  <c:v>5.52</c:v>
                </c:pt>
                <c:pt idx="82">
                  <c:v>5.1499999999999995</c:v>
                </c:pt>
                <c:pt idx="83">
                  <c:v>4.8299999999999992</c:v>
                </c:pt>
                <c:pt idx="84">
                  <c:v>4.7699999999999996</c:v>
                </c:pt>
                <c:pt idx="85">
                  <c:v>4.8299999999999992</c:v>
                </c:pt>
                <c:pt idx="86">
                  <c:v>4.96</c:v>
                </c:pt>
                <c:pt idx="87">
                  <c:v>5.0799999999999992</c:v>
                </c:pt>
                <c:pt idx="88">
                  <c:v>5.21</c:v>
                </c:pt>
                <c:pt idx="89">
                  <c:v>5.3999999999999995</c:v>
                </c:pt>
                <c:pt idx="90">
                  <c:v>5.52</c:v>
                </c:pt>
                <c:pt idx="91">
                  <c:v>5.52</c:v>
                </c:pt>
                <c:pt idx="92">
                  <c:v>5.21</c:v>
                </c:pt>
                <c:pt idx="93">
                  <c:v>4.7699999999999996</c:v>
                </c:pt>
                <c:pt idx="94">
                  <c:v>4.8299999999999992</c:v>
                </c:pt>
                <c:pt idx="95">
                  <c:v>4.8999999999999995</c:v>
                </c:pt>
                <c:pt idx="96">
                  <c:v>5.0199999999999996</c:v>
                </c:pt>
                <c:pt idx="97">
                  <c:v>5.0799999999999992</c:v>
                </c:pt>
                <c:pt idx="98">
                  <c:v>5.27</c:v>
                </c:pt>
                <c:pt idx="99">
                  <c:v>5.3999999999999995</c:v>
                </c:pt>
                <c:pt idx="100">
                  <c:v>5.52</c:v>
                </c:pt>
                <c:pt idx="101">
                  <c:v>5.52</c:v>
                </c:pt>
                <c:pt idx="102">
                  <c:v>5.21</c:v>
                </c:pt>
                <c:pt idx="103">
                  <c:v>4.8299999999999992</c:v>
                </c:pt>
                <c:pt idx="104">
                  <c:v>4.8999999999999995</c:v>
                </c:pt>
                <c:pt idx="105">
                  <c:v>4.96</c:v>
                </c:pt>
                <c:pt idx="106">
                  <c:v>5.0199999999999996</c:v>
                </c:pt>
                <c:pt idx="107">
                  <c:v>5.1499999999999995</c:v>
                </c:pt>
                <c:pt idx="108">
                  <c:v>5.27</c:v>
                </c:pt>
                <c:pt idx="109">
                  <c:v>5.46</c:v>
                </c:pt>
                <c:pt idx="110">
                  <c:v>5.52</c:v>
                </c:pt>
                <c:pt idx="111">
                  <c:v>5.52</c:v>
                </c:pt>
                <c:pt idx="112">
                  <c:v>5.27</c:v>
                </c:pt>
                <c:pt idx="113">
                  <c:v>4.8999999999999995</c:v>
                </c:pt>
                <c:pt idx="114">
                  <c:v>4.8299999999999992</c:v>
                </c:pt>
                <c:pt idx="115">
                  <c:v>4.96</c:v>
                </c:pt>
                <c:pt idx="116">
                  <c:v>5.0799999999999992</c:v>
                </c:pt>
                <c:pt idx="117">
                  <c:v>5.1499999999999995</c:v>
                </c:pt>
                <c:pt idx="118">
                  <c:v>5.3299999999999992</c:v>
                </c:pt>
                <c:pt idx="119">
                  <c:v>5.46</c:v>
                </c:pt>
                <c:pt idx="120">
                  <c:v>5.5799999999999992</c:v>
                </c:pt>
                <c:pt idx="121">
                  <c:v>5.52</c:v>
                </c:pt>
                <c:pt idx="122">
                  <c:v>5.21</c:v>
                </c:pt>
                <c:pt idx="123">
                  <c:v>4.8999999999999995</c:v>
                </c:pt>
                <c:pt idx="124">
                  <c:v>4.96</c:v>
                </c:pt>
                <c:pt idx="125">
                  <c:v>5.0799999999999992</c:v>
                </c:pt>
                <c:pt idx="126">
                  <c:v>5.1499999999999995</c:v>
                </c:pt>
                <c:pt idx="127">
                  <c:v>5.27</c:v>
                </c:pt>
                <c:pt idx="128">
                  <c:v>5.3999999999999995</c:v>
                </c:pt>
                <c:pt idx="129">
                  <c:v>5.52</c:v>
                </c:pt>
                <c:pt idx="130">
                  <c:v>5.5799999999999992</c:v>
                </c:pt>
                <c:pt idx="131">
                  <c:v>5.5799999999999992</c:v>
                </c:pt>
                <c:pt idx="132">
                  <c:v>5.21</c:v>
                </c:pt>
                <c:pt idx="133">
                  <c:v>4.96</c:v>
                </c:pt>
                <c:pt idx="134">
                  <c:v>4.96</c:v>
                </c:pt>
                <c:pt idx="135">
                  <c:v>5.0199999999999996</c:v>
                </c:pt>
                <c:pt idx="136">
                  <c:v>5.1499999999999995</c:v>
                </c:pt>
                <c:pt idx="137">
                  <c:v>5.27</c:v>
                </c:pt>
                <c:pt idx="138">
                  <c:v>5.3299999999999992</c:v>
                </c:pt>
                <c:pt idx="139">
                  <c:v>5.46</c:v>
                </c:pt>
                <c:pt idx="140">
                  <c:v>5.5799999999999992</c:v>
                </c:pt>
                <c:pt idx="141">
                  <c:v>5.5799999999999992</c:v>
                </c:pt>
                <c:pt idx="142">
                  <c:v>5.27</c:v>
                </c:pt>
                <c:pt idx="143">
                  <c:v>4.8999999999999995</c:v>
                </c:pt>
                <c:pt idx="144">
                  <c:v>4.8999999999999995</c:v>
                </c:pt>
                <c:pt idx="145">
                  <c:v>4.96</c:v>
                </c:pt>
                <c:pt idx="146">
                  <c:v>5.0799999999999992</c:v>
                </c:pt>
                <c:pt idx="147">
                  <c:v>5.21</c:v>
                </c:pt>
                <c:pt idx="148">
                  <c:v>5.3299999999999992</c:v>
                </c:pt>
                <c:pt idx="149">
                  <c:v>5.46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244F-C64D-B929-D64B6A8A24D9}"/>
            </c:ext>
          </c:extLst>
        </c:ser>
        <c:ser>
          <c:idx val="4"/>
          <c:order val="4"/>
          <c:tx>
            <c:strRef>
              <c:f>'2. Calculs'!$V$4</c:f>
              <c:strCache>
                <c:ptCount val="1"/>
                <c:pt idx="0">
                  <c:v>MIL/ (°C)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'2. Calculs'!$C$5:$C$154</c:f>
              <c:numCache>
                <c:formatCode>h:mm:ss\ AM/PM</c:formatCode>
                <c:ptCount val="150"/>
                <c:pt idx="0">
                  <c:v>0.51620370370370372</c:v>
                </c:pt>
                <c:pt idx="1">
                  <c:v>0.51689814814814816</c:v>
                </c:pt>
                <c:pt idx="2">
                  <c:v>0.5175925925925926</c:v>
                </c:pt>
                <c:pt idx="3">
                  <c:v>0.51828703703703705</c:v>
                </c:pt>
                <c:pt idx="4">
                  <c:v>0.51898148148148149</c:v>
                </c:pt>
                <c:pt idx="5">
                  <c:v>0.51967592592592593</c:v>
                </c:pt>
                <c:pt idx="6">
                  <c:v>0.52037037037037037</c:v>
                </c:pt>
                <c:pt idx="7">
                  <c:v>0.52106481481481481</c:v>
                </c:pt>
                <c:pt idx="8">
                  <c:v>0.52175925925925926</c:v>
                </c:pt>
                <c:pt idx="9">
                  <c:v>0.5224537037037037</c:v>
                </c:pt>
                <c:pt idx="10">
                  <c:v>0.52314814814814814</c:v>
                </c:pt>
                <c:pt idx="11">
                  <c:v>0.52384259259259258</c:v>
                </c:pt>
                <c:pt idx="12">
                  <c:v>0.52453703703703702</c:v>
                </c:pt>
                <c:pt idx="13">
                  <c:v>0.52523148148148147</c:v>
                </c:pt>
                <c:pt idx="14">
                  <c:v>0.52592592592592591</c:v>
                </c:pt>
                <c:pt idx="15">
                  <c:v>0.52662037037037035</c:v>
                </c:pt>
                <c:pt idx="16">
                  <c:v>0.52731481481481479</c:v>
                </c:pt>
                <c:pt idx="17">
                  <c:v>0.52800925925925923</c:v>
                </c:pt>
                <c:pt idx="18">
                  <c:v>0.52870370370370368</c:v>
                </c:pt>
                <c:pt idx="19">
                  <c:v>0.52939814814814812</c:v>
                </c:pt>
                <c:pt idx="20">
                  <c:v>0.53009259259259256</c:v>
                </c:pt>
                <c:pt idx="21">
                  <c:v>0.530787037037037</c:v>
                </c:pt>
                <c:pt idx="22">
                  <c:v>0.53148148148148155</c:v>
                </c:pt>
                <c:pt idx="23">
                  <c:v>0.53217592592592589</c:v>
                </c:pt>
                <c:pt idx="24">
                  <c:v>0.53287037037037044</c:v>
                </c:pt>
                <c:pt idx="25">
                  <c:v>0.53356481481481477</c:v>
                </c:pt>
                <c:pt idx="26">
                  <c:v>0.53425925925925932</c:v>
                </c:pt>
                <c:pt idx="27">
                  <c:v>0.53495370370370365</c:v>
                </c:pt>
                <c:pt idx="28">
                  <c:v>0.53564814814814821</c:v>
                </c:pt>
                <c:pt idx="29">
                  <c:v>0.53634259259259254</c:v>
                </c:pt>
                <c:pt idx="30">
                  <c:v>0.53703703703703709</c:v>
                </c:pt>
                <c:pt idx="31">
                  <c:v>0.53773148148148142</c:v>
                </c:pt>
                <c:pt idx="32">
                  <c:v>0.53842592592592597</c:v>
                </c:pt>
                <c:pt idx="33">
                  <c:v>0.53912037037037031</c:v>
                </c:pt>
                <c:pt idx="34">
                  <c:v>0.53981481481481486</c:v>
                </c:pt>
                <c:pt idx="35">
                  <c:v>0.54050925925925919</c:v>
                </c:pt>
                <c:pt idx="36">
                  <c:v>0.54120370370370374</c:v>
                </c:pt>
                <c:pt idx="37">
                  <c:v>0.54189814814814818</c:v>
                </c:pt>
                <c:pt idx="38">
                  <c:v>0.54259259259259263</c:v>
                </c:pt>
                <c:pt idx="39">
                  <c:v>0.54328703703703707</c:v>
                </c:pt>
                <c:pt idx="40">
                  <c:v>0.54398148148148151</c:v>
                </c:pt>
                <c:pt idx="41">
                  <c:v>0.54467592592592595</c:v>
                </c:pt>
                <c:pt idx="42">
                  <c:v>0.54537037037037039</c:v>
                </c:pt>
                <c:pt idx="43">
                  <c:v>0.54606481481481484</c:v>
                </c:pt>
                <c:pt idx="44">
                  <c:v>0.54675925925925928</c:v>
                </c:pt>
                <c:pt idx="45">
                  <c:v>0.54745370370370372</c:v>
                </c:pt>
                <c:pt idx="46">
                  <c:v>0.54814814814814816</c:v>
                </c:pt>
                <c:pt idx="47">
                  <c:v>0.5488425925925926</c:v>
                </c:pt>
                <c:pt idx="48">
                  <c:v>0.54953703703703705</c:v>
                </c:pt>
                <c:pt idx="49">
                  <c:v>0.55023148148148149</c:v>
                </c:pt>
                <c:pt idx="50">
                  <c:v>0.55092592592592593</c:v>
                </c:pt>
                <c:pt idx="51">
                  <c:v>0.55162037037037037</c:v>
                </c:pt>
                <c:pt idx="52">
                  <c:v>0.55231481481481481</c:v>
                </c:pt>
                <c:pt idx="53">
                  <c:v>0.55300925925925926</c:v>
                </c:pt>
                <c:pt idx="54">
                  <c:v>0.5537037037037037</c:v>
                </c:pt>
                <c:pt idx="55">
                  <c:v>0.55439814814814814</c:v>
                </c:pt>
                <c:pt idx="56">
                  <c:v>0.55509259259259258</c:v>
                </c:pt>
                <c:pt idx="57">
                  <c:v>0.55578703703703702</c:v>
                </c:pt>
                <c:pt idx="58">
                  <c:v>0.55648148148148147</c:v>
                </c:pt>
                <c:pt idx="59">
                  <c:v>0.55717592592592591</c:v>
                </c:pt>
                <c:pt idx="60">
                  <c:v>0.55787037037037035</c:v>
                </c:pt>
                <c:pt idx="61">
                  <c:v>0.55856481481481479</c:v>
                </c:pt>
                <c:pt idx="62">
                  <c:v>0.55925925925925923</c:v>
                </c:pt>
                <c:pt idx="63">
                  <c:v>0.55995370370370368</c:v>
                </c:pt>
                <c:pt idx="64">
                  <c:v>0.56064814814814812</c:v>
                </c:pt>
                <c:pt idx="65">
                  <c:v>0.56134259259259256</c:v>
                </c:pt>
                <c:pt idx="66">
                  <c:v>0.562037037037037</c:v>
                </c:pt>
                <c:pt idx="67">
                  <c:v>0.56273148148148155</c:v>
                </c:pt>
                <c:pt idx="68">
                  <c:v>0.56342592592592589</c:v>
                </c:pt>
                <c:pt idx="69">
                  <c:v>0.56412037037037044</c:v>
                </c:pt>
                <c:pt idx="70">
                  <c:v>0.56481481481481477</c:v>
                </c:pt>
                <c:pt idx="71">
                  <c:v>0.56550925925925932</c:v>
                </c:pt>
                <c:pt idx="72">
                  <c:v>0.56620370370370365</c:v>
                </c:pt>
                <c:pt idx="73">
                  <c:v>0.56689814814814821</c:v>
                </c:pt>
                <c:pt idx="74">
                  <c:v>0.56759259259259254</c:v>
                </c:pt>
                <c:pt idx="75">
                  <c:v>0.56828703703703709</c:v>
                </c:pt>
                <c:pt idx="76">
                  <c:v>0.56898148148148142</c:v>
                </c:pt>
                <c:pt idx="77">
                  <c:v>0.56967592592592597</c:v>
                </c:pt>
                <c:pt idx="78">
                  <c:v>0.57037037037037031</c:v>
                </c:pt>
                <c:pt idx="79">
                  <c:v>0.57106481481481486</c:v>
                </c:pt>
                <c:pt idx="80">
                  <c:v>0.57175925925925919</c:v>
                </c:pt>
                <c:pt idx="81">
                  <c:v>0.57245370370370374</c:v>
                </c:pt>
                <c:pt idx="82">
                  <c:v>0.57314814814814818</c:v>
                </c:pt>
                <c:pt idx="83">
                  <c:v>0.57384259259259263</c:v>
                </c:pt>
                <c:pt idx="84">
                  <c:v>0.57453703703703707</c:v>
                </c:pt>
                <c:pt idx="85">
                  <c:v>0.57523148148148151</c:v>
                </c:pt>
                <c:pt idx="86">
                  <c:v>0.57592592592592595</c:v>
                </c:pt>
                <c:pt idx="87">
                  <c:v>0.57662037037037039</c:v>
                </c:pt>
                <c:pt idx="88">
                  <c:v>0.57731481481481484</c:v>
                </c:pt>
                <c:pt idx="89">
                  <c:v>0.57800925925925928</c:v>
                </c:pt>
                <c:pt idx="90">
                  <c:v>0.57870370370370372</c:v>
                </c:pt>
                <c:pt idx="91">
                  <c:v>0.57938657407407412</c:v>
                </c:pt>
                <c:pt idx="92">
                  <c:v>0.5800925925925926</c:v>
                </c:pt>
                <c:pt idx="93">
                  <c:v>0.58078703703703705</c:v>
                </c:pt>
                <c:pt idx="94">
                  <c:v>0.58148148148148149</c:v>
                </c:pt>
                <c:pt idx="95">
                  <c:v>0.58217592592592593</c:v>
                </c:pt>
                <c:pt idx="96">
                  <c:v>0.58287037037037037</c:v>
                </c:pt>
                <c:pt idx="97">
                  <c:v>0.58356481481481481</c:v>
                </c:pt>
                <c:pt idx="98">
                  <c:v>0.58425925925925926</c:v>
                </c:pt>
                <c:pt idx="99">
                  <c:v>0.5849537037037037</c:v>
                </c:pt>
                <c:pt idx="100">
                  <c:v>0.58564814814814814</c:v>
                </c:pt>
                <c:pt idx="101">
                  <c:v>0.58634259259259258</c:v>
                </c:pt>
                <c:pt idx="102">
                  <c:v>0.58703703703703702</c:v>
                </c:pt>
                <c:pt idx="103">
                  <c:v>0.58773148148148147</c:v>
                </c:pt>
                <c:pt idx="104">
                  <c:v>0.58842592592592591</c:v>
                </c:pt>
                <c:pt idx="105">
                  <c:v>0.58912037037037035</c:v>
                </c:pt>
                <c:pt idx="106">
                  <c:v>0.58980324074074075</c:v>
                </c:pt>
                <c:pt idx="107">
                  <c:v>0.59050925925925923</c:v>
                </c:pt>
                <c:pt idx="108">
                  <c:v>0.59119212962962964</c:v>
                </c:pt>
                <c:pt idx="109">
                  <c:v>0.59189814814814812</c:v>
                </c:pt>
                <c:pt idx="110">
                  <c:v>0.59259259259259256</c:v>
                </c:pt>
                <c:pt idx="111">
                  <c:v>0.59327546296296296</c:v>
                </c:pt>
                <c:pt idx="112">
                  <c:v>0.59398148148148155</c:v>
                </c:pt>
                <c:pt idx="113">
                  <c:v>0.59467592592592589</c:v>
                </c:pt>
                <c:pt idx="114">
                  <c:v>0.59535879629629629</c:v>
                </c:pt>
                <c:pt idx="115">
                  <c:v>0.59605324074074073</c:v>
                </c:pt>
                <c:pt idx="116">
                  <c:v>0.59674768518518517</c:v>
                </c:pt>
                <c:pt idx="117">
                  <c:v>0.59744212962962961</c:v>
                </c:pt>
                <c:pt idx="118">
                  <c:v>0.59813657407407406</c:v>
                </c:pt>
                <c:pt idx="119">
                  <c:v>0.5988310185185185</c:v>
                </c:pt>
                <c:pt idx="120">
                  <c:v>0.59952546296296294</c:v>
                </c:pt>
                <c:pt idx="121">
                  <c:v>0.60021990740740738</c:v>
                </c:pt>
                <c:pt idx="122">
                  <c:v>0.60091435185185182</c:v>
                </c:pt>
                <c:pt idx="123">
                  <c:v>0.60160879629629627</c:v>
                </c:pt>
                <c:pt idx="124">
                  <c:v>0.60230324074074071</c:v>
                </c:pt>
                <c:pt idx="125">
                  <c:v>0.60299768518518515</c:v>
                </c:pt>
                <c:pt idx="126">
                  <c:v>0.6036921296296297</c:v>
                </c:pt>
                <c:pt idx="127">
                  <c:v>0.60438657407407403</c:v>
                </c:pt>
                <c:pt idx="128">
                  <c:v>0.60508101851851859</c:v>
                </c:pt>
                <c:pt idx="129">
                  <c:v>0.60577546296296292</c:v>
                </c:pt>
                <c:pt idx="130">
                  <c:v>0.60646990740740747</c:v>
                </c:pt>
                <c:pt idx="131">
                  <c:v>0.6071643518518518</c:v>
                </c:pt>
                <c:pt idx="132">
                  <c:v>0.60785879629629636</c:v>
                </c:pt>
                <c:pt idx="133">
                  <c:v>0.60855324074074069</c:v>
                </c:pt>
                <c:pt idx="134">
                  <c:v>0.60924768518518524</c:v>
                </c:pt>
                <c:pt idx="135">
                  <c:v>0.60994212962962957</c:v>
                </c:pt>
                <c:pt idx="136">
                  <c:v>0.61063657407407412</c:v>
                </c:pt>
                <c:pt idx="137">
                  <c:v>0.61133101851851845</c:v>
                </c:pt>
                <c:pt idx="138">
                  <c:v>0.61202546296296301</c:v>
                </c:pt>
                <c:pt idx="139">
                  <c:v>0.61271990740740734</c:v>
                </c:pt>
                <c:pt idx="140">
                  <c:v>0.61341435185185189</c:v>
                </c:pt>
                <c:pt idx="141">
                  <c:v>0.61410879629629633</c:v>
                </c:pt>
                <c:pt idx="142">
                  <c:v>0.61480324074074078</c:v>
                </c:pt>
                <c:pt idx="143">
                  <c:v>0.61549768518518522</c:v>
                </c:pt>
                <c:pt idx="144">
                  <c:v>0.61619212962962966</c:v>
                </c:pt>
                <c:pt idx="145">
                  <c:v>0.6168865740740741</c:v>
                </c:pt>
                <c:pt idx="146">
                  <c:v>0.61758101851851854</c:v>
                </c:pt>
                <c:pt idx="147">
                  <c:v>0.61827546296296299</c:v>
                </c:pt>
                <c:pt idx="148">
                  <c:v>0.61896990740740743</c:v>
                </c:pt>
                <c:pt idx="149">
                  <c:v>0.61966435185185187</c:v>
                </c:pt>
              </c:numCache>
            </c:numRef>
          </c:cat>
          <c:val>
            <c:numRef>
              <c:f>'2. Calculs'!$V$5:$V$154</c:f>
              <c:numCache>
                <c:formatCode>0.00</c:formatCode>
                <c:ptCount val="150"/>
                <c:pt idx="0">
                  <c:v>4.96</c:v>
                </c:pt>
                <c:pt idx="1">
                  <c:v>5.08</c:v>
                </c:pt>
                <c:pt idx="2">
                  <c:v>5.21</c:v>
                </c:pt>
                <c:pt idx="3">
                  <c:v>5.39</c:v>
                </c:pt>
                <c:pt idx="4">
                  <c:v>5.58</c:v>
                </c:pt>
                <c:pt idx="5">
                  <c:v>5.33</c:v>
                </c:pt>
                <c:pt idx="6">
                  <c:v>4.8899999999999997</c:v>
                </c:pt>
                <c:pt idx="7">
                  <c:v>4.71</c:v>
                </c:pt>
                <c:pt idx="8">
                  <c:v>4.7700000000000005</c:v>
                </c:pt>
                <c:pt idx="9">
                  <c:v>4.8899999999999997</c:v>
                </c:pt>
                <c:pt idx="10">
                  <c:v>5.08</c:v>
                </c:pt>
                <c:pt idx="11">
                  <c:v>5.2700000000000005</c:v>
                </c:pt>
                <c:pt idx="12">
                  <c:v>5.39</c:v>
                </c:pt>
                <c:pt idx="13">
                  <c:v>5.58</c:v>
                </c:pt>
                <c:pt idx="14">
                  <c:v>5.46</c:v>
                </c:pt>
                <c:pt idx="15">
                  <c:v>5.0200000000000005</c:v>
                </c:pt>
                <c:pt idx="16">
                  <c:v>4.71</c:v>
                </c:pt>
                <c:pt idx="17">
                  <c:v>4.7700000000000005</c:v>
                </c:pt>
                <c:pt idx="18">
                  <c:v>4.8899999999999997</c:v>
                </c:pt>
                <c:pt idx="19">
                  <c:v>5.0200000000000005</c:v>
                </c:pt>
                <c:pt idx="20">
                  <c:v>5.21</c:v>
                </c:pt>
                <c:pt idx="21">
                  <c:v>5.39</c:v>
                </c:pt>
                <c:pt idx="22">
                  <c:v>5.5200000000000005</c:v>
                </c:pt>
                <c:pt idx="23">
                  <c:v>5.58</c:v>
                </c:pt>
                <c:pt idx="24">
                  <c:v>5.21</c:v>
                </c:pt>
                <c:pt idx="25">
                  <c:v>4.7700000000000005</c:v>
                </c:pt>
                <c:pt idx="26">
                  <c:v>4.71</c:v>
                </c:pt>
                <c:pt idx="27">
                  <c:v>4.83</c:v>
                </c:pt>
                <c:pt idx="28">
                  <c:v>4.96</c:v>
                </c:pt>
                <c:pt idx="29">
                  <c:v>5.14</c:v>
                </c:pt>
                <c:pt idx="30">
                  <c:v>5.2700000000000005</c:v>
                </c:pt>
                <c:pt idx="31">
                  <c:v>5.46</c:v>
                </c:pt>
                <c:pt idx="32">
                  <c:v>5.64</c:v>
                </c:pt>
                <c:pt idx="33">
                  <c:v>5.46</c:v>
                </c:pt>
                <c:pt idx="34">
                  <c:v>4.96</c:v>
                </c:pt>
                <c:pt idx="35">
                  <c:v>4.71</c:v>
                </c:pt>
                <c:pt idx="36">
                  <c:v>4.7700000000000005</c:v>
                </c:pt>
                <c:pt idx="37">
                  <c:v>4.8899999999999997</c:v>
                </c:pt>
                <c:pt idx="38">
                  <c:v>5.08</c:v>
                </c:pt>
                <c:pt idx="39">
                  <c:v>5.21</c:v>
                </c:pt>
                <c:pt idx="40">
                  <c:v>5.33</c:v>
                </c:pt>
                <c:pt idx="41">
                  <c:v>5.5200000000000005</c:v>
                </c:pt>
                <c:pt idx="42">
                  <c:v>5.58</c:v>
                </c:pt>
                <c:pt idx="43">
                  <c:v>5.2700000000000005</c:v>
                </c:pt>
                <c:pt idx="44">
                  <c:v>4.83</c:v>
                </c:pt>
                <c:pt idx="45">
                  <c:v>4.71</c:v>
                </c:pt>
                <c:pt idx="46">
                  <c:v>4.83</c:v>
                </c:pt>
                <c:pt idx="47">
                  <c:v>4.96</c:v>
                </c:pt>
                <c:pt idx="48">
                  <c:v>5.08</c:v>
                </c:pt>
                <c:pt idx="49">
                  <c:v>5.2700000000000005</c:v>
                </c:pt>
                <c:pt idx="50">
                  <c:v>5.39</c:v>
                </c:pt>
                <c:pt idx="51">
                  <c:v>5.58</c:v>
                </c:pt>
                <c:pt idx="52">
                  <c:v>5.58</c:v>
                </c:pt>
                <c:pt idx="53">
                  <c:v>5.14</c:v>
                </c:pt>
                <c:pt idx="54">
                  <c:v>4.7700000000000005</c:v>
                </c:pt>
                <c:pt idx="55">
                  <c:v>4.7700000000000005</c:v>
                </c:pt>
                <c:pt idx="56">
                  <c:v>4.83</c:v>
                </c:pt>
                <c:pt idx="57">
                  <c:v>4.96</c:v>
                </c:pt>
                <c:pt idx="58">
                  <c:v>5.14</c:v>
                </c:pt>
                <c:pt idx="59">
                  <c:v>5.2700000000000005</c:v>
                </c:pt>
                <c:pt idx="60">
                  <c:v>5.46</c:v>
                </c:pt>
                <c:pt idx="61">
                  <c:v>5.64</c:v>
                </c:pt>
                <c:pt idx="62">
                  <c:v>5.5200000000000005</c:v>
                </c:pt>
                <c:pt idx="63">
                  <c:v>5.0200000000000005</c:v>
                </c:pt>
                <c:pt idx="64">
                  <c:v>4.7700000000000005</c:v>
                </c:pt>
                <c:pt idx="65">
                  <c:v>4.7700000000000005</c:v>
                </c:pt>
                <c:pt idx="66">
                  <c:v>4.8899999999999997</c:v>
                </c:pt>
                <c:pt idx="67">
                  <c:v>5.0200000000000005</c:v>
                </c:pt>
                <c:pt idx="68">
                  <c:v>5.21</c:v>
                </c:pt>
                <c:pt idx="69">
                  <c:v>5.33</c:v>
                </c:pt>
                <c:pt idx="70">
                  <c:v>5.5200000000000005</c:v>
                </c:pt>
                <c:pt idx="71">
                  <c:v>5.64</c:v>
                </c:pt>
                <c:pt idx="72">
                  <c:v>5.39</c:v>
                </c:pt>
                <c:pt idx="73">
                  <c:v>4.8899999999999997</c:v>
                </c:pt>
                <c:pt idx="74">
                  <c:v>4.71</c:v>
                </c:pt>
                <c:pt idx="75">
                  <c:v>4.7700000000000005</c:v>
                </c:pt>
                <c:pt idx="76">
                  <c:v>4.8899999999999997</c:v>
                </c:pt>
                <c:pt idx="77">
                  <c:v>5.0200000000000005</c:v>
                </c:pt>
                <c:pt idx="78">
                  <c:v>5.21</c:v>
                </c:pt>
                <c:pt idx="79">
                  <c:v>5.33</c:v>
                </c:pt>
                <c:pt idx="80">
                  <c:v>5.5200000000000005</c:v>
                </c:pt>
                <c:pt idx="81">
                  <c:v>5.64</c:v>
                </c:pt>
                <c:pt idx="82">
                  <c:v>5.39</c:v>
                </c:pt>
                <c:pt idx="83">
                  <c:v>4.8899999999999997</c:v>
                </c:pt>
                <c:pt idx="84">
                  <c:v>4.7700000000000005</c:v>
                </c:pt>
                <c:pt idx="85">
                  <c:v>4.83</c:v>
                </c:pt>
                <c:pt idx="86">
                  <c:v>4.96</c:v>
                </c:pt>
                <c:pt idx="87">
                  <c:v>5.08</c:v>
                </c:pt>
                <c:pt idx="88">
                  <c:v>5.21</c:v>
                </c:pt>
                <c:pt idx="89">
                  <c:v>5.39</c:v>
                </c:pt>
                <c:pt idx="90">
                  <c:v>5.5200000000000005</c:v>
                </c:pt>
                <c:pt idx="91">
                  <c:v>5.64</c:v>
                </c:pt>
                <c:pt idx="92">
                  <c:v>5.33</c:v>
                </c:pt>
                <c:pt idx="93">
                  <c:v>4.8899999999999997</c:v>
                </c:pt>
                <c:pt idx="94">
                  <c:v>4.71</c:v>
                </c:pt>
                <c:pt idx="95">
                  <c:v>4.83</c:v>
                </c:pt>
                <c:pt idx="96">
                  <c:v>4.96</c:v>
                </c:pt>
                <c:pt idx="97">
                  <c:v>5.08</c:v>
                </c:pt>
                <c:pt idx="98">
                  <c:v>5.21</c:v>
                </c:pt>
                <c:pt idx="99">
                  <c:v>5.39</c:v>
                </c:pt>
                <c:pt idx="100">
                  <c:v>5.5200000000000005</c:v>
                </c:pt>
                <c:pt idx="101">
                  <c:v>5.58</c:v>
                </c:pt>
                <c:pt idx="102">
                  <c:v>5.2700000000000005</c:v>
                </c:pt>
                <c:pt idx="103">
                  <c:v>4.83</c:v>
                </c:pt>
                <c:pt idx="104">
                  <c:v>4.7700000000000005</c:v>
                </c:pt>
                <c:pt idx="105">
                  <c:v>4.83</c:v>
                </c:pt>
                <c:pt idx="106">
                  <c:v>4.96</c:v>
                </c:pt>
                <c:pt idx="107">
                  <c:v>5.08</c:v>
                </c:pt>
                <c:pt idx="108">
                  <c:v>5.2700000000000005</c:v>
                </c:pt>
                <c:pt idx="109">
                  <c:v>5.39</c:v>
                </c:pt>
                <c:pt idx="110">
                  <c:v>5.58</c:v>
                </c:pt>
                <c:pt idx="111">
                  <c:v>5.64</c:v>
                </c:pt>
                <c:pt idx="112">
                  <c:v>5.33</c:v>
                </c:pt>
                <c:pt idx="113">
                  <c:v>4.83</c:v>
                </c:pt>
                <c:pt idx="114">
                  <c:v>4.7700000000000005</c:v>
                </c:pt>
                <c:pt idx="115">
                  <c:v>4.83</c:v>
                </c:pt>
                <c:pt idx="116">
                  <c:v>4.96</c:v>
                </c:pt>
                <c:pt idx="117">
                  <c:v>5.08</c:v>
                </c:pt>
                <c:pt idx="118">
                  <c:v>5.2700000000000005</c:v>
                </c:pt>
                <c:pt idx="119">
                  <c:v>5.39</c:v>
                </c:pt>
                <c:pt idx="120">
                  <c:v>5.58</c:v>
                </c:pt>
                <c:pt idx="121">
                  <c:v>5.64</c:v>
                </c:pt>
                <c:pt idx="122">
                  <c:v>5.2700000000000005</c:v>
                </c:pt>
                <c:pt idx="123">
                  <c:v>4.83</c:v>
                </c:pt>
                <c:pt idx="124">
                  <c:v>4.7700000000000005</c:v>
                </c:pt>
                <c:pt idx="125">
                  <c:v>4.83</c:v>
                </c:pt>
                <c:pt idx="126">
                  <c:v>4.96</c:v>
                </c:pt>
                <c:pt idx="127">
                  <c:v>5.14</c:v>
                </c:pt>
                <c:pt idx="128">
                  <c:v>5.2700000000000005</c:v>
                </c:pt>
                <c:pt idx="129">
                  <c:v>5.46</c:v>
                </c:pt>
                <c:pt idx="130">
                  <c:v>5.58</c:v>
                </c:pt>
                <c:pt idx="131">
                  <c:v>5.64</c:v>
                </c:pt>
                <c:pt idx="132">
                  <c:v>5.2700000000000005</c:v>
                </c:pt>
                <c:pt idx="133">
                  <c:v>4.83</c:v>
                </c:pt>
                <c:pt idx="134">
                  <c:v>4.7700000000000005</c:v>
                </c:pt>
                <c:pt idx="135">
                  <c:v>4.83</c:v>
                </c:pt>
                <c:pt idx="136">
                  <c:v>4.96</c:v>
                </c:pt>
                <c:pt idx="137">
                  <c:v>5.14</c:v>
                </c:pt>
                <c:pt idx="138">
                  <c:v>5.2700000000000005</c:v>
                </c:pt>
                <c:pt idx="139">
                  <c:v>5.39</c:v>
                </c:pt>
                <c:pt idx="140">
                  <c:v>5.58</c:v>
                </c:pt>
                <c:pt idx="141">
                  <c:v>5.64</c:v>
                </c:pt>
                <c:pt idx="142">
                  <c:v>5.33</c:v>
                </c:pt>
                <c:pt idx="143">
                  <c:v>4.8899999999999997</c:v>
                </c:pt>
                <c:pt idx="144">
                  <c:v>4.7700000000000005</c:v>
                </c:pt>
                <c:pt idx="145">
                  <c:v>4.83</c:v>
                </c:pt>
                <c:pt idx="146">
                  <c:v>4.96</c:v>
                </c:pt>
                <c:pt idx="147">
                  <c:v>5.08</c:v>
                </c:pt>
                <c:pt idx="148">
                  <c:v>5.2700000000000005</c:v>
                </c:pt>
                <c:pt idx="149">
                  <c:v>5.39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244F-C64D-B929-D64B6A8A24D9}"/>
            </c:ext>
          </c:extLst>
        </c:ser>
        <c:ser>
          <c:idx val="5"/>
          <c:order val="5"/>
          <c:tx>
            <c:strRef>
              <c:f>'2. Calculs'!$W$4</c:f>
              <c:strCache>
                <c:ptCount val="1"/>
                <c:pt idx="0">
                  <c:v>BGAV/ (°C)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'2. Calculs'!$C$5:$C$154</c:f>
              <c:numCache>
                <c:formatCode>h:mm:ss\ AM/PM</c:formatCode>
                <c:ptCount val="150"/>
                <c:pt idx="0">
                  <c:v>0.51620370370370372</c:v>
                </c:pt>
                <c:pt idx="1">
                  <c:v>0.51689814814814816</c:v>
                </c:pt>
                <c:pt idx="2">
                  <c:v>0.5175925925925926</c:v>
                </c:pt>
                <c:pt idx="3">
                  <c:v>0.51828703703703705</c:v>
                </c:pt>
                <c:pt idx="4">
                  <c:v>0.51898148148148149</c:v>
                </c:pt>
                <c:pt idx="5">
                  <c:v>0.51967592592592593</c:v>
                </c:pt>
                <c:pt idx="6">
                  <c:v>0.52037037037037037</c:v>
                </c:pt>
                <c:pt idx="7">
                  <c:v>0.52106481481481481</c:v>
                </c:pt>
                <c:pt idx="8">
                  <c:v>0.52175925925925926</c:v>
                </c:pt>
                <c:pt idx="9">
                  <c:v>0.5224537037037037</c:v>
                </c:pt>
                <c:pt idx="10">
                  <c:v>0.52314814814814814</c:v>
                </c:pt>
                <c:pt idx="11">
                  <c:v>0.52384259259259258</c:v>
                </c:pt>
                <c:pt idx="12">
                  <c:v>0.52453703703703702</c:v>
                </c:pt>
                <c:pt idx="13">
                  <c:v>0.52523148148148147</c:v>
                </c:pt>
                <c:pt idx="14">
                  <c:v>0.52592592592592591</c:v>
                </c:pt>
                <c:pt idx="15">
                  <c:v>0.52662037037037035</c:v>
                </c:pt>
                <c:pt idx="16">
                  <c:v>0.52731481481481479</c:v>
                </c:pt>
                <c:pt idx="17">
                  <c:v>0.52800925925925923</c:v>
                </c:pt>
                <c:pt idx="18">
                  <c:v>0.52870370370370368</c:v>
                </c:pt>
                <c:pt idx="19">
                  <c:v>0.52939814814814812</c:v>
                </c:pt>
                <c:pt idx="20">
                  <c:v>0.53009259259259256</c:v>
                </c:pt>
                <c:pt idx="21">
                  <c:v>0.530787037037037</c:v>
                </c:pt>
                <c:pt idx="22">
                  <c:v>0.53148148148148155</c:v>
                </c:pt>
                <c:pt idx="23">
                  <c:v>0.53217592592592589</c:v>
                </c:pt>
                <c:pt idx="24">
                  <c:v>0.53287037037037044</c:v>
                </c:pt>
                <c:pt idx="25">
                  <c:v>0.53356481481481477</c:v>
                </c:pt>
                <c:pt idx="26">
                  <c:v>0.53425925925925932</c:v>
                </c:pt>
                <c:pt idx="27">
                  <c:v>0.53495370370370365</c:v>
                </c:pt>
                <c:pt idx="28">
                  <c:v>0.53564814814814821</c:v>
                </c:pt>
                <c:pt idx="29">
                  <c:v>0.53634259259259254</c:v>
                </c:pt>
                <c:pt idx="30">
                  <c:v>0.53703703703703709</c:v>
                </c:pt>
                <c:pt idx="31">
                  <c:v>0.53773148148148142</c:v>
                </c:pt>
                <c:pt idx="32">
                  <c:v>0.53842592592592597</c:v>
                </c:pt>
                <c:pt idx="33">
                  <c:v>0.53912037037037031</c:v>
                </c:pt>
                <c:pt idx="34">
                  <c:v>0.53981481481481486</c:v>
                </c:pt>
                <c:pt idx="35">
                  <c:v>0.54050925925925919</c:v>
                </c:pt>
                <c:pt idx="36">
                  <c:v>0.54120370370370374</c:v>
                </c:pt>
                <c:pt idx="37">
                  <c:v>0.54189814814814818</c:v>
                </c:pt>
                <c:pt idx="38">
                  <c:v>0.54259259259259263</c:v>
                </c:pt>
                <c:pt idx="39">
                  <c:v>0.54328703703703707</c:v>
                </c:pt>
                <c:pt idx="40">
                  <c:v>0.54398148148148151</c:v>
                </c:pt>
                <c:pt idx="41">
                  <c:v>0.54467592592592595</c:v>
                </c:pt>
                <c:pt idx="42">
                  <c:v>0.54537037037037039</c:v>
                </c:pt>
                <c:pt idx="43">
                  <c:v>0.54606481481481484</c:v>
                </c:pt>
                <c:pt idx="44">
                  <c:v>0.54675925925925928</c:v>
                </c:pt>
                <c:pt idx="45">
                  <c:v>0.54745370370370372</c:v>
                </c:pt>
                <c:pt idx="46">
                  <c:v>0.54814814814814816</c:v>
                </c:pt>
                <c:pt idx="47">
                  <c:v>0.5488425925925926</c:v>
                </c:pt>
                <c:pt idx="48">
                  <c:v>0.54953703703703705</c:v>
                </c:pt>
                <c:pt idx="49">
                  <c:v>0.55023148148148149</c:v>
                </c:pt>
                <c:pt idx="50">
                  <c:v>0.55092592592592593</c:v>
                </c:pt>
                <c:pt idx="51">
                  <c:v>0.55162037037037037</c:v>
                </c:pt>
                <c:pt idx="52">
                  <c:v>0.55231481481481481</c:v>
                </c:pt>
                <c:pt idx="53">
                  <c:v>0.55300925925925926</c:v>
                </c:pt>
                <c:pt idx="54">
                  <c:v>0.5537037037037037</c:v>
                </c:pt>
                <c:pt idx="55">
                  <c:v>0.55439814814814814</c:v>
                </c:pt>
                <c:pt idx="56">
                  <c:v>0.55509259259259258</c:v>
                </c:pt>
                <c:pt idx="57">
                  <c:v>0.55578703703703702</c:v>
                </c:pt>
                <c:pt idx="58">
                  <c:v>0.55648148148148147</c:v>
                </c:pt>
                <c:pt idx="59">
                  <c:v>0.55717592592592591</c:v>
                </c:pt>
                <c:pt idx="60">
                  <c:v>0.55787037037037035</c:v>
                </c:pt>
                <c:pt idx="61">
                  <c:v>0.55856481481481479</c:v>
                </c:pt>
                <c:pt idx="62">
                  <c:v>0.55925925925925923</c:v>
                </c:pt>
                <c:pt idx="63">
                  <c:v>0.55995370370370368</c:v>
                </c:pt>
                <c:pt idx="64">
                  <c:v>0.56064814814814812</c:v>
                </c:pt>
                <c:pt idx="65">
                  <c:v>0.56134259259259256</c:v>
                </c:pt>
                <c:pt idx="66">
                  <c:v>0.562037037037037</c:v>
                </c:pt>
                <c:pt idx="67">
                  <c:v>0.56273148148148155</c:v>
                </c:pt>
                <c:pt idx="68">
                  <c:v>0.56342592592592589</c:v>
                </c:pt>
                <c:pt idx="69">
                  <c:v>0.56412037037037044</c:v>
                </c:pt>
                <c:pt idx="70">
                  <c:v>0.56481481481481477</c:v>
                </c:pt>
                <c:pt idx="71">
                  <c:v>0.56550925925925932</c:v>
                </c:pt>
                <c:pt idx="72">
                  <c:v>0.56620370370370365</c:v>
                </c:pt>
                <c:pt idx="73">
                  <c:v>0.56689814814814821</c:v>
                </c:pt>
                <c:pt idx="74">
                  <c:v>0.56759259259259254</c:v>
                </c:pt>
                <c:pt idx="75">
                  <c:v>0.56828703703703709</c:v>
                </c:pt>
                <c:pt idx="76">
                  <c:v>0.56898148148148142</c:v>
                </c:pt>
                <c:pt idx="77">
                  <c:v>0.56967592592592597</c:v>
                </c:pt>
                <c:pt idx="78">
                  <c:v>0.57037037037037031</c:v>
                </c:pt>
                <c:pt idx="79">
                  <c:v>0.57106481481481486</c:v>
                </c:pt>
                <c:pt idx="80">
                  <c:v>0.57175925925925919</c:v>
                </c:pt>
                <c:pt idx="81">
                  <c:v>0.57245370370370374</c:v>
                </c:pt>
                <c:pt idx="82">
                  <c:v>0.57314814814814818</c:v>
                </c:pt>
                <c:pt idx="83">
                  <c:v>0.57384259259259263</c:v>
                </c:pt>
                <c:pt idx="84">
                  <c:v>0.57453703703703707</c:v>
                </c:pt>
                <c:pt idx="85">
                  <c:v>0.57523148148148151</c:v>
                </c:pt>
                <c:pt idx="86">
                  <c:v>0.57592592592592595</c:v>
                </c:pt>
                <c:pt idx="87">
                  <c:v>0.57662037037037039</c:v>
                </c:pt>
                <c:pt idx="88">
                  <c:v>0.57731481481481484</c:v>
                </c:pt>
                <c:pt idx="89">
                  <c:v>0.57800925925925928</c:v>
                </c:pt>
                <c:pt idx="90">
                  <c:v>0.57870370370370372</c:v>
                </c:pt>
                <c:pt idx="91">
                  <c:v>0.57938657407407412</c:v>
                </c:pt>
                <c:pt idx="92">
                  <c:v>0.5800925925925926</c:v>
                </c:pt>
                <c:pt idx="93">
                  <c:v>0.58078703703703705</c:v>
                </c:pt>
                <c:pt idx="94">
                  <c:v>0.58148148148148149</c:v>
                </c:pt>
                <c:pt idx="95">
                  <c:v>0.58217592592592593</c:v>
                </c:pt>
                <c:pt idx="96">
                  <c:v>0.58287037037037037</c:v>
                </c:pt>
                <c:pt idx="97">
                  <c:v>0.58356481481481481</c:v>
                </c:pt>
                <c:pt idx="98">
                  <c:v>0.58425925925925926</c:v>
                </c:pt>
                <c:pt idx="99">
                  <c:v>0.5849537037037037</c:v>
                </c:pt>
                <c:pt idx="100">
                  <c:v>0.58564814814814814</c:v>
                </c:pt>
                <c:pt idx="101">
                  <c:v>0.58634259259259258</c:v>
                </c:pt>
                <c:pt idx="102">
                  <c:v>0.58703703703703702</c:v>
                </c:pt>
                <c:pt idx="103">
                  <c:v>0.58773148148148147</c:v>
                </c:pt>
                <c:pt idx="104">
                  <c:v>0.58842592592592591</c:v>
                </c:pt>
                <c:pt idx="105">
                  <c:v>0.58912037037037035</c:v>
                </c:pt>
                <c:pt idx="106">
                  <c:v>0.58980324074074075</c:v>
                </c:pt>
                <c:pt idx="107">
                  <c:v>0.59050925925925923</c:v>
                </c:pt>
                <c:pt idx="108">
                  <c:v>0.59119212962962964</c:v>
                </c:pt>
                <c:pt idx="109">
                  <c:v>0.59189814814814812</c:v>
                </c:pt>
                <c:pt idx="110">
                  <c:v>0.59259259259259256</c:v>
                </c:pt>
                <c:pt idx="111">
                  <c:v>0.59327546296296296</c:v>
                </c:pt>
                <c:pt idx="112">
                  <c:v>0.59398148148148155</c:v>
                </c:pt>
                <c:pt idx="113">
                  <c:v>0.59467592592592589</c:v>
                </c:pt>
                <c:pt idx="114">
                  <c:v>0.59535879629629629</c:v>
                </c:pt>
                <c:pt idx="115">
                  <c:v>0.59605324074074073</c:v>
                </c:pt>
                <c:pt idx="116">
                  <c:v>0.59674768518518517</c:v>
                </c:pt>
                <c:pt idx="117">
                  <c:v>0.59744212962962961</c:v>
                </c:pt>
                <c:pt idx="118">
                  <c:v>0.59813657407407406</c:v>
                </c:pt>
                <c:pt idx="119">
                  <c:v>0.5988310185185185</c:v>
                </c:pt>
                <c:pt idx="120">
                  <c:v>0.59952546296296294</c:v>
                </c:pt>
                <c:pt idx="121">
                  <c:v>0.60021990740740738</c:v>
                </c:pt>
                <c:pt idx="122">
                  <c:v>0.60091435185185182</c:v>
                </c:pt>
                <c:pt idx="123">
                  <c:v>0.60160879629629627</c:v>
                </c:pt>
                <c:pt idx="124">
                  <c:v>0.60230324074074071</c:v>
                </c:pt>
                <c:pt idx="125">
                  <c:v>0.60299768518518515</c:v>
                </c:pt>
                <c:pt idx="126">
                  <c:v>0.6036921296296297</c:v>
                </c:pt>
                <c:pt idx="127">
                  <c:v>0.60438657407407403</c:v>
                </c:pt>
                <c:pt idx="128">
                  <c:v>0.60508101851851859</c:v>
                </c:pt>
                <c:pt idx="129">
                  <c:v>0.60577546296296292</c:v>
                </c:pt>
                <c:pt idx="130">
                  <c:v>0.60646990740740747</c:v>
                </c:pt>
                <c:pt idx="131">
                  <c:v>0.6071643518518518</c:v>
                </c:pt>
                <c:pt idx="132">
                  <c:v>0.60785879629629636</c:v>
                </c:pt>
                <c:pt idx="133">
                  <c:v>0.60855324074074069</c:v>
                </c:pt>
                <c:pt idx="134">
                  <c:v>0.60924768518518524</c:v>
                </c:pt>
                <c:pt idx="135">
                  <c:v>0.60994212962962957</c:v>
                </c:pt>
                <c:pt idx="136">
                  <c:v>0.61063657407407412</c:v>
                </c:pt>
                <c:pt idx="137">
                  <c:v>0.61133101851851845</c:v>
                </c:pt>
                <c:pt idx="138">
                  <c:v>0.61202546296296301</c:v>
                </c:pt>
                <c:pt idx="139">
                  <c:v>0.61271990740740734</c:v>
                </c:pt>
                <c:pt idx="140">
                  <c:v>0.61341435185185189</c:v>
                </c:pt>
                <c:pt idx="141">
                  <c:v>0.61410879629629633</c:v>
                </c:pt>
                <c:pt idx="142">
                  <c:v>0.61480324074074078</c:v>
                </c:pt>
                <c:pt idx="143">
                  <c:v>0.61549768518518522</c:v>
                </c:pt>
                <c:pt idx="144">
                  <c:v>0.61619212962962966</c:v>
                </c:pt>
                <c:pt idx="145">
                  <c:v>0.6168865740740741</c:v>
                </c:pt>
                <c:pt idx="146">
                  <c:v>0.61758101851851854</c:v>
                </c:pt>
                <c:pt idx="147">
                  <c:v>0.61827546296296299</c:v>
                </c:pt>
                <c:pt idx="148">
                  <c:v>0.61896990740740743</c:v>
                </c:pt>
                <c:pt idx="149">
                  <c:v>0.61966435185185187</c:v>
                </c:pt>
              </c:numCache>
            </c:numRef>
          </c:cat>
          <c:val>
            <c:numRef>
              <c:f>'2. Calculs'!$W$5:$W$154</c:f>
              <c:numCache>
                <c:formatCode>0.00</c:formatCode>
                <c:ptCount val="150"/>
                <c:pt idx="0">
                  <c:v>5.42</c:v>
                </c:pt>
                <c:pt idx="1">
                  <c:v>5.55</c:v>
                </c:pt>
                <c:pt idx="2">
                  <c:v>5.67</c:v>
                </c:pt>
                <c:pt idx="3">
                  <c:v>5.8</c:v>
                </c:pt>
                <c:pt idx="4">
                  <c:v>5.86</c:v>
                </c:pt>
                <c:pt idx="5">
                  <c:v>5.7299999999999995</c:v>
                </c:pt>
                <c:pt idx="6">
                  <c:v>5.4799999999999995</c:v>
                </c:pt>
                <c:pt idx="7">
                  <c:v>5.2299999999999995</c:v>
                </c:pt>
                <c:pt idx="8">
                  <c:v>5.2299999999999995</c:v>
                </c:pt>
                <c:pt idx="9">
                  <c:v>5.36</c:v>
                </c:pt>
                <c:pt idx="10">
                  <c:v>5.42</c:v>
                </c:pt>
                <c:pt idx="11">
                  <c:v>5.55</c:v>
                </c:pt>
                <c:pt idx="12">
                  <c:v>5.7299999999999995</c:v>
                </c:pt>
                <c:pt idx="13">
                  <c:v>5.86</c:v>
                </c:pt>
                <c:pt idx="14">
                  <c:v>5.8</c:v>
                </c:pt>
                <c:pt idx="15">
                  <c:v>5.4799999999999995</c:v>
                </c:pt>
                <c:pt idx="16">
                  <c:v>5.2299999999999995</c:v>
                </c:pt>
                <c:pt idx="17">
                  <c:v>5.2299999999999995</c:v>
                </c:pt>
                <c:pt idx="18">
                  <c:v>5.3</c:v>
                </c:pt>
                <c:pt idx="19">
                  <c:v>5.42</c:v>
                </c:pt>
                <c:pt idx="20">
                  <c:v>5.55</c:v>
                </c:pt>
                <c:pt idx="21">
                  <c:v>5.67</c:v>
                </c:pt>
                <c:pt idx="22">
                  <c:v>5.8</c:v>
                </c:pt>
                <c:pt idx="23">
                  <c:v>5.86</c:v>
                </c:pt>
                <c:pt idx="24">
                  <c:v>5.61</c:v>
                </c:pt>
                <c:pt idx="25">
                  <c:v>5.3</c:v>
                </c:pt>
                <c:pt idx="26">
                  <c:v>5.2299999999999995</c:v>
                </c:pt>
                <c:pt idx="27">
                  <c:v>5.3</c:v>
                </c:pt>
                <c:pt idx="28">
                  <c:v>5.36</c:v>
                </c:pt>
                <c:pt idx="29">
                  <c:v>5.4799999999999995</c:v>
                </c:pt>
                <c:pt idx="30">
                  <c:v>5.61</c:v>
                </c:pt>
                <c:pt idx="31">
                  <c:v>5.7299999999999995</c:v>
                </c:pt>
                <c:pt idx="32">
                  <c:v>5.86</c:v>
                </c:pt>
                <c:pt idx="33">
                  <c:v>5.8</c:v>
                </c:pt>
                <c:pt idx="34">
                  <c:v>5.42</c:v>
                </c:pt>
                <c:pt idx="35">
                  <c:v>5.2299999999999995</c:v>
                </c:pt>
                <c:pt idx="36">
                  <c:v>5.2299999999999995</c:v>
                </c:pt>
                <c:pt idx="37">
                  <c:v>5.3</c:v>
                </c:pt>
                <c:pt idx="38">
                  <c:v>5.42</c:v>
                </c:pt>
                <c:pt idx="39">
                  <c:v>5.55</c:v>
                </c:pt>
                <c:pt idx="40">
                  <c:v>5.67</c:v>
                </c:pt>
                <c:pt idx="41">
                  <c:v>5.8</c:v>
                </c:pt>
                <c:pt idx="42">
                  <c:v>5.86</c:v>
                </c:pt>
                <c:pt idx="43">
                  <c:v>5.67</c:v>
                </c:pt>
                <c:pt idx="44">
                  <c:v>5.36</c:v>
                </c:pt>
                <c:pt idx="45">
                  <c:v>5.2299999999999995</c:v>
                </c:pt>
                <c:pt idx="46">
                  <c:v>5.3</c:v>
                </c:pt>
                <c:pt idx="47">
                  <c:v>5.36</c:v>
                </c:pt>
                <c:pt idx="48">
                  <c:v>5.4799999999999995</c:v>
                </c:pt>
                <c:pt idx="49">
                  <c:v>5.55</c:v>
                </c:pt>
                <c:pt idx="50">
                  <c:v>5.7299999999999995</c:v>
                </c:pt>
                <c:pt idx="51">
                  <c:v>5.8</c:v>
                </c:pt>
                <c:pt idx="52">
                  <c:v>5.86</c:v>
                </c:pt>
                <c:pt idx="53">
                  <c:v>5.55</c:v>
                </c:pt>
                <c:pt idx="54">
                  <c:v>5.3</c:v>
                </c:pt>
                <c:pt idx="55">
                  <c:v>5.2299999999999995</c:v>
                </c:pt>
                <c:pt idx="56">
                  <c:v>5.3</c:v>
                </c:pt>
                <c:pt idx="57">
                  <c:v>5.36</c:v>
                </c:pt>
                <c:pt idx="58">
                  <c:v>5.4799999999999995</c:v>
                </c:pt>
                <c:pt idx="59">
                  <c:v>5.61</c:v>
                </c:pt>
                <c:pt idx="60">
                  <c:v>5.7299999999999995</c:v>
                </c:pt>
                <c:pt idx="61">
                  <c:v>5.86</c:v>
                </c:pt>
                <c:pt idx="62">
                  <c:v>5.8</c:v>
                </c:pt>
                <c:pt idx="63">
                  <c:v>5.4799999999999995</c:v>
                </c:pt>
                <c:pt idx="64">
                  <c:v>5.3</c:v>
                </c:pt>
                <c:pt idx="65">
                  <c:v>5.2299999999999995</c:v>
                </c:pt>
                <c:pt idx="66">
                  <c:v>5.3</c:v>
                </c:pt>
                <c:pt idx="67">
                  <c:v>5.36</c:v>
                </c:pt>
                <c:pt idx="68">
                  <c:v>5.4799999999999995</c:v>
                </c:pt>
                <c:pt idx="69">
                  <c:v>5.67</c:v>
                </c:pt>
                <c:pt idx="70">
                  <c:v>5.8</c:v>
                </c:pt>
                <c:pt idx="71">
                  <c:v>5.86</c:v>
                </c:pt>
                <c:pt idx="72">
                  <c:v>5.7299999999999995</c:v>
                </c:pt>
                <c:pt idx="73">
                  <c:v>5.42</c:v>
                </c:pt>
                <c:pt idx="74">
                  <c:v>5.2299999999999995</c:v>
                </c:pt>
                <c:pt idx="75">
                  <c:v>5.2299999999999995</c:v>
                </c:pt>
                <c:pt idx="76">
                  <c:v>5.3</c:v>
                </c:pt>
                <c:pt idx="77">
                  <c:v>5.42</c:v>
                </c:pt>
                <c:pt idx="78">
                  <c:v>5.55</c:v>
                </c:pt>
                <c:pt idx="79">
                  <c:v>5.67</c:v>
                </c:pt>
                <c:pt idx="80">
                  <c:v>5.8</c:v>
                </c:pt>
                <c:pt idx="81">
                  <c:v>5.86</c:v>
                </c:pt>
                <c:pt idx="82">
                  <c:v>5.7299999999999995</c:v>
                </c:pt>
                <c:pt idx="83">
                  <c:v>5.42</c:v>
                </c:pt>
                <c:pt idx="84">
                  <c:v>5.2299999999999995</c:v>
                </c:pt>
                <c:pt idx="85">
                  <c:v>5.2299999999999995</c:v>
                </c:pt>
                <c:pt idx="86">
                  <c:v>5.36</c:v>
                </c:pt>
                <c:pt idx="87">
                  <c:v>5.42</c:v>
                </c:pt>
                <c:pt idx="88">
                  <c:v>5.55</c:v>
                </c:pt>
                <c:pt idx="89">
                  <c:v>5.67</c:v>
                </c:pt>
                <c:pt idx="90">
                  <c:v>5.8</c:v>
                </c:pt>
                <c:pt idx="91">
                  <c:v>5.86</c:v>
                </c:pt>
                <c:pt idx="92">
                  <c:v>5.7299999999999995</c:v>
                </c:pt>
                <c:pt idx="93">
                  <c:v>5.42</c:v>
                </c:pt>
                <c:pt idx="94">
                  <c:v>5.2299999999999995</c:v>
                </c:pt>
                <c:pt idx="95">
                  <c:v>5.3</c:v>
                </c:pt>
                <c:pt idx="96">
                  <c:v>5.36</c:v>
                </c:pt>
                <c:pt idx="97">
                  <c:v>5.42</c:v>
                </c:pt>
                <c:pt idx="98">
                  <c:v>5.55</c:v>
                </c:pt>
                <c:pt idx="99">
                  <c:v>5.67</c:v>
                </c:pt>
                <c:pt idx="100">
                  <c:v>5.8</c:v>
                </c:pt>
                <c:pt idx="101">
                  <c:v>5.86</c:v>
                </c:pt>
                <c:pt idx="102">
                  <c:v>5.67</c:v>
                </c:pt>
                <c:pt idx="103">
                  <c:v>5.36</c:v>
                </c:pt>
                <c:pt idx="104">
                  <c:v>5.2299999999999995</c:v>
                </c:pt>
                <c:pt idx="105">
                  <c:v>5.3</c:v>
                </c:pt>
                <c:pt idx="106">
                  <c:v>5.36</c:v>
                </c:pt>
                <c:pt idx="107">
                  <c:v>5.42</c:v>
                </c:pt>
                <c:pt idx="108">
                  <c:v>5.55</c:v>
                </c:pt>
                <c:pt idx="109">
                  <c:v>5.67</c:v>
                </c:pt>
                <c:pt idx="110">
                  <c:v>5.8</c:v>
                </c:pt>
                <c:pt idx="111">
                  <c:v>5.86</c:v>
                </c:pt>
                <c:pt idx="112">
                  <c:v>5.67</c:v>
                </c:pt>
                <c:pt idx="113">
                  <c:v>5.36</c:v>
                </c:pt>
                <c:pt idx="114">
                  <c:v>5.3</c:v>
                </c:pt>
                <c:pt idx="115">
                  <c:v>5.3</c:v>
                </c:pt>
                <c:pt idx="116">
                  <c:v>5.36</c:v>
                </c:pt>
                <c:pt idx="117">
                  <c:v>5.4799999999999995</c:v>
                </c:pt>
                <c:pt idx="118">
                  <c:v>5.55</c:v>
                </c:pt>
                <c:pt idx="119">
                  <c:v>5.7299999999999995</c:v>
                </c:pt>
                <c:pt idx="120">
                  <c:v>5.86</c:v>
                </c:pt>
                <c:pt idx="121">
                  <c:v>5.86</c:v>
                </c:pt>
                <c:pt idx="122">
                  <c:v>5.67</c:v>
                </c:pt>
                <c:pt idx="123">
                  <c:v>5.42</c:v>
                </c:pt>
                <c:pt idx="124">
                  <c:v>5.3</c:v>
                </c:pt>
                <c:pt idx="125">
                  <c:v>5.3</c:v>
                </c:pt>
                <c:pt idx="126">
                  <c:v>5.36</c:v>
                </c:pt>
                <c:pt idx="127">
                  <c:v>5.4799999999999995</c:v>
                </c:pt>
                <c:pt idx="128">
                  <c:v>5.55</c:v>
                </c:pt>
                <c:pt idx="129">
                  <c:v>5.7299999999999995</c:v>
                </c:pt>
                <c:pt idx="130">
                  <c:v>5.86</c:v>
                </c:pt>
                <c:pt idx="131">
                  <c:v>5.86</c:v>
                </c:pt>
                <c:pt idx="132">
                  <c:v>5.67</c:v>
                </c:pt>
                <c:pt idx="133">
                  <c:v>5.36</c:v>
                </c:pt>
                <c:pt idx="134">
                  <c:v>5.3</c:v>
                </c:pt>
                <c:pt idx="135">
                  <c:v>5.3</c:v>
                </c:pt>
                <c:pt idx="136">
                  <c:v>5.36</c:v>
                </c:pt>
                <c:pt idx="137">
                  <c:v>5.42</c:v>
                </c:pt>
                <c:pt idx="138">
                  <c:v>5.55</c:v>
                </c:pt>
                <c:pt idx="139">
                  <c:v>5.67</c:v>
                </c:pt>
                <c:pt idx="140">
                  <c:v>5.8</c:v>
                </c:pt>
                <c:pt idx="141">
                  <c:v>5.86</c:v>
                </c:pt>
                <c:pt idx="142">
                  <c:v>5.7299999999999995</c:v>
                </c:pt>
                <c:pt idx="143">
                  <c:v>5.42</c:v>
                </c:pt>
                <c:pt idx="144">
                  <c:v>5.3</c:v>
                </c:pt>
                <c:pt idx="145">
                  <c:v>5.3</c:v>
                </c:pt>
                <c:pt idx="146">
                  <c:v>5.36</c:v>
                </c:pt>
                <c:pt idx="147">
                  <c:v>5.4799999999999995</c:v>
                </c:pt>
                <c:pt idx="148">
                  <c:v>5.55</c:v>
                </c:pt>
                <c:pt idx="149">
                  <c:v>5.67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244F-C64D-B929-D64B6A8A24D9}"/>
            </c:ext>
          </c:extLst>
        </c:ser>
        <c:ser>
          <c:idx val="6"/>
          <c:order val="6"/>
          <c:tx>
            <c:strRef>
              <c:f>'2. Calculs'!$X$4</c:f>
              <c:strCache>
                <c:ptCount val="1"/>
                <c:pt idx="0">
                  <c:v>BGAR/ (°C)</c:v>
                </c:pt>
              </c:strCache>
            </c:strRef>
          </c:tx>
          <c:spPr>
            <a:ln w="127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'2. Calculs'!$C$5:$C$154</c:f>
              <c:numCache>
                <c:formatCode>h:mm:ss\ AM/PM</c:formatCode>
                <c:ptCount val="150"/>
                <c:pt idx="0">
                  <c:v>0.51620370370370372</c:v>
                </c:pt>
                <c:pt idx="1">
                  <c:v>0.51689814814814816</c:v>
                </c:pt>
                <c:pt idx="2">
                  <c:v>0.5175925925925926</c:v>
                </c:pt>
                <c:pt idx="3">
                  <c:v>0.51828703703703705</c:v>
                </c:pt>
                <c:pt idx="4">
                  <c:v>0.51898148148148149</c:v>
                </c:pt>
                <c:pt idx="5">
                  <c:v>0.51967592592592593</c:v>
                </c:pt>
                <c:pt idx="6">
                  <c:v>0.52037037037037037</c:v>
                </c:pt>
                <c:pt idx="7">
                  <c:v>0.52106481481481481</c:v>
                </c:pt>
                <c:pt idx="8">
                  <c:v>0.52175925925925926</c:v>
                </c:pt>
                <c:pt idx="9">
                  <c:v>0.5224537037037037</c:v>
                </c:pt>
                <c:pt idx="10">
                  <c:v>0.52314814814814814</c:v>
                </c:pt>
                <c:pt idx="11">
                  <c:v>0.52384259259259258</c:v>
                </c:pt>
                <c:pt idx="12">
                  <c:v>0.52453703703703702</c:v>
                </c:pt>
                <c:pt idx="13">
                  <c:v>0.52523148148148147</c:v>
                </c:pt>
                <c:pt idx="14">
                  <c:v>0.52592592592592591</c:v>
                </c:pt>
                <c:pt idx="15">
                  <c:v>0.52662037037037035</c:v>
                </c:pt>
                <c:pt idx="16">
                  <c:v>0.52731481481481479</c:v>
                </c:pt>
                <c:pt idx="17">
                  <c:v>0.52800925925925923</c:v>
                </c:pt>
                <c:pt idx="18">
                  <c:v>0.52870370370370368</c:v>
                </c:pt>
                <c:pt idx="19">
                  <c:v>0.52939814814814812</c:v>
                </c:pt>
                <c:pt idx="20">
                  <c:v>0.53009259259259256</c:v>
                </c:pt>
                <c:pt idx="21">
                  <c:v>0.530787037037037</c:v>
                </c:pt>
                <c:pt idx="22">
                  <c:v>0.53148148148148155</c:v>
                </c:pt>
                <c:pt idx="23">
                  <c:v>0.53217592592592589</c:v>
                </c:pt>
                <c:pt idx="24">
                  <c:v>0.53287037037037044</c:v>
                </c:pt>
                <c:pt idx="25">
                  <c:v>0.53356481481481477</c:v>
                </c:pt>
                <c:pt idx="26">
                  <c:v>0.53425925925925932</c:v>
                </c:pt>
                <c:pt idx="27">
                  <c:v>0.53495370370370365</c:v>
                </c:pt>
                <c:pt idx="28">
                  <c:v>0.53564814814814821</c:v>
                </c:pt>
                <c:pt idx="29">
                  <c:v>0.53634259259259254</c:v>
                </c:pt>
                <c:pt idx="30">
                  <c:v>0.53703703703703709</c:v>
                </c:pt>
                <c:pt idx="31">
                  <c:v>0.53773148148148142</c:v>
                </c:pt>
                <c:pt idx="32">
                  <c:v>0.53842592592592597</c:v>
                </c:pt>
                <c:pt idx="33">
                  <c:v>0.53912037037037031</c:v>
                </c:pt>
                <c:pt idx="34">
                  <c:v>0.53981481481481486</c:v>
                </c:pt>
                <c:pt idx="35">
                  <c:v>0.54050925925925919</c:v>
                </c:pt>
                <c:pt idx="36">
                  <c:v>0.54120370370370374</c:v>
                </c:pt>
                <c:pt idx="37">
                  <c:v>0.54189814814814818</c:v>
                </c:pt>
                <c:pt idx="38">
                  <c:v>0.54259259259259263</c:v>
                </c:pt>
                <c:pt idx="39">
                  <c:v>0.54328703703703707</c:v>
                </c:pt>
                <c:pt idx="40">
                  <c:v>0.54398148148148151</c:v>
                </c:pt>
                <c:pt idx="41">
                  <c:v>0.54467592592592595</c:v>
                </c:pt>
                <c:pt idx="42">
                  <c:v>0.54537037037037039</c:v>
                </c:pt>
                <c:pt idx="43">
                  <c:v>0.54606481481481484</c:v>
                </c:pt>
                <c:pt idx="44">
                  <c:v>0.54675925925925928</c:v>
                </c:pt>
                <c:pt idx="45">
                  <c:v>0.54745370370370372</c:v>
                </c:pt>
                <c:pt idx="46">
                  <c:v>0.54814814814814816</c:v>
                </c:pt>
                <c:pt idx="47">
                  <c:v>0.5488425925925926</c:v>
                </c:pt>
                <c:pt idx="48">
                  <c:v>0.54953703703703705</c:v>
                </c:pt>
                <c:pt idx="49">
                  <c:v>0.55023148148148149</c:v>
                </c:pt>
                <c:pt idx="50">
                  <c:v>0.55092592592592593</c:v>
                </c:pt>
                <c:pt idx="51">
                  <c:v>0.55162037037037037</c:v>
                </c:pt>
                <c:pt idx="52">
                  <c:v>0.55231481481481481</c:v>
                </c:pt>
                <c:pt idx="53">
                  <c:v>0.55300925925925926</c:v>
                </c:pt>
                <c:pt idx="54">
                  <c:v>0.5537037037037037</c:v>
                </c:pt>
                <c:pt idx="55">
                  <c:v>0.55439814814814814</c:v>
                </c:pt>
                <c:pt idx="56">
                  <c:v>0.55509259259259258</c:v>
                </c:pt>
                <c:pt idx="57">
                  <c:v>0.55578703703703702</c:v>
                </c:pt>
                <c:pt idx="58">
                  <c:v>0.55648148148148147</c:v>
                </c:pt>
                <c:pt idx="59">
                  <c:v>0.55717592592592591</c:v>
                </c:pt>
                <c:pt idx="60">
                  <c:v>0.55787037037037035</c:v>
                </c:pt>
                <c:pt idx="61">
                  <c:v>0.55856481481481479</c:v>
                </c:pt>
                <c:pt idx="62">
                  <c:v>0.55925925925925923</c:v>
                </c:pt>
                <c:pt idx="63">
                  <c:v>0.55995370370370368</c:v>
                </c:pt>
                <c:pt idx="64">
                  <c:v>0.56064814814814812</c:v>
                </c:pt>
                <c:pt idx="65">
                  <c:v>0.56134259259259256</c:v>
                </c:pt>
                <c:pt idx="66">
                  <c:v>0.562037037037037</c:v>
                </c:pt>
                <c:pt idx="67">
                  <c:v>0.56273148148148155</c:v>
                </c:pt>
                <c:pt idx="68">
                  <c:v>0.56342592592592589</c:v>
                </c:pt>
                <c:pt idx="69">
                  <c:v>0.56412037037037044</c:v>
                </c:pt>
                <c:pt idx="70">
                  <c:v>0.56481481481481477</c:v>
                </c:pt>
                <c:pt idx="71">
                  <c:v>0.56550925925925932</c:v>
                </c:pt>
                <c:pt idx="72">
                  <c:v>0.56620370370370365</c:v>
                </c:pt>
                <c:pt idx="73">
                  <c:v>0.56689814814814821</c:v>
                </c:pt>
                <c:pt idx="74">
                  <c:v>0.56759259259259254</c:v>
                </c:pt>
                <c:pt idx="75">
                  <c:v>0.56828703703703709</c:v>
                </c:pt>
                <c:pt idx="76">
                  <c:v>0.56898148148148142</c:v>
                </c:pt>
                <c:pt idx="77">
                  <c:v>0.56967592592592597</c:v>
                </c:pt>
                <c:pt idx="78">
                  <c:v>0.57037037037037031</c:v>
                </c:pt>
                <c:pt idx="79">
                  <c:v>0.57106481481481486</c:v>
                </c:pt>
                <c:pt idx="80">
                  <c:v>0.57175925925925919</c:v>
                </c:pt>
                <c:pt idx="81">
                  <c:v>0.57245370370370374</c:v>
                </c:pt>
                <c:pt idx="82">
                  <c:v>0.57314814814814818</c:v>
                </c:pt>
                <c:pt idx="83">
                  <c:v>0.57384259259259263</c:v>
                </c:pt>
                <c:pt idx="84">
                  <c:v>0.57453703703703707</c:v>
                </c:pt>
                <c:pt idx="85">
                  <c:v>0.57523148148148151</c:v>
                </c:pt>
                <c:pt idx="86">
                  <c:v>0.57592592592592595</c:v>
                </c:pt>
                <c:pt idx="87">
                  <c:v>0.57662037037037039</c:v>
                </c:pt>
                <c:pt idx="88">
                  <c:v>0.57731481481481484</c:v>
                </c:pt>
                <c:pt idx="89">
                  <c:v>0.57800925925925928</c:v>
                </c:pt>
                <c:pt idx="90">
                  <c:v>0.57870370370370372</c:v>
                </c:pt>
                <c:pt idx="91">
                  <c:v>0.57938657407407412</c:v>
                </c:pt>
                <c:pt idx="92">
                  <c:v>0.5800925925925926</c:v>
                </c:pt>
                <c:pt idx="93">
                  <c:v>0.58078703703703705</c:v>
                </c:pt>
                <c:pt idx="94">
                  <c:v>0.58148148148148149</c:v>
                </c:pt>
                <c:pt idx="95">
                  <c:v>0.58217592592592593</c:v>
                </c:pt>
                <c:pt idx="96">
                  <c:v>0.58287037037037037</c:v>
                </c:pt>
                <c:pt idx="97">
                  <c:v>0.58356481481481481</c:v>
                </c:pt>
                <c:pt idx="98">
                  <c:v>0.58425925925925926</c:v>
                </c:pt>
                <c:pt idx="99">
                  <c:v>0.5849537037037037</c:v>
                </c:pt>
                <c:pt idx="100">
                  <c:v>0.58564814814814814</c:v>
                </c:pt>
                <c:pt idx="101">
                  <c:v>0.58634259259259258</c:v>
                </c:pt>
                <c:pt idx="102">
                  <c:v>0.58703703703703702</c:v>
                </c:pt>
                <c:pt idx="103">
                  <c:v>0.58773148148148147</c:v>
                </c:pt>
                <c:pt idx="104">
                  <c:v>0.58842592592592591</c:v>
                </c:pt>
                <c:pt idx="105">
                  <c:v>0.58912037037037035</c:v>
                </c:pt>
                <c:pt idx="106">
                  <c:v>0.58980324074074075</c:v>
                </c:pt>
                <c:pt idx="107">
                  <c:v>0.59050925925925923</c:v>
                </c:pt>
                <c:pt idx="108">
                  <c:v>0.59119212962962964</c:v>
                </c:pt>
                <c:pt idx="109">
                  <c:v>0.59189814814814812</c:v>
                </c:pt>
                <c:pt idx="110">
                  <c:v>0.59259259259259256</c:v>
                </c:pt>
                <c:pt idx="111">
                  <c:v>0.59327546296296296</c:v>
                </c:pt>
                <c:pt idx="112">
                  <c:v>0.59398148148148155</c:v>
                </c:pt>
                <c:pt idx="113">
                  <c:v>0.59467592592592589</c:v>
                </c:pt>
                <c:pt idx="114">
                  <c:v>0.59535879629629629</c:v>
                </c:pt>
                <c:pt idx="115">
                  <c:v>0.59605324074074073</c:v>
                </c:pt>
                <c:pt idx="116">
                  <c:v>0.59674768518518517</c:v>
                </c:pt>
                <c:pt idx="117">
                  <c:v>0.59744212962962961</c:v>
                </c:pt>
                <c:pt idx="118">
                  <c:v>0.59813657407407406</c:v>
                </c:pt>
                <c:pt idx="119">
                  <c:v>0.5988310185185185</c:v>
                </c:pt>
                <c:pt idx="120">
                  <c:v>0.59952546296296294</c:v>
                </c:pt>
                <c:pt idx="121">
                  <c:v>0.60021990740740738</c:v>
                </c:pt>
                <c:pt idx="122">
                  <c:v>0.60091435185185182</c:v>
                </c:pt>
                <c:pt idx="123">
                  <c:v>0.60160879629629627</c:v>
                </c:pt>
                <c:pt idx="124">
                  <c:v>0.60230324074074071</c:v>
                </c:pt>
                <c:pt idx="125">
                  <c:v>0.60299768518518515</c:v>
                </c:pt>
                <c:pt idx="126">
                  <c:v>0.6036921296296297</c:v>
                </c:pt>
                <c:pt idx="127">
                  <c:v>0.60438657407407403</c:v>
                </c:pt>
                <c:pt idx="128">
                  <c:v>0.60508101851851859</c:v>
                </c:pt>
                <c:pt idx="129">
                  <c:v>0.60577546296296292</c:v>
                </c:pt>
                <c:pt idx="130">
                  <c:v>0.60646990740740747</c:v>
                </c:pt>
                <c:pt idx="131">
                  <c:v>0.6071643518518518</c:v>
                </c:pt>
                <c:pt idx="132">
                  <c:v>0.60785879629629636</c:v>
                </c:pt>
                <c:pt idx="133">
                  <c:v>0.60855324074074069</c:v>
                </c:pt>
                <c:pt idx="134">
                  <c:v>0.60924768518518524</c:v>
                </c:pt>
                <c:pt idx="135">
                  <c:v>0.60994212962962957</c:v>
                </c:pt>
                <c:pt idx="136">
                  <c:v>0.61063657407407412</c:v>
                </c:pt>
                <c:pt idx="137">
                  <c:v>0.61133101851851845</c:v>
                </c:pt>
                <c:pt idx="138">
                  <c:v>0.61202546296296301</c:v>
                </c:pt>
                <c:pt idx="139">
                  <c:v>0.61271990740740734</c:v>
                </c:pt>
                <c:pt idx="140">
                  <c:v>0.61341435185185189</c:v>
                </c:pt>
                <c:pt idx="141">
                  <c:v>0.61410879629629633</c:v>
                </c:pt>
                <c:pt idx="142">
                  <c:v>0.61480324074074078</c:v>
                </c:pt>
                <c:pt idx="143">
                  <c:v>0.61549768518518522</c:v>
                </c:pt>
                <c:pt idx="144">
                  <c:v>0.61619212962962966</c:v>
                </c:pt>
                <c:pt idx="145">
                  <c:v>0.6168865740740741</c:v>
                </c:pt>
                <c:pt idx="146">
                  <c:v>0.61758101851851854</c:v>
                </c:pt>
                <c:pt idx="147">
                  <c:v>0.61827546296296299</c:v>
                </c:pt>
                <c:pt idx="148">
                  <c:v>0.61896990740740743</c:v>
                </c:pt>
                <c:pt idx="149">
                  <c:v>0.61966435185185187</c:v>
                </c:pt>
              </c:numCache>
            </c:numRef>
          </c:cat>
          <c:val>
            <c:numRef>
              <c:f>'2. Calculs'!$X$5:$X$154</c:f>
              <c:numCache>
                <c:formatCode>0.00</c:formatCode>
                <c:ptCount val="150"/>
                <c:pt idx="0">
                  <c:v>4.66</c:v>
                </c:pt>
                <c:pt idx="1">
                  <c:v>4.84</c:v>
                </c:pt>
                <c:pt idx="2">
                  <c:v>5.03</c:v>
                </c:pt>
                <c:pt idx="3">
                  <c:v>5.2200000000000006</c:v>
                </c:pt>
                <c:pt idx="4">
                  <c:v>5.34</c:v>
                </c:pt>
                <c:pt idx="5">
                  <c:v>4.9700000000000006</c:v>
                </c:pt>
                <c:pt idx="6">
                  <c:v>4.28</c:v>
                </c:pt>
                <c:pt idx="7">
                  <c:v>4.09</c:v>
                </c:pt>
                <c:pt idx="8">
                  <c:v>4.34</c:v>
                </c:pt>
                <c:pt idx="9">
                  <c:v>4.59</c:v>
                </c:pt>
                <c:pt idx="10">
                  <c:v>4.84</c:v>
                </c:pt>
                <c:pt idx="11">
                  <c:v>5.03</c:v>
                </c:pt>
                <c:pt idx="12">
                  <c:v>5.28</c:v>
                </c:pt>
                <c:pt idx="13">
                  <c:v>5.4700000000000006</c:v>
                </c:pt>
                <c:pt idx="14">
                  <c:v>5.16</c:v>
                </c:pt>
                <c:pt idx="15">
                  <c:v>4.41</c:v>
                </c:pt>
                <c:pt idx="16">
                  <c:v>4.16</c:v>
                </c:pt>
                <c:pt idx="17">
                  <c:v>4.34</c:v>
                </c:pt>
                <c:pt idx="18">
                  <c:v>4.59</c:v>
                </c:pt>
                <c:pt idx="19">
                  <c:v>4.78</c:v>
                </c:pt>
                <c:pt idx="20">
                  <c:v>5.03</c:v>
                </c:pt>
                <c:pt idx="21">
                  <c:v>5.2200000000000006</c:v>
                </c:pt>
                <c:pt idx="22">
                  <c:v>5.41</c:v>
                </c:pt>
                <c:pt idx="23">
                  <c:v>5.34</c:v>
                </c:pt>
                <c:pt idx="24">
                  <c:v>4.78</c:v>
                </c:pt>
                <c:pt idx="25">
                  <c:v>4.2200000000000006</c:v>
                </c:pt>
                <c:pt idx="26">
                  <c:v>4.28</c:v>
                </c:pt>
                <c:pt idx="27">
                  <c:v>4.4700000000000006</c:v>
                </c:pt>
                <c:pt idx="28">
                  <c:v>4.7200000000000006</c:v>
                </c:pt>
                <c:pt idx="29">
                  <c:v>4.91</c:v>
                </c:pt>
                <c:pt idx="30">
                  <c:v>5.16</c:v>
                </c:pt>
                <c:pt idx="31">
                  <c:v>5.34</c:v>
                </c:pt>
                <c:pt idx="32">
                  <c:v>5.4700000000000006</c:v>
                </c:pt>
                <c:pt idx="33">
                  <c:v>5.16</c:v>
                </c:pt>
                <c:pt idx="34">
                  <c:v>4.41</c:v>
                </c:pt>
                <c:pt idx="35">
                  <c:v>4.2200000000000006</c:v>
                </c:pt>
                <c:pt idx="36">
                  <c:v>4.41</c:v>
                </c:pt>
                <c:pt idx="37">
                  <c:v>4.59</c:v>
                </c:pt>
                <c:pt idx="38">
                  <c:v>4.84</c:v>
                </c:pt>
                <c:pt idx="39">
                  <c:v>5.03</c:v>
                </c:pt>
                <c:pt idx="40">
                  <c:v>5.2200000000000006</c:v>
                </c:pt>
                <c:pt idx="41">
                  <c:v>5.4700000000000006</c:v>
                </c:pt>
                <c:pt idx="42">
                  <c:v>5.4700000000000006</c:v>
                </c:pt>
                <c:pt idx="43">
                  <c:v>4.84</c:v>
                </c:pt>
                <c:pt idx="44">
                  <c:v>4.2200000000000006</c:v>
                </c:pt>
                <c:pt idx="45">
                  <c:v>4.28</c:v>
                </c:pt>
                <c:pt idx="46">
                  <c:v>4.4700000000000006</c:v>
                </c:pt>
                <c:pt idx="47">
                  <c:v>4.66</c:v>
                </c:pt>
                <c:pt idx="48">
                  <c:v>4.91</c:v>
                </c:pt>
                <c:pt idx="49">
                  <c:v>5.09</c:v>
                </c:pt>
                <c:pt idx="50">
                  <c:v>5.28</c:v>
                </c:pt>
                <c:pt idx="51">
                  <c:v>5.4700000000000006</c:v>
                </c:pt>
                <c:pt idx="52">
                  <c:v>5.41</c:v>
                </c:pt>
                <c:pt idx="53">
                  <c:v>4.66</c:v>
                </c:pt>
                <c:pt idx="54">
                  <c:v>4.2200000000000006</c:v>
                </c:pt>
                <c:pt idx="55">
                  <c:v>4.28</c:v>
                </c:pt>
                <c:pt idx="56">
                  <c:v>4.53</c:v>
                </c:pt>
                <c:pt idx="57">
                  <c:v>4.7200000000000006</c:v>
                </c:pt>
                <c:pt idx="58">
                  <c:v>4.9700000000000006</c:v>
                </c:pt>
                <c:pt idx="59">
                  <c:v>5.16</c:v>
                </c:pt>
                <c:pt idx="60">
                  <c:v>5.34</c:v>
                </c:pt>
                <c:pt idx="61">
                  <c:v>5.53</c:v>
                </c:pt>
                <c:pt idx="62">
                  <c:v>5.28</c:v>
                </c:pt>
                <c:pt idx="63">
                  <c:v>4.53</c:v>
                </c:pt>
                <c:pt idx="64">
                  <c:v>4.2200000000000006</c:v>
                </c:pt>
                <c:pt idx="65">
                  <c:v>4.41</c:v>
                </c:pt>
                <c:pt idx="66">
                  <c:v>4.59</c:v>
                </c:pt>
                <c:pt idx="67">
                  <c:v>4.84</c:v>
                </c:pt>
                <c:pt idx="68">
                  <c:v>5.03</c:v>
                </c:pt>
                <c:pt idx="69">
                  <c:v>5.2200000000000006</c:v>
                </c:pt>
                <c:pt idx="70">
                  <c:v>5.41</c:v>
                </c:pt>
                <c:pt idx="71">
                  <c:v>5.4700000000000006</c:v>
                </c:pt>
                <c:pt idx="72">
                  <c:v>5.09</c:v>
                </c:pt>
                <c:pt idx="73">
                  <c:v>4.34</c:v>
                </c:pt>
                <c:pt idx="74">
                  <c:v>4.2200000000000006</c:v>
                </c:pt>
                <c:pt idx="75">
                  <c:v>4.41</c:v>
                </c:pt>
                <c:pt idx="76">
                  <c:v>4.59</c:v>
                </c:pt>
                <c:pt idx="77">
                  <c:v>4.84</c:v>
                </c:pt>
                <c:pt idx="78">
                  <c:v>5.03</c:v>
                </c:pt>
                <c:pt idx="79">
                  <c:v>5.2200000000000006</c:v>
                </c:pt>
                <c:pt idx="80">
                  <c:v>5.41</c:v>
                </c:pt>
                <c:pt idx="81">
                  <c:v>5.4700000000000006</c:v>
                </c:pt>
                <c:pt idx="82">
                  <c:v>5.03</c:v>
                </c:pt>
                <c:pt idx="83">
                  <c:v>4.34</c:v>
                </c:pt>
                <c:pt idx="84">
                  <c:v>4.28</c:v>
                </c:pt>
                <c:pt idx="85">
                  <c:v>4.41</c:v>
                </c:pt>
                <c:pt idx="86">
                  <c:v>4.66</c:v>
                </c:pt>
                <c:pt idx="87">
                  <c:v>4.84</c:v>
                </c:pt>
                <c:pt idx="88">
                  <c:v>5.03</c:v>
                </c:pt>
                <c:pt idx="89">
                  <c:v>5.2200000000000006</c:v>
                </c:pt>
                <c:pt idx="90">
                  <c:v>5.4700000000000006</c:v>
                </c:pt>
                <c:pt idx="91">
                  <c:v>5.4700000000000006</c:v>
                </c:pt>
                <c:pt idx="92">
                  <c:v>5.03</c:v>
                </c:pt>
                <c:pt idx="93">
                  <c:v>4.28</c:v>
                </c:pt>
                <c:pt idx="94">
                  <c:v>4.2200000000000006</c:v>
                </c:pt>
                <c:pt idx="95">
                  <c:v>4.41</c:v>
                </c:pt>
                <c:pt idx="96">
                  <c:v>4.66</c:v>
                </c:pt>
                <c:pt idx="97">
                  <c:v>4.84</c:v>
                </c:pt>
                <c:pt idx="98">
                  <c:v>5.09</c:v>
                </c:pt>
                <c:pt idx="99">
                  <c:v>5.28</c:v>
                </c:pt>
                <c:pt idx="100">
                  <c:v>5.4700000000000006</c:v>
                </c:pt>
                <c:pt idx="101">
                  <c:v>5.4700000000000006</c:v>
                </c:pt>
                <c:pt idx="102">
                  <c:v>4.91</c:v>
                </c:pt>
                <c:pt idx="103">
                  <c:v>4.28</c:v>
                </c:pt>
                <c:pt idx="104">
                  <c:v>4.28</c:v>
                </c:pt>
                <c:pt idx="105">
                  <c:v>4.4700000000000006</c:v>
                </c:pt>
                <c:pt idx="106">
                  <c:v>4.66</c:v>
                </c:pt>
                <c:pt idx="107">
                  <c:v>4.84</c:v>
                </c:pt>
                <c:pt idx="108">
                  <c:v>5.09</c:v>
                </c:pt>
                <c:pt idx="109">
                  <c:v>5.28</c:v>
                </c:pt>
                <c:pt idx="110">
                  <c:v>5.4700000000000006</c:v>
                </c:pt>
                <c:pt idx="111">
                  <c:v>5.4700000000000006</c:v>
                </c:pt>
                <c:pt idx="112">
                  <c:v>4.91</c:v>
                </c:pt>
                <c:pt idx="113">
                  <c:v>4.28</c:v>
                </c:pt>
                <c:pt idx="114">
                  <c:v>4.28</c:v>
                </c:pt>
                <c:pt idx="115">
                  <c:v>4.4700000000000006</c:v>
                </c:pt>
                <c:pt idx="116">
                  <c:v>4.66</c:v>
                </c:pt>
                <c:pt idx="117">
                  <c:v>4.91</c:v>
                </c:pt>
                <c:pt idx="118">
                  <c:v>5.09</c:v>
                </c:pt>
                <c:pt idx="119">
                  <c:v>5.28</c:v>
                </c:pt>
                <c:pt idx="120">
                  <c:v>5.4700000000000006</c:v>
                </c:pt>
                <c:pt idx="121">
                  <c:v>5.4700000000000006</c:v>
                </c:pt>
                <c:pt idx="122">
                  <c:v>4.91</c:v>
                </c:pt>
                <c:pt idx="123">
                  <c:v>4.28</c:v>
                </c:pt>
                <c:pt idx="124">
                  <c:v>4.28</c:v>
                </c:pt>
                <c:pt idx="125">
                  <c:v>4.4700000000000006</c:v>
                </c:pt>
                <c:pt idx="126">
                  <c:v>4.66</c:v>
                </c:pt>
                <c:pt idx="127">
                  <c:v>4.91</c:v>
                </c:pt>
                <c:pt idx="128">
                  <c:v>5.09</c:v>
                </c:pt>
                <c:pt idx="129">
                  <c:v>5.28</c:v>
                </c:pt>
                <c:pt idx="130">
                  <c:v>5.4700000000000006</c:v>
                </c:pt>
                <c:pt idx="131">
                  <c:v>5.4700000000000006</c:v>
                </c:pt>
                <c:pt idx="132">
                  <c:v>4.84</c:v>
                </c:pt>
                <c:pt idx="133">
                  <c:v>4.28</c:v>
                </c:pt>
                <c:pt idx="134">
                  <c:v>4.28</c:v>
                </c:pt>
                <c:pt idx="135">
                  <c:v>4.4700000000000006</c:v>
                </c:pt>
                <c:pt idx="136">
                  <c:v>4.66</c:v>
                </c:pt>
                <c:pt idx="137">
                  <c:v>4.91</c:v>
                </c:pt>
                <c:pt idx="138">
                  <c:v>5.09</c:v>
                </c:pt>
                <c:pt idx="139">
                  <c:v>5.28</c:v>
                </c:pt>
                <c:pt idx="140">
                  <c:v>5.4700000000000006</c:v>
                </c:pt>
                <c:pt idx="141">
                  <c:v>5.4700000000000006</c:v>
                </c:pt>
                <c:pt idx="142">
                  <c:v>4.9700000000000006</c:v>
                </c:pt>
                <c:pt idx="143">
                  <c:v>4.28</c:v>
                </c:pt>
                <c:pt idx="144">
                  <c:v>4.28</c:v>
                </c:pt>
                <c:pt idx="145">
                  <c:v>4.4700000000000006</c:v>
                </c:pt>
                <c:pt idx="146">
                  <c:v>4.66</c:v>
                </c:pt>
                <c:pt idx="147">
                  <c:v>4.91</c:v>
                </c:pt>
                <c:pt idx="148">
                  <c:v>5.09</c:v>
                </c:pt>
                <c:pt idx="149">
                  <c:v>5.28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244F-C64D-B929-D64B6A8A24D9}"/>
            </c:ext>
          </c:extLst>
        </c:ser>
        <c:ser>
          <c:idx val="7"/>
          <c:order val="7"/>
          <c:tx>
            <c:strRef>
              <c:f>'2. Calculs'!$Y$4</c:f>
              <c:strCache>
                <c:ptCount val="1"/>
                <c:pt idx="0">
                  <c:v>BDAR/ (°C)</c:v>
                </c:pt>
              </c:strCache>
            </c:strRef>
          </c:tx>
          <c:spPr>
            <a:ln w="1270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'2. Calculs'!$C$5:$C$154</c:f>
              <c:numCache>
                <c:formatCode>h:mm:ss\ AM/PM</c:formatCode>
                <c:ptCount val="150"/>
                <c:pt idx="0">
                  <c:v>0.51620370370370372</c:v>
                </c:pt>
                <c:pt idx="1">
                  <c:v>0.51689814814814816</c:v>
                </c:pt>
                <c:pt idx="2">
                  <c:v>0.5175925925925926</c:v>
                </c:pt>
                <c:pt idx="3">
                  <c:v>0.51828703703703705</c:v>
                </c:pt>
                <c:pt idx="4">
                  <c:v>0.51898148148148149</c:v>
                </c:pt>
                <c:pt idx="5">
                  <c:v>0.51967592592592593</c:v>
                </c:pt>
                <c:pt idx="6">
                  <c:v>0.52037037037037037</c:v>
                </c:pt>
                <c:pt idx="7">
                  <c:v>0.52106481481481481</c:v>
                </c:pt>
                <c:pt idx="8">
                  <c:v>0.52175925925925926</c:v>
                </c:pt>
                <c:pt idx="9">
                  <c:v>0.5224537037037037</c:v>
                </c:pt>
                <c:pt idx="10">
                  <c:v>0.52314814814814814</c:v>
                </c:pt>
                <c:pt idx="11">
                  <c:v>0.52384259259259258</c:v>
                </c:pt>
                <c:pt idx="12">
                  <c:v>0.52453703703703702</c:v>
                </c:pt>
                <c:pt idx="13">
                  <c:v>0.52523148148148147</c:v>
                </c:pt>
                <c:pt idx="14">
                  <c:v>0.52592592592592591</c:v>
                </c:pt>
                <c:pt idx="15">
                  <c:v>0.52662037037037035</c:v>
                </c:pt>
                <c:pt idx="16">
                  <c:v>0.52731481481481479</c:v>
                </c:pt>
                <c:pt idx="17">
                  <c:v>0.52800925925925923</c:v>
                </c:pt>
                <c:pt idx="18">
                  <c:v>0.52870370370370368</c:v>
                </c:pt>
                <c:pt idx="19">
                  <c:v>0.52939814814814812</c:v>
                </c:pt>
                <c:pt idx="20">
                  <c:v>0.53009259259259256</c:v>
                </c:pt>
                <c:pt idx="21">
                  <c:v>0.530787037037037</c:v>
                </c:pt>
                <c:pt idx="22">
                  <c:v>0.53148148148148155</c:v>
                </c:pt>
                <c:pt idx="23">
                  <c:v>0.53217592592592589</c:v>
                </c:pt>
                <c:pt idx="24">
                  <c:v>0.53287037037037044</c:v>
                </c:pt>
                <c:pt idx="25">
                  <c:v>0.53356481481481477</c:v>
                </c:pt>
                <c:pt idx="26">
                  <c:v>0.53425925925925932</c:v>
                </c:pt>
                <c:pt idx="27">
                  <c:v>0.53495370370370365</c:v>
                </c:pt>
                <c:pt idx="28">
                  <c:v>0.53564814814814821</c:v>
                </c:pt>
                <c:pt idx="29">
                  <c:v>0.53634259259259254</c:v>
                </c:pt>
                <c:pt idx="30">
                  <c:v>0.53703703703703709</c:v>
                </c:pt>
                <c:pt idx="31">
                  <c:v>0.53773148148148142</c:v>
                </c:pt>
                <c:pt idx="32">
                  <c:v>0.53842592592592597</c:v>
                </c:pt>
                <c:pt idx="33">
                  <c:v>0.53912037037037031</c:v>
                </c:pt>
                <c:pt idx="34">
                  <c:v>0.53981481481481486</c:v>
                </c:pt>
                <c:pt idx="35">
                  <c:v>0.54050925925925919</c:v>
                </c:pt>
                <c:pt idx="36">
                  <c:v>0.54120370370370374</c:v>
                </c:pt>
                <c:pt idx="37">
                  <c:v>0.54189814814814818</c:v>
                </c:pt>
                <c:pt idx="38">
                  <c:v>0.54259259259259263</c:v>
                </c:pt>
                <c:pt idx="39">
                  <c:v>0.54328703703703707</c:v>
                </c:pt>
                <c:pt idx="40">
                  <c:v>0.54398148148148151</c:v>
                </c:pt>
                <c:pt idx="41">
                  <c:v>0.54467592592592595</c:v>
                </c:pt>
                <c:pt idx="42">
                  <c:v>0.54537037037037039</c:v>
                </c:pt>
                <c:pt idx="43">
                  <c:v>0.54606481481481484</c:v>
                </c:pt>
                <c:pt idx="44">
                  <c:v>0.54675925925925928</c:v>
                </c:pt>
                <c:pt idx="45">
                  <c:v>0.54745370370370372</c:v>
                </c:pt>
                <c:pt idx="46">
                  <c:v>0.54814814814814816</c:v>
                </c:pt>
                <c:pt idx="47">
                  <c:v>0.5488425925925926</c:v>
                </c:pt>
                <c:pt idx="48">
                  <c:v>0.54953703703703705</c:v>
                </c:pt>
                <c:pt idx="49">
                  <c:v>0.55023148148148149</c:v>
                </c:pt>
                <c:pt idx="50">
                  <c:v>0.55092592592592593</c:v>
                </c:pt>
                <c:pt idx="51">
                  <c:v>0.55162037037037037</c:v>
                </c:pt>
                <c:pt idx="52">
                  <c:v>0.55231481481481481</c:v>
                </c:pt>
                <c:pt idx="53">
                  <c:v>0.55300925925925926</c:v>
                </c:pt>
                <c:pt idx="54">
                  <c:v>0.5537037037037037</c:v>
                </c:pt>
                <c:pt idx="55">
                  <c:v>0.55439814814814814</c:v>
                </c:pt>
                <c:pt idx="56">
                  <c:v>0.55509259259259258</c:v>
                </c:pt>
                <c:pt idx="57">
                  <c:v>0.55578703703703702</c:v>
                </c:pt>
                <c:pt idx="58">
                  <c:v>0.55648148148148147</c:v>
                </c:pt>
                <c:pt idx="59">
                  <c:v>0.55717592592592591</c:v>
                </c:pt>
                <c:pt idx="60">
                  <c:v>0.55787037037037035</c:v>
                </c:pt>
                <c:pt idx="61">
                  <c:v>0.55856481481481479</c:v>
                </c:pt>
                <c:pt idx="62">
                  <c:v>0.55925925925925923</c:v>
                </c:pt>
                <c:pt idx="63">
                  <c:v>0.55995370370370368</c:v>
                </c:pt>
                <c:pt idx="64">
                  <c:v>0.56064814814814812</c:v>
                </c:pt>
                <c:pt idx="65">
                  <c:v>0.56134259259259256</c:v>
                </c:pt>
                <c:pt idx="66">
                  <c:v>0.562037037037037</c:v>
                </c:pt>
                <c:pt idx="67">
                  <c:v>0.56273148148148155</c:v>
                </c:pt>
                <c:pt idx="68">
                  <c:v>0.56342592592592589</c:v>
                </c:pt>
                <c:pt idx="69">
                  <c:v>0.56412037037037044</c:v>
                </c:pt>
                <c:pt idx="70">
                  <c:v>0.56481481481481477</c:v>
                </c:pt>
                <c:pt idx="71">
                  <c:v>0.56550925925925932</c:v>
                </c:pt>
                <c:pt idx="72">
                  <c:v>0.56620370370370365</c:v>
                </c:pt>
                <c:pt idx="73">
                  <c:v>0.56689814814814821</c:v>
                </c:pt>
                <c:pt idx="74">
                  <c:v>0.56759259259259254</c:v>
                </c:pt>
                <c:pt idx="75">
                  <c:v>0.56828703703703709</c:v>
                </c:pt>
                <c:pt idx="76">
                  <c:v>0.56898148148148142</c:v>
                </c:pt>
                <c:pt idx="77">
                  <c:v>0.56967592592592597</c:v>
                </c:pt>
                <c:pt idx="78">
                  <c:v>0.57037037037037031</c:v>
                </c:pt>
                <c:pt idx="79">
                  <c:v>0.57106481481481486</c:v>
                </c:pt>
                <c:pt idx="80">
                  <c:v>0.57175925925925919</c:v>
                </c:pt>
                <c:pt idx="81">
                  <c:v>0.57245370370370374</c:v>
                </c:pt>
                <c:pt idx="82">
                  <c:v>0.57314814814814818</c:v>
                </c:pt>
                <c:pt idx="83">
                  <c:v>0.57384259259259263</c:v>
                </c:pt>
                <c:pt idx="84">
                  <c:v>0.57453703703703707</c:v>
                </c:pt>
                <c:pt idx="85">
                  <c:v>0.57523148148148151</c:v>
                </c:pt>
                <c:pt idx="86">
                  <c:v>0.57592592592592595</c:v>
                </c:pt>
                <c:pt idx="87">
                  <c:v>0.57662037037037039</c:v>
                </c:pt>
                <c:pt idx="88">
                  <c:v>0.57731481481481484</c:v>
                </c:pt>
                <c:pt idx="89">
                  <c:v>0.57800925925925928</c:v>
                </c:pt>
                <c:pt idx="90">
                  <c:v>0.57870370370370372</c:v>
                </c:pt>
                <c:pt idx="91">
                  <c:v>0.57938657407407412</c:v>
                </c:pt>
                <c:pt idx="92">
                  <c:v>0.5800925925925926</c:v>
                </c:pt>
                <c:pt idx="93">
                  <c:v>0.58078703703703705</c:v>
                </c:pt>
                <c:pt idx="94">
                  <c:v>0.58148148148148149</c:v>
                </c:pt>
                <c:pt idx="95">
                  <c:v>0.58217592592592593</c:v>
                </c:pt>
                <c:pt idx="96">
                  <c:v>0.58287037037037037</c:v>
                </c:pt>
                <c:pt idx="97">
                  <c:v>0.58356481481481481</c:v>
                </c:pt>
                <c:pt idx="98">
                  <c:v>0.58425925925925926</c:v>
                </c:pt>
                <c:pt idx="99">
                  <c:v>0.5849537037037037</c:v>
                </c:pt>
                <c:pt idx="100">
                  <c:v>0.58564814814814814</c:v>
                </c:pt>
                <c:pt idx="101">
                  <c:v>0.58634259259259258</c:v>
                </c:pt>
                <c:pt idx="102">
                  <c:v>0.58703703703703702</c:v>
                </c:pt>
                <c:pt idx="103">
                  <c:v>0.58773148148148147</c:v>
                </c:pt>
                <c:pt idx="104">
                  <c:v>0.58842592592592591</c:v>
                </c:pt>
                <c:pt idx="105">
                  <c:v>0.58912037037037035</c:v>
                </c:pt>
                <c:pt idx="106">
                  <c:v>0.58980324074074075</c:v>
                </c:pt>
                <c:pt idx="107">
                  <c:v>0.59050925925925923</c:v>
                </c:pt>
                <c:pt idx="108">
                  <c:v>0.59119212962962964</c:v>
                </c:pt>
                <c:pt idx="109">
                  <c:v>0.59189814814814812</c:v>
                </c:pt>
                <c:pt idx="110">
                  <c:v>0.59259259259259256</c:v>
                </c:pt>
                <c:pt idx="111">
                  <c:v>0.59327546296296296</c:v>
                </c:pt>
                <c:pt idx="112">
                  <c:v>0.59398148148148155</c:v>
                </c:pt>
                <c:pt idx="113">
                  <c:v>0.59467592592592589</c:v>
                </c:pt>
                <c:pt idx="114">
                  <c:v>0.59535879629629629</c:v>
                </c:pt>
                <c:pt idx="115">
                  <c:v>0.59605324074074073</c:v>
                </c:pt>
                <c:pt idx="116">
                  <c:v>0.59674768518518517</c:v>
                </c:pt>
                <c:pt idx="117">
                  <c:v>0.59744212962962961</c:v>
                </c:pt>
                <c:pt idx="118">
                  <c:v>0.59813657407407406</c:v>
                </c:pt>
                <c:pt idx="119">
                  <c:v>0.5988310185185185</c:v>
                </c:pt>
                <c:pt idx="120">
                  <c:v>0.59952546296296294</c:v>
                </c:pt>
                <c:pt idx="121">
                  <c:v>0.60021990740740738</c:v>
                </c:pt>
                <c:pt idx="122">
                  <c:v>0.60091435185185182</c:v>
                </c:pt>
                <c:pt idx="123">
                  <c:v>0.60160879629629627</c:v>
                </c:pt>
                <c:pt idx="124">
                  <c:v>0.60230324074074071</c:v>
                </c:pt>
                <c:pt idx="125">
                  <c:v>0.60299768518518515</c:v>
                </c:pt>
                <c:pt idx="126">
                  <c:v>0.6036921296296297</c:v>
                </c:pt>
                <c:pt idx="127">
                  <c:v>0.60438657407407403</c:v>
                </c:pt>
                <c:pt idx="128">
                  <c:v>0.60508101851851859</c:v>
                </c:pt>
                <c:pt idx="129">
                  <c:v>0.60577546296296292</c:v>
                </c:pt>
                <c:pt idx="130">
                  <c:v>0.60646990740740747</c:v>
                </c:pt>
                <c:pt idx="131">
                  <c:v>0.6071643518518518</c:v>
                </c:pt>
                <c:pt idx="132">
                  <c:v>0.60785879629629636</c:v>
                </c:pt>
                <c:pt idx="133">
                  <c:v>0.60855324074074069</c:v>
                </c:pt>
                <c:pt idx="134">
                  <c:v>0.60924768518518524</c:v>
                </c:pt>
                <c:pt idx="135">
                  <c:v>0.60994212962962957</c:v>
                </c:pt>
                <c:pt idx="136">
                  <c:v>0.61063657407407412</c:v>
                </c:pt>
                <c:pt idx="137">
                  <c:v>0.61133101851851845</c:v>
                </c:pt>
                <c:pt idx="138">
                  <c:v>0.61202546296296301</c:v>
                </c:pt>
                <c:pt idx="139">
                  <c:v>0.61271990740740734</c:v>
                </c:pt>
                <c:pt idx="140">
                  <c:v>0.61341435185185189</c:v>
                </c:pt>
                <c:pt idx="141">
                  <c:v>0.61410879629629633</c:v>
                </c:pt>
                <c:pt idx="142">
                  <c:v>0.61480324074074078</c:v>
                </c:pt>
                <c:pt idx="143">
                  <c:v>0.61549768518518522</c:v>
                </c:pt>
                <c:pt idx="144">
                  <c:v>0.61619212962962966</c:v>
                </c:pt>
                <c:pt idx="145">
                  <c:v>0.6168865740740741</c:v>
                </c:pt>
                <c:pt idx="146">
                  <c:v>0.61758101851851854</c:v>
                </c:pt>
                <c:pt idx="147">
                  <c:v>0.61827546296296299</c:v>
                </c:pt>
                <c:pt idx="148">
                  <c:v>0.61896990740740743</c:v>
                </c:pt>
                <c:pt idx="149">
                  <c:v>0.61966435185185187</c:v>
                </c:pt>
              </c:numCache>
            </c:numRef>
          </c:cat>
          <c:val>
            <c:numRef>
              <c:f>'2. Calculs'!$Y$5:$Y$154</c:f>
              <c:numCache>
                <c:formatCode>0.00</c:formatCode>
                <c:ptCount val="150"/>
                <c:pt idx="0">
                  <c:v>3.57</c:v>
                </c:pt>
                <c:pt idx="1">
                  <c:v>3.88</c:v>
                </c:pt>
                <c:pt idx="2">
                  <c:v>4.13</c:v>
                </c:pt>
                <c:pt idx="3">
                  <c:v>4.45</c:v>
                </c:pt>
                <c:pt idx="4">
                  <c:v>4.57</c:v>
                </c:pt>
                <c:pt idx="5">
                  <c:v>3.76</c:v>
                </c:pt>
                <c:pt idx="6">
                  <c:v>2.9499999999999997</c:v>
                </c:pt>
                <c:pt idx="7">
                  <c:v>3.01</c:v>
                </c:pt>
                <c:pt idx="8">
                  <c:v>3.38</c:v>
                </c:pt>
                <c:pt idx="9">
                  <c:v>3.6999999999999997</c:v>
                </c:pt>
                <c:pt idx="10">
                  <c:v>4.01</c:v>
                </c:pt>
                <c:pt idx="11">
                  <c:v>4.32</c:v>
                </c:pt>
                <c:pt idx="12">
                  <c:v>4.63</c:v>
                </c:pt>
                <c:pt idx="13">
                  <c:v>4.88</c:v>
                </c:pt>
                <c:pt idx="14">
                  <c:v>4.13</c:v>
                </c:pt>
                <c:pt idx="15">
                  <c:v>3.1999999999999997</c:v>
                </c:pt>
                <c:pt idx="16">
                  <c:v>3.07</c:v>
                </c:pt>
                <c:pt idx="17">
                  <c:v>3.38</c:v>
                </c:pt>
                <c:pt idx="18">
                  <c:v>3.76</c:v>
                </c:pt>
                <c:pt idx="19">
                  <c:v>4.07</c:v>
                </c:pt>
                <c:pt idx="20">
                  <c:v>4.38</c:v>
                </c:pt>
                <c:pt idx="21">
                  <c:v>4.63</c:v>
                </c:pt>
                <c:pt idx="22">
                  <c:v>4.95</c:v>
                </c:pt>
                <c:pt idx="23">
                  <c:v>4.5100000000000007</c:v>
                </c:pt>
                <c:pt idx="24">
                  <c:v>3.57</c:v>
                </c:pt>
                <c:pt idx="25">
                  <c:v>3.07</c:v>
                </c:pt>
                <c:pt idx="26">
                  <c:v>3.32</c:v>
                </c:pt>
                <c:pt idx="27">
                  <c:v>3.63</c:v>
                </c:pt>
                <c:pt idx="28">
                  <c:v>3.9499999999999997</c:v>
                </c:pt>
                <c:pt idx="29">
                  <c:v>4.26</c:v>
                </c:pt>
                <c:pt idx="30">
                  <c:v>4.5100000000000007</c:v>
                </c:pt>
                <c:pt idx="31">
                  <c:v>4.7600000000000007</c:v>
                </c:pt>
                <c:pt idx="32">
                  <c:v>4.95</c:v>
                </c:pt>
                <c:pt idx="33">
                  <c:v>4.13</c:v>
                </c:pt>
                <c:pt idx="34">
                  <c:v>3.26</c:v>
                </c:pt>
                <c:pt idx="35">
                  <c:v>3.1999999999999997</c:v>
                </c:pt>
                <c:pt idx="36">
                  <c:v>3.51</c:v>
                </c:pt>
                <c:pt idx="37">
                  <c:v>3.82</c:v>
                </c:pt>
                <c:pt idx="38">
                  <c:v>4.13</c:v>
                </c:pt>
                <c:pt idx="39">
                  <c:v>4.38</c:v>
                </c:pt>
                <c:pt idx="40">
                  <c:v>4.7</c:v>
                </c:pt>
                <c:pt idx="41">
                  <c:v>4.95</c:v>
                </c:pt>
                <c:pt idx="42">
                  <c:v>4.7</c:v>
                </c:pt>
                <c:pt idx="43">
                  <c:v>3.6999999999999997</c:v>
                </c:pt>
                <c:pt idx="44">
                  <c:v>3.13</c:v>
                </c:pt>
                <c:pt idx="45">
                  <c:v>3.32</c:v>
                </c:pt>
                <c:pt idx="46">
                  <c:v>3.63</c:v>
                </c:pt>
                <c:pt idx="47">
                  <c:v>3.88</c:v>
                </c:pt>
                <c:pt idx="48">
                  <c:v>4.2</c:v>
                </c:pt>
                <c:pt idx="49">
                  <c:v>4.5100000000000007</c:v>
                </c:pt>
                <c:pt idx="50">
                  <c:v>4.7600000000000007</c:v>
                </c:pt>
                <c:pt idx="51">
                  <c:v>5.0100000000000007</c:v>
                </c:pt>
                <c:pt idx="52">
                  <c:v>4.5100000000000007</c:v>
                </c:pt>
                <c:pt idx="53">
                  <c:v>3.51</c:v>
                </c:pt>
                <c:pt idx="54">
                  <c:v>3.13</c:v>
                </c:pt>
                <c:pt idx="55">
                  <c:v>3.38</c:v>
                </c:pt>
                <c:pt idx="56">
                  <c:v>3.6999999999999997</c:v>
                </c:pt>
                <c:pt idx="57">
                  <c:v>4.01</c:v>
                </c:pt>
                <c:pt idx="58">
                  <c:v>4.32</c:v>
                </c:pt>
                <c:pt idx="59">
                  <c:v>4.57</c:v>
                </c:pt>
                <c:pt idx="60">
                  <c:v>4.82</c:v>
                </c:pt>
                <c:pt idx="61">
                  <c:v>5.0100000000000007</c:v>
                </c:pt>
                <c:pt idx="62">
                  <c:v>4.32</c:v>
                </c:pt>
                <c:pt idx="63">
                  <c:v>3.38</c:v>
                </c:pt>
                <c:pt idx="64">
                  <c:v>3.26</c:v>
                </c:pt>
                <c:pt idx="65">
                  <c:v>3.51</c:v>
                </c:pt>
                <c:pt idx="66">
                  <c:v>3.82</c:v>
                </c:pt>
                <c:pt idx="67">
                  <c:v>4.07</c:v>
                </c:pt>
                <c:pt idx="68">
                  <c:v>4.38</c:v>
                </c:pt>
                <c:pt idx="69">
                  <c:v>4.63</c:v>
                </c:pt>
                <c:pt idx="70">
                  <c:v>4.88</c:v>
                </c:pt>
                <c:pt idx="71">
                  <c:v>4.95</c:v>
                </c:pt>
                <c:pt idx="72">
                  <c:v>4.07</c:v>
                </c:pt>
                <c:pt idx="73">
                  <c:v>3.1999999999999997</c:v>
                </c:pt>
                <c:pt idx="74">
                  <c:v>3.26</c:v>
                </c:pt>
                <c:pt idx="75">
                  <c:v>3.51</c:v>
                </c:pt>
                <c:pt idx="76">
                  <c:v>3.82</c:v>
                </c:pt>
                <c:pt idx="77">
                  <c:v>4.13</c:v>
                </c:pt>
                <c:pt idx="78">
                  <c:v>4.45</c:v>
                </c:pt>
                <c:pt idx="79">
                  <c:v>4.7</c:v>
                </c:pt>
                <c:pt idx="80">
                  <c:v>4.95</c:v>
                </c:pt>
                <c:pt idx="81">
                  <c:v>4.88</c:v>
                </c:pt>
                <c:pt idx="82">
                  <c:v>4.01</c:v>
                </c:pt>
                <c:pt idx="83">
                  <c:v>3.1999999999999997</c:v>
                </c:pt>
                <c:pt idx="84">
                  <c:v>3.26</c:v>
                </c:pt>
                <c:pt idx="85">
                  <c:v>3.57</c:v>
                </c:pt>
                <c:pt idx="86">
                  <c:v>3.82</c:v>
                </c:pt>
                <c:pt idx="87">
                  <c:v>4.13</c:v>
                </c:pt>
                <c:pt idx="88">
                  <c:v>4.45</c:v>
                </c:pt>
                <c:pt idx="89">
                  <c:v>4.7</c:v>
                </c:pt>
                <c:pt idx="90">
                  <c:v>4.95</c:v>
                </c:pt>
                <c:pt idx="91">
                  <c:v>4.88</c:v>
                </c:pt>
                <c:pt idx="92">
                  <c:v>3.9499999999999997</c:v>
                </c:pt>
                <c:pt idx="93">
                  <c:v>3.1999999999999997</c:v>
                </c:pt>
                <c:pt idx="94">
                  <c:v>3.32</c:v>
                </c:pt>
                <c:pt idx="95">
                  <c:v>3.57</c:v>
                </c:pt>
                <c:pt idx="96">
                  <c:v>3.88</c:v>
                </c:pt>
                <c:pt idx="97">
                  <c:v>4.2</c:v>
                </c:pt>
                <c:pt idx="98">
                  <c:v>4.45</c:v>
                </c:pt>
                <c:pt idx="99">
                  <c:v>4.7600000000000007</c:v>
                </c:pt>
                <c:pt idx="100">
                  <c:v>4.95</c:v>
                </c:pt>
                <c:pt idx="101">
                  <c:v>4.7600000000000007</c:v>
                </c:pt>
                <c:pt idx="102">
                  <c:v>3.82</c:v>
                </c:pt>
                <c:pt idx="103">
                  <c:v>3.13</c:v>
                </c:pt>
                <c:pt idx="104">
                  <c:v>3.32</c:v>
                </c:pt>
                <c:pt idx="105">
                  <c:v>3.63</c:v>
                </c:pt>
                <c:pt idx="106">
                  <c:v>3.88</c:v>
                </c:pt>
                <c:pt idx="107">
                  <c:v>4.2</c:v>
                </c:pt>
                <c:pt idx="108">
                  <c:v>4.5100000000000007</c:v>
                </c:pt>
                <c:pt idx="109">
                  <c:v>4.7600000000000007</c:v>
                </c:pt>
                <c:pt idx="110">
                  <c:v>5.0100000000000007</c:v>
                </c:pt>
                <c:pt idx="111">
                  <c:v>4.7600000000000007</c:v>
                </c:pt>
                <c:pt idx="112">
                  <c:v>3.82</c:v>
                </c:pt>
                <c:pt idx="113">
                  <c:v>3.1999999999999997</c:v>
                </c:pt>
                <c:pt idx="114">
                  <c:v>3.38</c:v>
                </c:pt>
                <c:pt idx="115">
                  <c:v>3.63</c:v>
                </c:pt>
                <c:pt idx="116">
                  <c:v>3.9499999999999997</c:v>
                </c:pt>
                <c:pt idx="117">
                  <c:v>4.2</c:v>
                </c:pt>
                <c:pt idx="118">
                  <c:v>4.5100000000000007</c:v>
                </c:pt>
                <c:pt idx="119">
                  <c:v>4.7600000000000007</c:v>
                </c:pt>
                <c:pt idx="120">
                  <c:v>5.0100000000000007</c:v>
                </c:pt>
                <c:pt idx="121">
                  <c:v>4.7600000000000007</c:v>
                </c:pt>
                <c:pt idx="122">
                  <c:v>3.76</c:v>
                </c:pt>
                <c:pt idx="123">
                  <c:v>3.1999999999999997</c:v>
                </c:pt>
                <c:pt idx="124">
                  <c:v>3.38</c:v>
                </c:pt>
                <c:pt idx="125">
                  <c:v>3.63</c:v>
                </c:pt>
                <c:pt idx="126">
                  <c:v>3.9499999999999997</c:v>
                </c:pt>
                <c:pt idx="127">
                  <c:v>4.2</c:v>
                </c:pt>
                <c:pt idx="128">
                  <c:v>4.5100000000000007</c:v>
                </c:pt>
                <c:pt idx="129">
                  <c:v>4.7600000000000007</c:v>
                </c:pt>
                <c:pt idx="130">
                  <c:v>5.0100000000000007</c:v>
                </c:pt>
                <c:pt idx="131">
                  <c:v>4.7600000000000007</c:v>
                </c:pt>
                <c:pt idx="132">
                  <c:v>3.76</c:v>
                </c:pt>
                <c:pt idx="133">
                  <c:v>3.1999999999999997</c:v>
                </c:pt>
                <c:pt idx="134">
                  <c:v>3.38</c:v>
                </c:pt>
                <c:pt idx="135">
                  <c:v>3.63</c:v>
                </c:pt>
                <c:pt idx="136">
                  <c:v>3.9499999999999997</c:v>
                </c:pt>
                <c:pt idx="137">
                  <c:v>4.2</c:v>
                </c:pt>
                <c:pt idx="138">
                  <c:v>4.5100000000000007</c:v>
                </c:pt>
                <c:pt idx="139">
                  <c:v>4.7600000000000007</c:v>
                </c:pt>
                <c:pt idx="140">
                  <c:v>5.0100000000000007</c:v>
                </c:pt>
                <c:pt idx="141">
                  <c:v>4.82</c:v>
                </c:pt>
                <c:pt idx="142">
                  <c:v>3.88</c:v>
                </c:pt>
                <c:pt idx="143">
                  <c:v>3.26</c:v>
                </c:pt>
                <c:pt idx="144">
                  <c:v>3.38</c:v>
                </c:pt>
                <c:pt idx="145">
                  <c:v>3.63</c:v>
                </c:pt>
                <c:pt idx="146">
                  <c:v>3.9499999999999997</c:v>
                </c:pt>
                <c:pt idx="147">
                  <c:v>4.2</c:v>
                </c:pt>
                <c:pt idx="148">
                  <c:v>4.5100000000000007</c:v>
                </c:pt>
                <c:pt idx="149">
                  <c:v>4.7600000000000007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244F-C64D-B929-D64B6A8A24D9}"/>
            </c:ext>
          </c:extLst>
        </c:ser>
        <c:ser>
          <c:idx val="8"/>
          <c:order val="8"/>
          <c:tx>
            <c:strRef>
              <c:f>'2. Calculs'!$Z$4</c:f>
              <c:strCache>
                <c:ptCount val="1"/>
                <c:pt idx="0">
                  <c:v>BDAV/ (°C)</c:v>
                </c:pt>
              </c:strCache>
            </c:strRef>
          </c:tx>
          <c:spPr>
            <a:ln w="1270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'2. Calculs'!$C$5:$C$154</c:f>
              <c:numCache>
                <c:formatCode>h:mm:ss\ AM/PM</c:formatCode>
                <c:ptCount val="150"/>
                <c:pt idx="0">
                  <c:v>0.51620370370370372</c:v>
                </c:pt>
                <c:pt idx="1">
                  <c:v>0.51689814814814816</c:v>
                </c:pt>
                <c:pt idx="2">
                  <c:v>0.5175925925925926</c:v>
                </c:pt>
                <c:pt idx="3">
                  <c:v>0.51828703703703705</c:v>
                </c:pt>
                <c:pt idx="4">
                  <c:v>0.51898148148148149</c:v>
                </c:pt>
                <c:pt idx="5">
                  <c:v>0.51967592592592593</c:v>
                </c:pt>
                <c:pt idx="6">
                  <c:v>0.52037037037037037</c:v>
                </c:pt>
                <c:pt idx="7">
                  <c:v>0.52106481481481481</c:v>
                </c:pt>
                <c:pt idx="8">
                  <c:v>0.52175925925925926</c:v>
                </c:pt>
                <c:pt idx="9">
                  <c:v>0.5224537037037037</c:v>
                </c:pt>
                <c:pt idx="10">
                  <c:v>0.52314814814814814</c:v>
                </c:pt>
                <c:pt idx="11">
                  <c:v>0.52384259259259258</c:v>
                </c:pt>
                <c:pt idx="12">
                  <c:v>0.52453703703703702</c:v>
                </c:pt>
                <c:pt idx="13">
                  <c:v>0.52523148148148147</c:v>
                </c:pt>
                <c:pt idx="14">
                  <c:v>0.52592592592592591</c:v>
                </c:pt>
                <c:pt idx="15">
                  <c:v>0.52662037037037035</c:v>
                </c:pt>
                <c:pt idx="16">
                  <c:v>0.52731481481481479</c:v>
                </c:pt>
                <c:pt idx="17">
                  <c:v>0.52800925925925923</c:v>
                </c:pt>
                <c:pt idx="18">
                  <c:v>0.52870370370370368</c:v>
                </c:pt>
                <c:pt idx="19">
                  <c:v>0.52939814814814812</c:v>
                </c:pt>
                <c:pt idx="20">
                  <c:v>0.53009259259259256</c:v>
                </c:pt>
                <c:pt idx="21">
                  <c:v>0.530787037037037</c:v>
                </c:pt>
                <c:pt idx="22">
                  <c:v>0.53148148148148155</c:v>
                </c:pt>
                <c:pt idx="23">
                  <c:v>0.53217592592592589</c:v>
                </c:pt>
                <c:pt idx="24">
                  <c:v>0.53287037037037044</c:v>
                </c:pt>
                <c:pt idx="25">
                  <c:v>0.53356481481481477</c:v>
                </c:pt>
                <c:pt idx="26">
                  <c:v>0.53425925925925932</c:v>
                </c:pt>
                <c:pt idx="27">
                  <c:v>0.53495370370370365</c:v>
                </c:pt>
                <c:pt idx="28">
                  <c:v>0.53564814814814821</c:v>
                </c:pt>
                <c:pt idx="29">
                  <c:v>0.53634259259259254</c:v>
                </c:pt>
                <c:pt idx="30">
                  <c:v>0.53703703703703709</c:v>
                </c:pt>
                <c:pt idx="31">
                  <c:v>0.53773148148148142</c:v>
                </c:pt>
                <c:pt idx="32">
                  <c:v>0.53842592592592597</c:v>
                </c:pt>
                <c:pt idx="33">
                  <c:v>0.53912037037037031</c:v>
                </c:pt>
                <c:pt idx="34">
                  <c:v>0.53981481481481486</c:v>
                </c:pt>
                <c:pt idx="35">
                  <c:v>0.54050925925925919</c:v>
                </c:pt>
                <c:pt idx="36">
                  <c:v>0.54120370370370374</c:v>
                </c:pt>
                <c:pt idx="37">
                  <c:v>0.54189814814814818</c:v>
                </c:pt>
                <c:pt idx="38">
                  <c:v>0.54259259259259263</c:v>
                </c:pt>
                <c:pt idx="39">
                  <c:v>0.54328703703703707</c:v>
                </c:pt>
                <c:pt idx="40">
                  <c:v>0.54398148148148151</c:v>
                </c:pt>
                <c:pt idx="41">
                  <c:v>0.54467592592592595</c:v>
                </c:pt>
                <c:pt idx="42">
                  <c:v>0.54537037037037039</c:v>
                </c:pt>
                <c:pt idx="43">
                  <c:v>0.54606481481481484</c:v>
                </c:pt>
                <c:pt idx="44">
                  <c:v>0.54675925925925928</c:v>
                </c:pt>
                <c:pt idx="45">
                  <c:v>0.54745370370370372</c:v>
                </c:pt>
                <c:pt idx="46">
                  <c:v>0.54814814814814816</c:v>
                </c:pt>
                <c:pt idx="47">
                  <c:v>0.5488425925925926</c:v>
                </c:pt>
                <c:pt idx="48">
                  <c:v>0.54953703703703705</c:v>
                </c:pt>
                <c:pt idx="49">
                  <c:v>0.55023148148148149</c:v>
                </c:pt>
                <c:pt idx="50">
                  <c:v>0.55092592592592593</c:v>
                </c:pt>
                <c:pt idx="51">
                  <c:v>0.55162037037037037</c:v>
                </c:pt>
                <c:pt idx="52">
                  <c:v>0.55231481481481481</c:v>
                </c:pt>
                <c:pt idx="53">
                  <c:v>0.55300925925925926</c:v>
                </c:pt>
                <c:pt idx="54">
                  <c:v>0.5537037037037037</c:v>
                </c:pt>
                <c:pt idx="55">
                  <c:v>0.55439814814814814</c:v>
                </c:pt>
                <c:pt idx="56">
                  <c:v>0.55509259259259258</c:v>
                </c:pt>
                <c:pt idx="57">
                  <c:v>0.55578703703703702</c:v>
                </c:pt>
                <c:pt idx="58">
                  <c:v>0.55648148148148147</c:v>
                </c:pt>
                <c:pt idx="59">
                  <c:v>0.55717592592592591</c:v>
                </c:pt>
                <c:pt idx="60">
                  <c:v>0.55787037037037035</c:v>
                </c:pt>
                <c:pt idx="61">
                  <c:v>0.55856481481481479</c:v>
                </c:pt>
                <c:pt idx="62">
                  <c:v>0.55925925925925923</c:v>
                </c:pt>
                <c:pt idx="63">
                  <c:v>0.55995370370370368</c:v>
                </c:pt>
                <c:pt idx="64">
                  <c:v>0.56064814814814812</c:v>
                </c:pt>
                <c:pt idx="65">
                  <c:v>0.56134259259259256</c:v>
                </c:pt>
                <c:pt idx="66">
                  <c:v>0.562037037037037</c:v>
                </c:pt>
                <c:pt idx="67">
                  <c:v>0.56273148148148155</c:v>
                </c:pt>
                <c:pt idx="68">
                  <c:v>0.56342592592592589</c:v>
                </c:pt>
                <c:pt idx="69">
                  <c:v>0.56412037037037044</c:v>
                </c:pt>
                <c:pt idx="70">
                  <c:v>0.56481481481481477</c:v>
                </c:pt>
                <c:pt idx="71">
                  <c:v>0.56550925925925932</c:v>
                </c:pt>
                <c:pt idx="72">
                  <c:v>0.56620370370370365</c:v>
                </c:pt>
                <c:pt idx="73">
                  <c:v>0.56689814814814821</c:v>
                </c:pt>
                <c:pt idx="74">
                  <c:v>0.56759259259259254</c:v>
                </c:pt>
                <c:pt idx="75">
                  <c:v>0.56828703703703709</c:v>
                </c:pt>
                <c:pt idx="76">
                  <c:v>0.56898148148148142</c:v>
                </c:pt>
                <c:pt idx="77">
                  <c:v>0.56967592592592597</c:v>
                </c:pt>
                <c:pt idx="78">
                  <c:v>0.57037037037037031</c:v>
                </c:pt>
                <c:pt idx="79">
                  <c:v>0.57106481481481486</c:v>
                </c:pt>
                <c:pt idx="80">
                  <c:v>0.57175925925925919</c:v>
                </c:pt>
                <c:pt idx="81">
                  <c:v>0.57245370370370374</c:v>
                </c:pt>
                <c:pt idx="82">
                  <c:v>0.57314814814814818</c:v>
                </c:pt>
                <c:pt idx="83">
                  <c:v>0.57384259259259263</c:v>
                </c:pt>
                <c:pt idx="84">
                  <c:v>0.57453703703703707</c:v>
                </c:pt>
                <c:pt idx="85">
                  <c:v>0.57523148148148151</c:v>
                </c:pt>
                <c:pt idx="86">
                  <c:v>0.57592592592592595</c:v>
                </c:pt>
                <c:pt idx="87">
                  <c:v>0.57662037037037039</c:v>
                </c:pt>
                <c:pt idx="88">
                  <c:v>0.57731481481481484</c:v>
                </c:pt>
                <c:pt idx="89">
                  <c:v>0.57800925925925928</c:v>
                </c:pt>
                <c:pt idx="90">
                  <c:v>0.57870370370370372</c:v>
                </c:pt>
                <c:pt idx="91">
                  <c:v>0.57938657407407412</c:v>
                </c:pt>
                <c:pt idx="92">
                  <c:v>0.5800925925925926</c:v>
                </c:pt>
                <c:pt idx="93">
                  <c:v>0.58078703703703705</c:v>
                </c:pt>
                <c:pt idx="94">
                  <c:v>0.58148148148148149</c:v>
                </c:pt>
                <c:pt idx="95">
                  <c:v>0.58217592592592593</c:v>
                </c:pt>
                <c:pt idx="96">
                  <c:v>0.58287037037037037</c:v>
                </c:pt>
                <c:pt idx="97">
                  <c:v>0.58356481481481481</c:v>
                </c:pt>
                <c:pt idx="98">
                  <c:v>0.58425925925925926</c:v>
                </c:pt>
                <c:pt idx="99">
                  <c:v>0.5849537037037037</c:v>
                </c:pt>
                <c:pt idx="100">
                  <c:v>0.58564814814814814</c:v>
                </c:pt>
                <c:pt idx="101">
                  <c:v>0.58634259259259258</c:v>
                </c:pt>
                <c:pt idx="102">
                  <c:v>0.58703703703703702</c:v>
                </c:pt>
                <c:pt idx="103">
                  <c:v>0.58773148148148147</c:v>
                </c:pt>
                <c:pt idx="104">
                  <c:v>0.58842592592592591</c:v>
                </c:pt>
                <c:pt idx="105">
                  <c:v>0.58912037037037035</c:v>
                </c:pt>
                <c:pt idx="106">
                  <c:v>0.58980324074074075</c:v>
                </c:pt>
                <c:pt idx="107">
                  <c:v>0.59050925925925923</c:v>
                </c:pt>
                <c:pt idx="108">
                  <c:v>0.59119212962962964</c:v>
                </c:pt>
                <c:pt idx="109">
                  <c:v>0.59189814814814812</c:v>
                </c:pt>
                <c:pt idx="110">
                  <c:v>0.59259259259259256</c:v>
                </c:pt>
                <c:pt idx="111">
                  <c:v>0.59327546296296296</c:v>
                </c:pt>
                <c:pt idx="112">
                  <c:v>0.59398148148148155</c:v>
                </c:pt>
                <c:pt idx="113">
                  <c:v>0.59467592592592589</c:v>
                </c:pt>
                <c:pt idx="114">
                  <c:v>0.59535879629629629</c:v>
                </c:pt>
                <c:pt idx="115">
                  <c:v>0.59605324074074073</c:v>
                </c:pt>
                <c:pt idx="116">
                  <c:v>0.59674768518518517</c:v>
                </c:pt>
                <c:pt idx="117">
                  <c:v>0.59744212962962961</c:v>
                </c:pt>
                <c:pt idx="118">
                  <c:v>0.59813657407407406</c:v>
                </c:pt>
                <c:pt idx="119">
                  <c:v>0.5988310185185185</c:v>
                </c:pt>
                <c:pt idx="120">
                  <c:v>0.59952546296296294</c:v>
                </c:pt>
                <c:pt idx="121">
                  <c:v>0.60021990740740738</c:v>
                </c:pt>
                <c:pt idx="122">
                  <c:v>0.60091435185185182</c:v>
                </c:pt>
                <c:pt idx="123">
                  <c:v>0.60160879629629627</c:v>
                </c:pt>
                <c:pt idx="124">
                  <c:v>0.60230324074074071</c:v>
                </c:pt>
                <c:pt idx="125">
                  <c:v>0.60299768518518515</c:v>
                </c:pt>
                <c:pt idx="126">
                  <c:v>0.6036921296296297</c:v>
                </c:pt>
                <c:pt idx="127">
                  <c:v>0.60438657407407403</c:v>
                </c:pt>
                <c:pt idx="128">
                  <c:v>0.60508101851851859</c:v>
                </c:pt>
                <c:pt idx="129">
                  <c:v>0.60577546296296292</c:v>
                </c:pt>
                <c:pt idx="130">
                  <c:v>0.60646990740740747</c:v>
                </c:pt>
                <c:pt idx="131">
                  <c:v>0.6071643518518518</c:v>
                </c:pt>
                <c:pt idx="132">
                  <c:v>0.60785879629629636</c:v>
                </c:pt>
                <c:pt idx="133">
                  <c:v>0.60855324074074069</c:v>
                </c:pt>
                <c:pt idx="134">
                  <c:v>0.60924768518518524</c:v>
                </c:pt>
                <c:pt idx="135">
                  <c:v>0.60994212962962957</c:v>
                </c:pt>
                <c:pt idx="136">
                  <c:v>0.61063657407407412</c:v>
                </c:pt>
                <c:pt idx="137">
                  <c:v>0.61133101851851845</c:v>
                </c:pt>
                <c:pt idx="138">
                  <c:v>0.61202546296296301</c:v>
                </c:pt>
                <c:pt idx="139">
                  <c:v>0.61271990740740734</c:v>
                </c:pt>
                <c:pt idx="140">
                  <c:v>0.61341435185185189</c:v>
                </c:pt>
                <c:pt idx="141">
                  <c:v>0.61410879629629633</c:v>
                </c:pt>
                <c:pt idx="142">
                  <c:v>0.61480324074074078</c:v>
                </c:pt>
                <c:pt idx="143">
                  <c:v>0.61549768518518522</c:v>
                </c:pt>
                <c:pt idx="144">
                  <c:v>0.61619212962962966</c:v>
                </c:pt>
                <c:pt idx="145">
                  <c:v>0.6168865740740741</c:v>
                </c:pt>
                <c:pt idx="146">
                  <c:v>0.61758101851851854</c:v>
                </c:pt>
                <c:pt idx="147">
                  <c:v>0.61827546296296299</c:v>
                </c:pt>
                <c:pt idx="148">
                  <c:v>0.61896990740740743</c:v>
                </c:pt>
                <c:pt idx="149">
                  <c:v>0.61966435185185187</c:v>
                </c:pt>
              </c:numCache>
            </c:numRef>
          </c:cat>
          <c:val>
            <c:numRef>
              <c:f>'2. Calculs'!$Z$5:$Z$154</c:f>
              <c:numCache>
                <c:formatCode>0.00</c:formatCode>
                <c:ptCount val="150"/>
                <c:pt idx="0">
                  <c:v>5.03</c:v>
                </c:pt>
                <c:pt idx="1">
                  <c:v>5.09</c:v>
                </c:pt>
                <c:pt idx="2">
                  <c:v>5.22</c:v>
                </c:pt>
                <c:pt idx="3">
                  <c:v>5.34</c:v>
                </c:pt>
                <c:pt idx="4">
                  <c:v>5.47</c:v>
                </c:pt>
                <c:pt idx="5">
                  <c:v>5.28</c:v>
                </c:pt>
                <c:pt idx="6">
                  <c:v>4.97</c:v>
                </c:pt>
                <c:pt idx="7">
                  <c:v>4.84</c:v>
                </c:pt>
                <c:pt idx="8">
                  <c:v>4.84</c:v>
                </c:pt>
                <c:pt idx="9">
                  <c:v>4.97</c:v>
                </c:pt>
                <c:pt idx="10">
                  <c:v>5.09</c:v>
                </c:pt>
                <c:pt idx="11">
                  <c:v>5.22</c:v>
                </c:pt>
                <c:pt idx="12">
                  <c:v>5.34</c:v>
                </c:pt>
                <c:pt idx="13">
                  <c:v>5.53</c:v>
                </c:pt>
                <c:pt idx="14">
                  <c:v>5.34</c:v>
                </c:pt>
                <c:pt idx="15">
                  <c:v>5.03</c:v>
                </c:pt>
                <c:pt idx="16">
                  <c:v>4.84</c:v>
                </c:pt>
                <c:pt idx="17">
                  <c:v>4.84</c:v>
                </c:pt>
                <c:pt idx="18">
                  <c:v>4.97</c:v>
                </c:pt>
                <c:pt idx="19">
                  <c:v>5.09</c:v>
                </c:pt>
                <c:pt idx="20">
                  <c:v>5.22</c:v>
                </c:pt>
                <c:pt idx="21">
                  <c:v>5.34</c:v>
                </c:pt>
                <c:pt idx="22">
                  <c:v>5.53</c:v>
                </c:pt>
                <c:pt idx="23">
                  <c:v>5.47</c:v>
                </c:pt>
                <c:pt idx="24">
                  <c:v>5.22</c:v>
                </c:pt>
                <c:pt idx="25">
                  <c:v>4.97</c:v>
                </c:pt>
                <c:pt idx="26">
                  <c:v>4.8999999999999995</c:v>
                </c:pt>
                <c:pt idx="27">
                  <c:v>4.97</c:v>
                </c:pt>
                <c:pt idx="28">
                  <c:v>5.03</c:v>
                </c:pt>
                <c:pt idx="29">
                  <c:v>5.1499999999999995</c:v>
                </c:pt>
                <c:pt idx="30">
                  <c:v>5.28</c:v>
                </c:pt>
                <c:pt idx="31">
                  <c:v>5.3999999999999995</c:v>
                </c:pt>
                <c:pt idx="32">
                  <c:v>5.53</c:v>
                </c:pt>
                <c:pt idx="33">
                  <c:v>5.3999999999999995</c:v>
                </c:pt>
                <c:pt idx="34">
                  <c:v>5.09</c:v>
                </c:pt>
                <c:pt idx="35">
                  <c:v>4.8999999999999995</c:v>
                </c:pt>
                <c:pt idx="36">
                  <c:v>4.8999999999999995</c:v>
                </c:pt>
                <c:pt idx="37">
                  <c:v>5.03</c:v>
                </c:pt>
                <c:pt idx="38">
                  <c:v>5.09</c:v>
                </c:pt>
                <c:pt idx="39">
                  <c:v>5.22</c:v>
                </c:pt>
                <c:pt idx="40">
                  <c:v>5.34</c:v>
                </c:pt>
                <c:pt idx="41">
                  <c:v>5.47</c:v>
                </c:pt>
                <c:pt idx="42">
                  <c:v>5.53</c:v>
                </c:pt>
                <c:pt idx="43">
                  <c:v>5.34</c:v>
                </c:pt>
                <c:pt idx="44">
                  <c:v>4.97</c:v>
                </c:pt>
                <c:pt idx="45">
                  <c:v>4.8999999999999995</c:v>
                </c:pt>
                <c:pt idx="46">
                  <c:v>4.97</c:v>
                </c:pt>
                <c:pt idx="47">
                  <c:v>5.03</c:v>
                </c:pt>
                <c:pt idx="48">
                  <c:v>5.1499999999999995</c:v>
                </c:pt>
                <c:pt idx="49">
                  <c:v>5.28</c:v>
                </c:pt>
                <c:pt idx="50">
                  <c:v>5.3999999999999995</c:v>
                </c:pt>
                <c:pt idx="51">
                  <c:v>5.53</c:v>
                </c:pt>
                <c:pt idx="52">
                  <c:v>5.53</c:v>
                </c:pt>
                <c:pt idx="53">
                  <c:v>5.22</c:v>
                </c:pt>
                <c:pt idx="54">
                  <c:v>4.97</c:v>
                </c:pt>
                <c:pt idx="55">
                  <c:v>4.8999999999999995</c:v>
                </c:pt>
                <c:pt idx="56">
                  <c:v>4.97</c:v>
                </c:pt>
                <c:pt idx="57">
                  <c:v>5.09</c:v>
                </c:pt>
                <c:pt idx="58">
                  <c:v>5.1499999999999995</c:v>
                </c:pt>
                <c:pt idx="59">
                  <c:v>5.34</c:v>
                </c:pt>
                <c:pt idx="60">
                  <c:v>5.47</c:v>
                </c:pt>
                <c:pt idx="61">
                  <c:v>5.59</c:v>
                </c:pt>
                <c:pt idx="62">
                  <c:v>5.47</c:v>
                </c:pt>
                <c:pt idx="63">
                  <c:v>5.22</c:v>
                </c:pt>
                <c:pt idx="64">
                  <c:v>4.97</c:v>
                </c:pt>
                <c:pt idx="65">
                  <c:v>4.97</c:v>
                </c:pt>
                <c:pt idx="66">
                  <c:v>5.03</c:v>
                </c:pt>
                <c:pt idx="67">
                  <c:v>5.09</c:v>
                </c:pt>
                <c:pt idx="68">
                  <c:v>5.22</c:v>
                </c:pt>
                <c:pt idx="69">
                  <c:v>5.34</c:v>
                </c:pt>
                <c:pt idx="70">
                  <c:v>5.47</c:v>
                </c:pt>
                <c:pt idx="71">
                  <c:v>5.59</c:v>
                </c:pt>
                <c:pt idx="72">
                  <c:v>5.3999999999999995</c:v>
                </c:pt>
                <c:pt idx="73">
                  <c:v>5.03</c:v>
                </c:pt>
                <c:pt idx="74">
                  <c:v>4.8999999999999995</c:v>
                </c:pt>
                <c:pt idx="75">
                  <c:v>4.8999999999999995</c:v>
                </c:pt>
                <c:pt idx="76">
                  <c:v>4.97</c:v>
                </c:pt>
                <c:pt idx="77">
                  <c:v>5.09</c:v>
                </c:pt>
                <c:pt idx="78">
                  <c:v>5.22</c:v>
                </c:pt>
                <c:pt idx="79">
                  <c:v>5.34</c:v>
                </c:pt>
                <c:pt idx="80">
                  <c:v>5.47</c:v>
                </c:pt>
                <c:pt idx="81">
                  <c:v>5.59</c:v>
                </c:pt>
                <c:pt idx="82">
                  <c:v>5.34</c:v>
                </c:pt>
                <c:pt idx="83">
                  <c:v>5.03</c:v>
                </c:pt>
                <c:pt idx="84">
                  <c:v>4.97</c:v>
                </c:pt>
                <c:pt idx="85">
                  <c:v>4.97</c:v>
                </c:pt>
                <c:pt idx="86">
                  <c:v>5.03</c:v>
                </c:pt>
                <c:pt idx="87">
                  <c:v>5.09</c:v>
                </c:pt>
                <c:pt idx="88">
                  <c:v>5.22</c:v>
                </c:pt>
                <c:pt idx="89">
                  <c:v>5.34</c:v>
                </c:pt>
                <c:pt idx="90">
                  <c:v>5.53</c:v>
                </c:pt>
                <c:pt idx="91">
                  <c:v>5.59</c:v>
                </c:pt>
                <c:pt idx="92">
                  <c:v>5.34</c:v>
                </c:pt>
                <c:pt idx="93">
                  <c:v>5.09</c:v>
                </c:pt>
                <c:pt idx="94">
                  <c:v>4.97</c:v>
                </c:pt>
                <c:pt idx="95">
                  <c:v>4.97</c:v>
                </c:pt>
                <c:pt idx="96">
                  <c:v>5.03</c:v>
                </c:pt>
                <c:pt idx="97">
                  <c:v>5.1499999999999995</c:v>
                </c:pt>
                <c:pt idx="98">
                  <c:v>5.28</c:v>
                </c:pt>
                <c:pt idx="99">
                  <c:v>5.3999999999999995</c:v>
                </c:pt>
                <c:pt idx="100">
                  <c:v>5.53</c:v>
                </c:pt>
                <c:pt idx="101">
                  <c:v>5.59</c:v>
                </c:pt>
                <c:pt idx="102">
                  <c:v>5.28</c:v>
                </c:pt>
                <c:pt idx="103">
                  <c:v>4.97</c:v>
                </c:pt>
                <c:pt idx="104">
                  <c:v>4.8999999999999995</c:v>
                </c:pt>
                <c:pt idx="105">
                  <c:v>4.97</c:v>
                </c:pt>
                <c:pt idx="106">
                  <c:v>5.03</c:v>
                </c:pt>
                <c:pt idx="107">
                  <c:v>5.1499999999999995</c:v>
                </c:pt>
                <c:pt idx="108">
                  <c:v>5.28</c:v>
                </c:pt>
                <c:pt idx="109">
                  <c:v>5.3999999999999995</c:v>
                </c:pt>
                <c:pt idx="110">
                  <c:v>5.53</c:v>
                </c:pt>
                <c:pt idx="111">
                  <c:v>5.59</c:v>
                </c:pt>
                <c:pt idx="112">
                  <c:v>5.3999999999999995</c:v>
                </c:pt>
                <c:pt idx="113">
                  <c:v>5.09</c:v>
                </c:pt>
                <c:pt idx="114">
                  <c:v>4.97</c:v>
                </c:pt>
                <c:pt idx="115">
                  <c:v>4.97</c:v>
                </c:pt>
                <c:pt idx="116">
                  <c:v>5.03</c:v>
                </c:pt>
                <c:pt idx="117">
                  <c:v>5.1499999999999995</c:v>
                </c:pt>
                <c:pt idx="118">
                  <c:v>5.28</c:v>
                </c:pt>
                <c:pt idx="119">
                  <c:v>5.3999999999999995</c:v>
                </c:pt>
                <c:pt idx="120">
                  <c:v>5.53</c:v>
                </c:pt>
                <c:pt idx="121">
                  <c:v>5.59</c:v>
                </c:pt>
                <c:pt idx="122">
                  <c:v>5.34</c:v>
                </c:pt>
                <c:pt idx="123">
                  <c:v>5.03</c:v>
                </c:pt>
                <c:pt idx="124">
                  <c:v>4.97</c:v>
                </c:pt>
                <c:pt idx="125">
                  <c:v>4.97</c:v>
                </c:pt>
                <c:pt idx="126">
                  <c:v>5.03</c:v>
                </c:pt>
                <c:pt idx="127">
                  <c:v>5.1499999999999995</c:v>
                </c:pt>
                <c:pt idx="128">
                  <c:v>5.28</c:v>
                </c:pt>
                <c:pt idx="129">
                  <c:v>5.3999999999999995</c:v>
                </c:pt>
                <c:pt idx="130">
                  <c:v>5.59</c:v>
                </c:pt>
                <c:pt idx="131">
                  <c:v>5.59</c:v>
                </c:pt>
                <c:pt idx="132">
                  <c:v>5.34</c:v>
                </c:pt>
                <c:pt idx="133">
                  <c:v>5.03</c:v>
                </c:pt>
                <c:pt idx="134">
                  <c:v>4.97</c:v>
                </c:pt>
                <c:pt idx="135">
                  <c:v>4.97</c:v>
                </c:pt>
                <c:pt idx="136">
                  <c:v>5.03</c:v>
                </c:pt>
                <c:pt idx="137">
                  <c:v>5.1499999999999995</c:v>
                </c:pt>
                <c:pt idx="138">
                  <c:v>5.28</c:v>
                </c:pt>
                <c:pt idx="139">
                  <c:v>5.3999999999999995</c:v>
                </c:pt>
                <c:pt idx="140">
                  <c:v>5.53</c:v>
                </c:pt>
                <c:pt idx="141">
                  <c:v>5.59</c:v>
                </c:pt>
                <c:pt idx="142">
                  <c:v>5.34</c:v>
                </c:pt>
                <c:pt idx="143">
                  <c:v>5.09</c:v>
                </c:pt>
                <c:pt idx="144">
                  <c:v>4.97</c:v>
                </c:pt>
                <c:pt idx="145">
                  <c:v>4.97</c:v>
                </c:pt>
                <c:pt idx="146">
                  <c:v>5.03</c:v>
                </c:pt>
                <c:pt idx="147">
                  <c:v>5.1499999999999995</c:v>
                </c:pt>
                <c:pt idx="148">
                  <c:v>5.28</c:v>
                </c:pt>
                <c:pt idx="149">
                  <c:v>5.3999999999999995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244F-C64D-B929-D64B6A8A24D9}"/>
            </c:ext>
          </c:extLst>
        </c:ser>
        <c:ser>
          <c:idx val="9"/>
          <c:order val="9"/>
          <c:tx>
            <c:strRef>
              <c:f>'2. Calculs'!$AB$4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'2. Calculs'!$C$5:$C$154</c:f>
              <c:numCache>
                <c:formatCode>h:mm:ss\ AM/PM</c:formatCode>
                <c:ptCount val="150"/>
                <c:pt idx="0">
                  <c:v>0.51620370370370372</c:v>
                </c:pt>
                <c:pt idx="1">
                  <c:v>0.51689814814814816</c:v>
                </c:pt>
                <c:pt idx="2">
                  <c:v>0.5175925925925926</c:v>
                </c:pt>
                <c:pt idx="3">
                  <c:v>0.51828703703703705</c:v>
                </c:pt>
                <c:pt idx="4">
                  <c:v>0.51898148148148149</c:v>
                </c:pt>
                <c:pt idx="5">
                  <c:v>0.51967592592592593</c:v>
                </c:pt>
                <c:pt idx="6">
                  <c:v>0.52037037037037037</c:v>
                </c:pt>
                <c:pt idx="7">
                  <c:v>0.52106481481481481</c:v>
                </c:pt>
                <c:pt idx="8">
                  <c:v>0.52175925925925926</c:v>
                </c:pt>
                <c:pt idx="9">
                  <c:v>0.5224537037037037</c:v>
                </c:pt>
                <c:pt idx="10">
                  <c:v>0.52314814814814814</c:v>
                </c:pt>
                <c:pt idx="11">
                  <c:v>0.52384259259259258</c:v>
                </c:pt>
                <c:pt idx="12">
                  <c:v>0.52453703703703702</c:v>
                </c:pt>
                <c:pt idx="13">
                  <c:v>0.52523148148148147</c:v>
                </c:pt>
                <c:pt idx="14">
                  <c:v>0.52592592592592591</c:v>
                </c:pt>
                <c:pt idx="15">
                  <c:v>0.52662037037037035</c:v>
                </c:pt>
                <c:pt idx="16">
                  <c:v>0.52731481481481479</c:v>
                </c:pt>
                <c:pt idx="17">
                  <c:v>0.52800925925925923</c:v>
                </c:pt>
                <c:pt idx="18">
                  <c:v>0.52870370370370368</c:v>
                </c:pt>
                <c:pt idx="19">
                  <c:v>0.52939814814814812</c:v>
                </c:pt>
                <c:pt idx="20">
                  <c:v>0.53009259259259256</c:v>
                </c:pt>
                <c:pt idx="21">
                  <c:v>0.530787037037037</c:v>
                </c:pt>
                <c:pt idx="22">
                  <c:v>0.53148148148148155</c:v>
                </c:pt>
                <c:pt idx="23">
                  <c:v>0.53217592592592589</c:v>
                </c:pt>
                <c:pt idx="24">
                  <c:v>0.53287037037037044</c:v>
                </c:pt>
                <c:pt idx="25">
                  <c:v>0.53356481481481477</c:v>
                </c:pt>
                <c:pt idx="26">
                  <c:v>0.53425925925925932</c:v>
                </c:pt>
                <c:pt idx="27">
                  <c:v>0.53495370370370365</c:v>
                </c:pt>
                <c:pt idx="28">
                  <c:v>0.53564814814814821</c:v>
                </c:pt>
                <c:pt idx="29">
                  <c:v>0.53634259259259254</c:v>
                </c:pt>
                <c:pt idx="30">
                  <c:v>0.53703703703703709</c:v>
                </c:pt>
                <c:pt idx="31">
                  <c:v>0.53773148148148142</c:v>
                </c:pt>
                <c:pt idx="32">
                  <c:v>0.53842592592592597</c:v>
                </c:pt>
                <c:pt idx="33">
                  <c:v>0.53912037037037031</c:v>
                </c:pt>
                <c:pt idx="34">
                  <c:v>0.53981481481481486</c:v>
                </c:pt>
                <c:pt idx="35">
                  <c:v>0.54050925925925919</c:v>
                </c:pt>
                <c:pt idx="36">
                  <c:v>0.54120370370370374</c:v>
                </c:pt>
                <c:pt idx="37">
                  <c:v>0.54189814814814818</c:v>
                </c:pt>
                <c:pt idx="38">
                  <c:v>0.54259259259259263</c:v>
                </c:pt>
                <c:pt idx="39">
                  <c:v>0.54328703703703707</c:v>
                </c:pt>
                <c:pt idx="40">
                  <c:v>0.54398148148148151</c:v>
                </c:pt>
                <c:pt idx="41">
                  <c:v>0.54467592592592595</c:v>
                </c:pt>
                <c:pt idx="42">
                  <c:v>0.54537037037037039</c:v>
                </c:pt>
                <c:pt idx="43">
                  <c:v>0.54606481481481484</c:v>
                </c:pt>
                <c:pt idx="44">
                  <c:v>0.54675925925925928</c:v>
                </c:pt>
                <c:pt idx="45">
                  <c:v>0.54745370370370372</c:v>
                </c:pt>
                <c:pt idx="46">
                  <c:v>0.54814814814814816</c:v>
                </c:pt>
                <c:pt idx="47">
                  <c:v>0.5488425925925926</c:v>
                </c:pt>
                <c:pt idx="48">
                  <c:v>0.54953703703703705</c:v>
                </c:pt>
                <c:pt idx="49">
                  <c:v>0.55023148148148149</c:v>
                </c:pt>
                <c:pt idx="50">
                  <c:v>0.55092592592592593</c:v>
                </c:pt>
                <c:pt idx="51">
                  <c:v>0.55162037037037037</c:v>
                </c:pt>
                <c:pt idx="52">
                  <c:v>0.55231481481481481</c:v>
                </c:pt>
                <c:pt idx="53">
                  <c:v>0.55300925925925926</c:v>
                </c:pt>
                <c:pt idx="54">
                  <c:v>0.5537037037037037</c:v>
                </c:pt>
                <c:pt idx="55">
                  <c:v>0.55439814814814814</c:v>
                </c:pt>
                <c:pt idx="56">
                  <c:v>0.55509259259259258</c:v>
                </c:pt>
                <c:pt idx="57">
                  <c:v>0.55578703703703702</c:v>
                </c:pt>
                <c:pt idx="58">
                  <c:v>0.55648148148148147</c:v>
                </c:pt>
                <c:pt idx="59">
                  <c:v>0.55717592592592591</c:v>
                </c:pt>
                <c:pt idx="60">
                  <c:v>0.55787037037037035</c:v>
                </c:pt>
                <c:pt idx="61">
                  <c:v>0.55856481481481479</c:v>
                </c:pt>
                <c:pt idx="62">
                  <c:v>0.55925925925925923</c:v>
                </c:pt>
                <c:pt idx="63">
                  <c:v>0.55995370370370368</c:v>
                </c:pt>
                <c:pt idx="64">
                  <c:v>0.56064814814814812</c:v>
                </c:pt>
                <c:pt idx="65">
                  <c:v>0.56134259259259256</c:v>
                </c:pt>
                <c:pt idx="66">
                  <c:v>0.562037037037037</c:v>
                </c:pt>
                <c:pt idx="67">
                  <c:v>0.56273148148148155</c:v>
                </c:pt>
                <c:pt idx="68">
                  <c:v>0.56342592592592589</c:v>
                </c:pt>
                <c:pt idx="69">
                  <c:v>0.56412037037037044</c:v>
                </c:pt>
                <c:pt idx="70">
                  <c:v>0.56481481481481477</c:v>
                </c:pt>
                <c:pt idx="71">
                  <c:v>0.56550925925925932</c:v>
                </c:pt>
                <c:pt idx="72">
                  <c:v>0.56620370370370365</c:v>
                </c:pt>
                <c:pt idx="73">
                  <c:v>0.56689814814814821</c:v>
                </c:pt>
                <c:pt idx="74">
                  <c:v>0.56759259259259254</c:v>
                </c:pt>
                <c:pt idx="75">
                  <c:v>0.56828703703703709</c:v>
                </c:pt>
                <c:pt idx="76">
                  <c:v>0.56898148148148142</c:v>
                </c:pt>
                <c:pt idx="77">
                  <c:v>0.56967592592592597</c:v>
                </c:pt>
                <c:pt idx="78">
                  <c:v>0.57037037037037031</c:v>
                </c:pt>
                <c:pt idx="79">
                  <c:v>0.57106481481481486</c:v>
                </c:pt>
                <c:pt idx="80">
                  <c:v>0.57175925925925919</c:v>
                </c:pt>
                <c:pt idx="81">
                  <c:v>0.57245370370370374</c:v>
                </c:pt>
                <c:pt idx="82">
                  <c:v>0.57314814814814818</c:v>
                </c:pt>
                <c:pt idx="83">
                  <c:v>0.57384259259259263</c:v>
                </c:pt>
                <c:pt idx="84">
                  <c:v>0.57453703703703707</c:v>
                </c:pt>
                <c:pt idx="85">
                  <c:v>0.57523148148148151</c:v>
                </c:pt>
                <c:pt idx="86">
                  <c:v>0.57592592592592595</c:v>
                </c:pt>
                <c:pt idx="87">
                  <c:v>0.57662037037037039</c:v>
                </c:pt>
                <c:pt idx="88">
                  <c:v>0.57731481481481484</c:v>
                </c:pt>
                <c:pt idx="89">
                  <c:v>0.57800925925925928</c:v>
                </c:pt>
                <c:pt idx="90">
                  <c:v>0.57870370370370372</c:v>
                </c:pt>
                <c:pt idx="91">
                  <c:v>0.57938657407407412</c:v>
                </c:pt>
                <c:pt idx="92">
                  <c:v>0.5800925925925926</c:v>
                </c:pt>
                <c:pt idx="93">
                  <c:v>0.58078703703703705</c:v>
                </c:pt>
                <c:pt idx="94">
                  <c:v>0.58148148148148149</c:v>
                </c:pt>
                <c:pt idx="95">
                  <c:v>0.58217592592592593</c:v>
                </c:pt>
                <c:pt idx="96">
                  <c:v>0.58287037037037037</c:v>
                </c:pt>
                <c:pt idx="97">
                  <c:v>0.58356481481481481</c:v>
                </c:pt>
                <c:pt idx="98">
                  <c:v>0.58425925925925926</c:v>
                </c:pt>
                <c:pt idx="99">
                  <c:v>0.5849537037037037</c:v>
                </c:pt>
                <c:pt idx="100">
                  <c:v>0.58564814814814814</c:v>
                </c:pt>
                <c:pt idx="101">
                  <c:v>0.58634259259259258</c:v>
                </c:pt>
                <c:pt idx="102">
                  <c:v>0.58703703703703702</c:v>
                </c:pt>
                <c:pt idx="103">
                  <c:v>0.58773148148148147</c:v>
                </c:pt>
                <c:pt idx="104">
                  <c:v>0.58842592592592591</c:v>
                </c:pt>
                <c:pt idx="105">
                  <c:v>0.58912037037037035</c:v>
                </c:pt>
                <c:pt idx="106">
                  <c:v>0.58980324074074075</c:v>
                </c:pt>
                <c:pt idx="107">
                  <c:v>0.59050925925925923</c:v>
                </c:pt>
                <c:pt idx="108">
                  <c:v>0.59119212962962964</c:v>
                </c:pt>
                <c:pt idx="109">
                  <c:v>0.59189814814814812</c:v>
                </c:pt>
                <c:pt idx="110">
                  <c:v>0.59259259259259256</c:v>
                </c:pt>
                <c:pt idx="111">
                  <c:v>0.59327546296296296</c:v>
                </c:pt>
                <c:pt idx="112">
                  <c:v>0.59398148148148155</c:v>
                </c:pt>
                <c:pt idx="113">
                  <c:v>0.59467592592592589</c:v>
                </c:pt>
                <c:pt idx="114">
                  <c:v>0.59535879629629629</c:v>
                </c:pt>
                <c:pt idx="115">
                  <c:v>0.59605324074074073</c:v>
                </c:pt>
                <c:pt idx="116">
                  <c:v>0.59674768518518517</c:v>
                </c:pt>
                <c:pt idx="117">
                  <c:v>0.59744212962962961</c:v>
                </c:pt>
                <c:pt idx="118">
                  <c:v>0.59813657407407406</c:v>
                </c:pt>
                <c:pt idx="119">
                  <c:v>0.5988310185185185</c:v>
                </c:pt>
                <c:pt idx="120">
                  <c:v>0.59952546296296294</c:v>
                </c:pt>
                <c:pt idx="121">
                  <c:v>0.60021990740740738</c:v>
                </c:pt>
                <c:pt idx="122">
                  <c:v>0.60091435185185182</c:v>
                </c:pt>
                <c:pt idx="123">
                  <c:v>0.60160879629629627</c:v>
                </c:pt>
                <c:pt idx="124">
                  <c:v>0.60230324074074071</c:v>
                </c:pt>
                <c:pt idx="125">
                  <c:v>0.60299768518518515</c:v>
                </c:pt>
                <c:pt idx="126">
                  <c:v>0.6036921296296297</c:v>
                </c:pt>
                <c:pt idx="127">
                  <c:v>0.60438657407407403</c:v>
                </c:pt>
                <c:pt idx="128">
                  <c:v>0.60508101851851859</c:v>
                </c:pt>
                <c:pt idx="129">
                  <c:v>0.60577546296296292</c:v>
                </c:pt>
                <c:pt idx="130">
                  <c:v>0.60646990740740747</c:v>
                </c:pt>
                <c:pt idx="131">
                  <c:v>0.6071643518518518</c:v>
                </c:pt>
                <c:pt idx="132">
                  <c:v>0.60785879629629636</c:v>
                </c:pt>
                <c:pt idx="133">
                  <c:v>0.60855324074074069</c:v>
                </c:pt>
                <c:pt idx="134">
                  <c:v>0.60924768518518524</c:v>
                </c:pt>
                <c:pt idx="135">
                  <c:v>0.60994212962962957</c:v>
                </c:pt>
                <c:pt idx="136">
                  <c:v>0.61063657407407412</c:v>
                </c:pt>
                <c:pt idx="137">
                  <c:v>0.61133101851851845</c:v>
                </c:pt>
                <c:pt idx="138">
                  <c:v>0.61202546296296301</c:v>
                </c:pt>
                <c:pt idx="139">
                  <c:v>0.61271990740740734</c:v>
                </c:pt>
                <c:pt idx="140">
                  <c:v>0.61341435185185189</c:v>
                </c:pt>
                <c:pt idx="141">
                  <c:v>0.61410879629629633</c:v>
                </c:pt>
                <c:pt idx="142">
                  <c:v>0.61480324074074078</c:v>
                </c:pt>
                <c:pt idx="143">
                  <c:v>0.61549768518518522</c:v>
                </c:pt>
                <c:pt idx="144">
                  <c:v>0.61619212962962966</c:v>
                </c:pt>
                <c:pt idx="145">
                  <c:v>0.6168865740740741</c:v>
                </c:pt>
                <c:pt idx="146">
                  <c:v>0.61758101851851854</c:v>
                </c:pt>
                <c:pt idx="147">
                  <c:v>0.61827546296296299</c:v>
                </c:pt>
                <c:pt idx="148">
                  <c:v>0.61896990740740743</c:v>
                </c:pt>
                <c:pt idx="149">
                  <c:v>0.61966435185185187</c:v>
                </c:pt>
              </c:numCache>
            </c:numRef>
          </c:cat>
          <c:val>
            <c:numRef>
              <c:f>'2. Calculs'!$AB$5:$AB$154</c:f>
              <c:numCache>
                <c:formatCode>General</c:formatCode>
                <c:ptCount val="150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79F9-F949-A40F-67F7AFFCF220}"/>
            </c:ext>
          </c:extLst>
        </c:ser>
        <c:ser>
          <c:idx val="10"/>
          <c:order val="10"/>
          <c:tx>
            <c:strRef>
              <c:f>'2. Calculs'!$AA$4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'2. Calculs'!$C$5:$C$154</c:f>
              <c:numCache>
                <c:formatCode>h:mm:ss\ AM/PM</c:formatCode>
                <c:ptCount val="150"/>
                <c:pt idx="0">
                  <c:v>0.51620370370370372</c:v>
                </c:pt>
                <c:pt idx="1">
                  <c:v>0.51689814814814816</c:v>
                </c:pt>
                <c:pt idx="2">
                  <c:v>0.5175925925925926</c:v>
                </c:pt>
                <c:pt idx="3">
                  <c:v>0.51828703703703705</c:v>
                </c:pt>
                <c:pt idx="4">
                  <c:v>0.51898148148148149</c:v>
                </c:pt>
                <c:pt idx="5">
                  <c:v>0.51967592592592593</c:v>
                </c:pt>
                <c:pt idx="6">
                  <c:v>0.52037037037037037</c:v>
                </c:pt>
                <c:pt idx="7">
                  <c:v>0.52106481481481481</c:v>
                </c:pt>
                <c:pt idx="8">
                  <c:v>0.52175925925925926</c:v>
                </c:pt>
                <c:pt idx="9">
                  <c:v>0.5224537037037037</c:v>
                </c:pt>
                <c:pt idx="10">
                  <c:v>0.52314814814814814</c:v>
                </c:pt>
                <c:pt idx="11">
                  <c:v>0.52384259259259258</c:v>
                </c:pt>
                <c:pt idx="12">
                  <c:v>0.52453703703703702</c:v>
                </c:pt>
                <c:pt idx="13">
                  <c:v>0.52523148148148147</c:v>
                </c:pt>
                <c:pt idx="14">
                  <c:v>0.52592592592592591</c:v>
                </c:pt>
                <c:pt idx="15">
                  <c:v>0.52662037037037035</c:v>
                </c:pt>
                <c:pt idx="16">
                  <c:v>0.52731481481481479</c:v>
                </c:pt>
                <c:pt idx="17">
                  <c:v>0.52800925925925923</c:v>
                </c:pt>
                <c:pt idx="18">
                  <c:v>0.52870370370370368</c:v>
                </c:pt>
                <c:pt idx="19">
                  <c:v>0.52939814814814812</c:v>
                </c:pt>
                <c:pt idx="20">
                  <c:v>0.53009259259259256</c:v>
                </c:pt>
                <c:pt idx="21">
                  <c:v>0.530787037037037</c:v>
                </c:pt>
                <c:pt idx="22">
                  <c:v>0.53148148148148155</c:v>
                </c:pt>
                <c:pt idx="23">
                  <c:v>0.53217592592592589</c:v>
                </c:pt>
                <c:pt idx="24">
                  <c:v>0.53287037037037044</c:v>
                </c:pt>
                <c:pt idx="25">
                  <c:v>0.53356481481481477</c:v>
                </c:pt>
                <c:pt idx="26">
                  <c:v>0.53425925925925932</c:v>
                </c:pt>
                <c:pt idx="27">
                  <c:v>0.53495370370370365</c:v>
                </c:pt>
                <c:pt idx="28">
                  <c:v>0.53564814814814821</c:v>
                </c:pt>
                <c:pt idx="29">
                  <c:v>0.53634259259259254</c:v>
                </c:pt>
                <c:pt idx="30">
                  <c:v>0.53703703703703709</c:v>
                </c:pt>
                <c:pt idx="31">
                  <c:v>0.53773148148148142</c:v>
                </c:pt>
                <c:pt idx="32">
                  <c:v>0.53842592592592597</c:v>
                </c:pt>
                <c:pt idx="33">
                  <c:v>0.53912037037037031</c:v>
                </c:pt>
                <c:pt idx="34">
                  <c:v>0.53981481481481486</c:v>
                </c:pt>
                <c:pt idx="35">
                  <c:v>0.54050925925925919</c:v>
                </c:pt>
                <c:pt idx="36">
                  <c:v>0.54120370370370374</c:v>
                </c:pt>
                <c:pt idx="37">
                  <c:v>0.54189814814814818</c:v>
                </c:pt>
                <c:pt idx="38">
                  <c:v>0.54259259259259263</c:v>
                </c:pt>
                <c:pt idx="39">
                  <c:v>0.54328703703703707</c:v>
                </c:pt>
                <c:pt idx="40">
                  <c:v>0.54398148148148151</c:v>
                </c:pt>
                <c:pt idx="41">
                  <c:v>0.54467592592592595</c:v>
                </c:pt>
                <c:pt idx="42">
                  <c:v>0.54537037037037039</c:v>
                </c:pt>
                <c:pt idx="43">
                  <c:v>0.54606481481481484</c:v>
                </c:pt>
                <c:pt idx="44">
                  <c:v>0.54675925925925928</c:v>
                </c:pt>
                <c:pt idx="45">
                  <c:v>0.54745370370370372</c:v>
                </c:pt>
                <c:pt idx="46">
                  <c:v>0.54814814814814816</c:v>
                </c:pt>
                <c:pt idx="47">
                  <c:v>0.5488425925925926</c:v>
                </c:pt>
                <c:pt idx="48">
                  <c:v>0.54953703703703705</c:v>
                </c:pt>
                <c:pt idx="49">
                  <c:v>0.55023148148148149</c:v>
                </c:pt>
                <c:pt idx="50">
                  <c:v>0.55092592592592593</c:v>
                </c:pt>
                <c:pt idx="51">
                  <c:v>0.55162037037037037</c:v>
                </c:pt>
                <c:pt idx="52">
                  <c:v>0.55231481481481481</c:v>
                </c:pt>
                <c:pt idx="53">
                  <c:v>0.55300925925925926</c:v>
                </c:pt>
                <c:pt idx="54">
                  <c:v>0.5537037037037037</c:v>
                </c:pt>
                <c:pt idx="55">
                  <c:v>0.55439814814814814</c:v>
                </c:pt>
                <c:pt idx="56">
                  <c:v>0.55509259259259258</c:v>
                </c:pt>
                <c:pt idx="57">
                  <c:v>0.55578703703703702</c:v>
                </c:pt>
                <c:pt idx="58">
                  <c:v>0.55648148148148147</c:v>
                </c:pt>
                <c:pt idx="59">
                  <c:v>0.55717592592592591</c:v>
                </c:pt>
                <c:pt idx="60">
                  <c:v>0.55787037037037035</c:v>
                </c:pt>
                <c:pt idx="61">
                  <c:v>0.55856481481481479</c:v>
                </c:pt>
                <c:pt idx="62">
                  <c:v>0.55925925925925923</c:v>
                </c:pt>
                <c:pt idx="63">
                  <c:v>0.55995370370370368</c:v>
                </c:pt>
                <c:pt idx="64">
                  <c:v>0.56064814814814812</c:v>
                </c:pt>
                <c:pt idx="65">
                  <c:v>0.56134259259259256</c:v>
                </c:pt>
                <c:pt idx="66">
                  <c:v>0.562037037037037</c:v>
                </c:pt>
                <c:pt idx="67">
                  <c:v>0.56273148148148155</c:v>
                </c:pt>
                <c:pt idx="68">
                  <c:v>0.56342592592592589</c:v>
                </c:pt>
                <c:pt idx="69">
                  <c:v>0.56412037037037044</c:v>
                </c:pt>
                <c:pt idx="70">
                  <c:v>0.56481481481481477</c:v>
                </c:pt>
                <c:pt idx="71">
                  <c:v>0.56550925925925932</c:v>
                </c:pt>
                <c:pt idx="72">
                  <c:v>0.56620370370370365</c:v>
                </c:pt>
                <c:pt idx="73">
                  <c:v>0.56689814814814821</c:v>
                </c:pt>
                <c:pt idx="74">
                  <c:v>0.56759259259259254</c:v>
                </c:pt>
                <c:pt idx="75">
                  <c:v>0.56828703703703709</c:v>
                </c:pt>
                <c:pt idx="76">
                  <c:v>0.56898148148148142</c:v>
                </c:pt>
                <c:pt idx="77">
                  <c:v>0.56967592592592597</c:v>
                </c:pt>
                <c:pt idx="78">
                  <c:v>0.57037037037037031</c:v>
                </c:pt>
                <c:pt idx="79">
                  <c:v>0.57106481481481486</c:v>
                </c:pt>
                <c:pt idx="80">
                  <c:v>0.57175925925925919</c:v>
                </c:pt>
                <c:pt idx="81">
                  <c:v>0.57245370370370374</c:v>
                </c:pt>
                <c:pt idx="82">
                  <c:v>0.57314814814814818</c:v>
                </c:pt>
                <c:pt idx="83">
                  <c:v>0.57384259259259263</c:v>
                </c:pt>
                <c:pt idx="84">
                  <c:v>0.57453703703703707</c:v>
                </c:pt>
                <c:pt idx="85">
                  <c:v>0.57523148148148151</c:v>
                </c:pt>
                <c:pt idx="86">
                  <c:v>0.57592592592592595</c:v>
                </c:pt>
                <c:pt idx="87">
                  <c:v>0.57662037037037039</c:v>
                </c:pt>
                <c:pt idx="88">
                  <c:v>0.57731481481481484</c:v>
                </c:pt>
                <c:pt idx="89">
                  <c:v>0.57800925925925928</c:v>
                </c:pt>
                <c:pt idx="90">
                  <c:v>0.57870370370370372</c:v>
                </c:pt>
                <c:pt idx="91">
                  <c:v>0.57938657407407412</c:v>
                </c:pt>
                <c:pt idx="92">
                  <c:v>0.5800925925925926</c:v>
                </c:pt>
                <c:pt idx="93">
                  <c:v>0.58078703703703705</c:v>
                </c:pt>
                <c:pt idx="94">
                  <c:v>0.58148148148148149</c:v>
                </c:pt>
                <c:pt idx="95">
                  <c:v>0.58217592592592593</c:v>
                </c:pt>
                <c:pt idx="96">
                  <c:v>0.58287037037037037</c:v>
                </c:pt>
                <c:pt idx="97">
                  <c:v>0.58356481481481481</c:v>
                </c:pt>
                <c:pt idx="98">
                  <c:v>0.58425925925925926</c:v>
                </c:pt>
                <c:pt idx="99">
                  <c:v>0.5849537037037037</c:v>
                </c:pt>
                <c:pt idx="100">
                  <c:v>0.58564814814814814</c:v>
                </c:pt>
                <c:pt idx="101">
                  <c:v>0.58634259259259258</c:v>
                </c:pt>
                <c:pt idx="102">
                  <c:v>0.58703703703703702</c:v>
                </c:pt>
                <c:pt idx="103">
                  <c:v>0.58773148148148147</c:v>
                </c:pt>
                <c:pt idx="104">
                  <c:v>0.58842592592592591</c:v>
                </c:pt>
                <c:pt idx="105">
                  <c:v>0.58912037037037035</c:v>
                </c:pt>
                <c:pt idx="106">
                  <c:v>0.58980324074074075</c:v>
                </c:pt>
                <c:pt idx="107">
                  <c:v>0.59050925925925923</c:v>
                </c:pt>
                <c:pt idx="108">
                  <c:v>0.59119212962962964</c:v>
                </c:pt>
                <c:pt idx="109">
                  <c:v>0.59189814814814812</c:v>
                </c:pt>
                <c:pt idx="110">
                  <c:v>0.59259259259259256</c:v>
                </c:pt>
                <c:pt idx="111">
                  <c:v>0.59327546296296296</c:v>
                </c:pt>
                <c:pt idx="112">
                  <c:v>0.59398148148148155</c:v>
                </c:pt>
                <c:pt idx="113">
                  <c:v>0.59467592592592589</c:v>
                </c:pt>
                <c:pt idx="114">
                  <c:v>0.59535879629629629</c:v>
                </c:pt>
                <c:pt idx="115">
                  <c:v>0.59605324074074073</c:v>
                </c:pt>
                <c:pt idx="116">
                  <c:v>0.59674768518518517</c:v>
                </c:pt>
                <c:pt idx="117">
                  <c:v>0.59744212962962961</c:v>
                </c:pt>
                <c:pt idx="118">
                  <c:v>0.59813657407407406</c:v>
                </c:pt>
                <c:pt idx="119">
                  <c:v>0.5988310185185185</c:v>
                </c:pt>
                <c:pt idx="120">
                  <c:v>0.59952546296296294</c:v>
                </c:pt>
                <c:pt idx="121">
                  <c:v>0.60021990740740738</c:v>
                </c:pt>
                <c:pt idx="122">
                  <c:v>0.60091435185185182</c:v>
                </c:pt>
                <c:pt idx="123">
                  <c:v>0.60160879629629627</c:v>
                </c:pt>
                <c:pt idx="124">
                  <c:v>0.60230324074074071</c:v>
                </c:pt>
                <c:pt idx="125">
                  <c:v>0.60299768518518515</c:v>
                </c:pt>
                <c:pt idx="126">
                  <c:v>0.6036921296296297</c:v>
                </c:pt>
                <c:pt idx="127">
                  <c:v>0.60438657407407403</c:v>
                </c:pt>
                <c:pt idx="128">
                  <c:v>0.60508101851851859</c:v>
                </c:pt>
                <c:pt idx="129">
                  <c:v>0.60577546296296292</c:v>
                </c:pt>
                <c:pt idx="130">
                  <c:v>0.60646990740740747</c:v>
                </c:pt>
                <c:pt idx="131">
                  <c:v>0.6071643518518518</c:v>
                </c:pt>
                <c:pt idx="132">
                  <c:v>0.60785879629629636</c:v>
                </c:pt>
                <c:pt idx="133">
                  <c:v>0.60855324074074069</c:v>
                </c:pt>
                <c:pt idx="134">
                  <c:v>0.60924768518518524</c:v>
                </c:pt>
                <c:pt idx="135">
                  <c:v>0.60994212962962957</c:v>
                </c:pt>
                <c:pt idx="136">
                  <c:v>0.61063657407407412</c:v>
                </c:pt>
                <c:pt idx="137">
                  <c:v>0.61133101851851845</c:v>
                </c:pt>
                <c:pt idx="138">
                  <c:v>0.61202546296296301</c:v>
                </c:pt>
                <c:pt idx="139">
                  <c:v>0.61271990740740734</c:v>
                </c:pt>
                <c:pt idx="140">
                  <c:v>0.61341435185185189</c:v>
                </c:pt>
                <c:pt idx="141">
                  <c:v>0.61410879629629633</c:v>
                </c:pt>
                <c:pt idx="142">
                  <c:v>0.61480324074074078</c:v>
                </c:pt>
                <c:pt idx="143">
                  <c:v>0.61549768518518522</c:v>
                </c:pt>
                <c:pt idx="144">
                  <c:v>0.61619212962962966</c:v>
                </c:pt>
                <c:pt idx="145">
                  <c:v>0.6168865740740741</c:v>
                </c:pt>
                <c:pt idx="146">
                  <c:v>0.61758101851851854</c:v>
                </c:pt>
                <c:pt idx="147">
                  <c:v>0.61827546296296299</c:v>
                </c:pt>
                <c:pt idx="148">
                  <c:v>0.61896990740740743</c:v>
                </c:pt>
                <c:pt idx="149">
                  <c:v>0.61966435185185187</c:v>
                </c:pt>
              </c:numCache>
            </c:numRef>
          </c:cat>
          <c:val>
            <c:numRef>
              <c:f>'2. Calculs'!$AA$5:$AA$154</c:f>
              <c:numCache>
                <c:formatCode>General</c:formatCode>
                <c:ptCount val="15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79F9-F949-A40F-67F7AFFCF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648512"/>
        <c:axId val="65650048"/>
      </c:lineChart>
      <c:catAx>
        <c:axId val="65648512"/>
        <c:scaling>
          <c:orientation val="minMax"/>
        </c:scaling>
        <c:delete val="0"/>
        <c:axPos val="b"/>
        <c:numFmt formatCode="h:mm:ss\ AM/PM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50048"/>
        <c:crosses val="autoZero"/>
        <c:auto val="1"/>
        <c:lblAlgn val="ctr"/>
        <c:lblOffset val="100"/>
        <c:noMultiLvlLbl val="0"/>
      </c:catAx>
      <c:valAx>
        <c:axId val="6565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4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tockChart>
        <c:ser>
          <c:idx val="0"/>
          <c:order val="0"/>
          <c:tx>
            <c:strRef>
              <c:f>'1. Rapport'!$I$17</c:f>
              <c:strCache>
                <c:ptCount val="1"/>
                <c:pt idx="0">
                  <c:v>Moyenne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 Calculs'!$R$4:$AB$4</c:f>
              <c:strCache>
                <c:ptCount val="11"/>
                <c:pt idx="0">
                  <c:v>HGAV/ (°C)</c:v>
                </c:pt>
                <c:pt idx="1">
                  <c:v>HGAR/(°C)</c:v>
                </c:pt>
                <c:pt idx="2">
                  <c:v>HDAR/ (°C)</c:v>
                </c:pt>
                <c:pt idx="3">
                  <c:v>HDAV/ (°C)</c:v>
                </c:pt>
                <c:pt idx="4">
                  <c:v>MIL/ (°C)</c:v>
                </c:pt>
                <c:pt idx="5">
                  <c:v>BGAV/ (°C)</c:v>
                </c:pt>
                <c:pt idx="6">
                  <c:v>BGAR/ (°C)</c:v>
                </c:pt>
                <c:pt idx="7">
                  <c:v>BDAR/ (°C)</c:v>
                </c:pt>
                <c:pt idx="8">
                  <c:v>BDAV/ (°C)</c:v>
                </c:pt>
                <c:pt idx="9">
                  <c:v>Min</c:v>
                </c:pt>
                <c:pt idx="10">
                  <c:v>Max</c:v>
                </c:pt>
              </c:strCache>
            </c:strRef>
          </c:cat>
          <c:val>
            <c:numRef>
              <c:f>'1. Rapport'!$J$17:$R$17</c:f>
              <c:numCache>
                <c:formatCode>0.00</c:formatCode>
                <c:ptCount val="9"/>
                <c:pt idx="0">
                  <c:v>5.7624000000000013</c:v>
                </c:pt>
                <c:pt idx="1">
                  <c:v>5.3885999999999976</c:v>
                </c:pt>
                <c:pt idx="2">
                  <c:v>4.5457333333333398</c:v>
                </c:pt>
                <c:pt idx="3">
                  <c:v>5.1527333333333321</c:v>
                </c:pt>
                <c:pt idx="4">
                  <c:v>5.1478000000000002</c:v>
                </c:pt>
                <c:pt idx="5">
                  <c:v>5.5277999999999974</c:v>
                </c:pt>
                <c:pt idx="6">
                  <c:v>4.8588666666666658</c:v>
                </c:pt>
                <c:pt idx="7">
                  <c:v>4.0639333333333294</c:v>
                </c:pt>
                <c:pt idx="8">
                  <c:v>5.2015999999999982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FC0-6B41-A358-8A5B3A3BE148}"/>
            </c:ext>
          </c:extLst>
        </c:ser>
        <c:ser>
          <c:idx val="1"/>
          <c:order val="1"/>
          <c:tx>
            <c:strRef>
              <c:f>'1. Rapport'!$I$24</c:f>
              <c:strCache>
                <c:ptCount val="1"/>
                <c:pt idx="0">
                  <c:v>Moyenne-U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 Calculs'!$R$4:$AB$4</c:f>
              <c:strCache>
                <c:ptCount val="11"/>
                <c:pt idx="0">
                  <c:v>HGAV/ (°C)</c:v>
                </c:pt>
                <c:pt idx="1">
                  <c:v>HGAR/(°C)</c:v>
                </c:pt>
                <c:pt idx="2">
                  <c:v>HDAR/ (°C)</c:v>
                </c:pt>
                <c:pt idx="3">
                  <c:v>HDAV/ (°C)</c:v>
                </c:pt>
                <c:pt idx="4">
                  <c:v>MIL/ (°C)</c:v>
                </c:pt>
                <c:pt idx="5">
                  <c:v>BGAV/ (°C)</c:v>
                </c:pt>
                <c:pt idx="6">
                  <c:v>BGAR/ (°C)</c:v>
                </c:pt>
                <c:pt idx="7">
                  <c:v>BDAR/ (°C)</c:v>
                </c:pt>
                <c:pt idx="8">
                  <c:v>BDAV/ (°C)</c:v>
                </c:pt>
                <c:pt idx="9">
                  <c:v>Min</c:v>
                </c:pt>
                <c:pt idx="10">
                  <c:v>Max</c:v>
                </c:pt>
              </c:strCache>
            </c:strRef>
          </c:cat>
          <c:val>
            <c:numRef>
              <c:f>'1. Rapport'!$J$24:$R$24</c:f>
              <c:numCache>
                <c:formatCode>0.00</c:formatCode>
                <c:ptCount val="9"/>
                <c:pt idx="0">
                  <c:v>5.4514122817014865</c:v>
                </c:pt>
                <c:pt idx="1">
                  <c:v>4.9825606591612992</c:v>
                </c:pt>
                <c:pt idx="2">
                  <c:v>4.0472848860630837</c:v>
                </c:pt>
                <c:pt idx="3">
                  <c:v>4.6113826900200916</c:v>
                </c:pt>
                <c:pt idx="4">
                  <c:v>4.5488277482309707</c:v>
                </c:pt>
                <c:pt idx="5">
                  <c:v>5.0935081981806247</c:v>
                </c:pt>
                <c:pt idx="6">
                  <c:v>4.0019354737747106</c:v>
                </c:pt>
                <c:pt idx="7">
                  <c:v>2.8603357692792333</c:v>
                </c:pt>
                <c:pt idx="8">
                  <c:v>4.7497480018989391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FC0-6B41-A358-8A5B3A3BE148}"/>
            </c:ext>
          </c:extLst>
        </c:ser>
        <c:ser>
          <c:idx val="2"/>
          <c:order val="2"/>
          <c:tx>
            <c:strRef>
              <c:f>'1. Rapport'!$I$24</c:f>
              <c:strCache>
                <c:ptCount val="1"/>
                <c:pt idx="0">
                  <c:v>Moyenne-U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 Calculs'!$R$4:$AB$4</c:f>
              <c:strCache>
                <c:ptCount val="11"/>
                <c:pt idx="0">
                  <c:v>HGAV/ (°C)</c:v>
                </c:pt>
                <c:pt idx="1">
                  <c:v>HGAR/(°C)</c:v>
                </c:pt>
                <c:pt idx="2">
                  <c:v>HDAR/ (°C)</c:v>
                </c:pt>
                <c:pt idx="3">
                  <c:v>HDAV/ (°C)</c:v>
                </c:pt>
                <c:pt idx="4">
                  <c:v>MIL/ (°C)</c:v>
                </c:pt>
                <c:pt idx="5">
                  <c:v>BGAV/ (°C)</c:v>
                </c:pt>
                <c:pt idx="6">
                  <c:v>BGAR/ (°C)</c:v>
                </c:pt>
                <c:pt idx="7">
                  <c:v>BDAR/ (°C)</c:v>
                </c:pt>
                <c:pt idx="8">
                  <c:v>BDAV/ (°C)</c:v>
                </c:pt>
                <c:pt idx="9">
                  <c:v>Min</c:v>
                </c:pt>
                <c:pt idx="10">
                  <c:v>Max</c:v>
                </c:pt>
              </c:strCache>
            </c:strRef>
          </c:cat>
          <c:val>
            <c:numRef>
              <c:f>'1. Rapport'!$J$25:$R$25</c:f>
              <c:numCache>
                <c:formatCode>0.00</c:formatCode>
                <c:ptCount val="9"/>
                <c:pt idx="0">
                  <c:v>6.0733877182985161</c:v>
                </c:pt>
                <c:pt idx="1">
                  <c:v>5.794639340838696</c:v>
                </c:pt>
                <c:pt idx="2">
                  <c:v>5.044181780603596</c:v>
                </c:pt>
                <c:pt idx="3">
                  <c:v>5.6940839766465725</c:v>
                </c:pt>
                <c:pt idx="4">
                  <c:v>5.7467722517690296</c:v>
                </c:pt>
                <c:pt idx="5">
                  <c:v>5.96209180181937</c:v>
                </c:pt>
                <c:pt idx="6">
                  <c:v>5.715797859558621</c:v>
                </c:pt>
                <c:pt idx="7">
                  <c:v>5.2675308973874255</c:v>
                </c:pt>
                <c:pt idx="8">
                  <c:v>5.6534519981010574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FC0-6B41-A358-8A5B3A3BE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66113920"/>
        <c:axId val="66115456"/>
      </c:stockChart>
      <c:catAx>
        <c:axId val="6611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115456"/>
        <c:crosses val="autoZero"/>
        <c:auto val="1"/>
        <c:lblAlgn val="ctr"/>
        <c:lblOffset val="100"/>
        <c:noMultiLvlLbl val="0"/>
      </c:catAx>
      <c:valAx>
        <c:axId val="6611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ysClr val="windowText" lastClr="000000"/>
                    </a:solidFill>
                  </a:rPr>
                  <a:t>Température ( en °C)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113920"/>
        <c:crosses val="autoZero"/>
        <c:crossBetween val="between"/>
        <c:majorUnit val="1"/>
        <c:minorUnit val="0.2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openxmlformats.org/officeDocument/2006/relationships/image" Target="../media/image3.pn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40</xdr:row>
      <xdr:rowOff>104774</xdr:rowOff>
    </xdr:from>
    <xdr:to>
      <xdr:col>2</xdr:col>
      <xdr:colOff>893183</xdr:colOff>
      <xdr:row>47</xdr:row>
      <xdr:rowOff>76199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49" y="7791449"/>
          <a:ext cx="2750559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404447</xdr:colOff>
      <xdr:row>39</xdr:row>
      <xdr:rowOff>113906</xdr:rowOff>
    </xdr:from>
    <xdr:to>
      <xdr:col>5</xdr:col>
      <xdr:colOff>523875</xdr:colOff>
      <xdr:row>47</xdr:row>
      <xdr:rowOff>113534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28622" y="7610081"/>
          <a:ext cx="1700578" cy="1523628"/>
        </a:xfrm>
        <a:prstGeom prst="rect">
          <a:avLst/>
        </a:prstGeom>
      </xdr:spPr>
    </xdr:pic>
    <xdr:clientData/>
  </xdr:twoCellAnchor>
  <xdr:twoCellAnchor editAs="oneCell">
    <xdr:from>
      <xdr:col>7</xdr:col>
      <xdr:colOff>304067</xdr:colOff>
      <xdr:row>1</xdr:row>
      <xdr:rowOff>66676</xdr:rowOff>
    </xdr:from>
    <xdr:to>
      <xdr:col>18</xdr:col>
      <xdr:colOff>647700</xdr:colOff>
      <xdr:row>13</xdr:row>
      <xdr:rowOff>152401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xmlns="" id="{00000000-0008-0000-04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295275</xdr:colOff>
      <xdr:row>32</xdr:row>
      <xdr:rowOff>104776</xdr:rowOff>
    </xdr:from>
    <xdr:to>
      <xdr:col>18</xdr:col>
      <xdr:colOff>609600</xdr:colOff>
      <xdr:row>44</xdr:row>
      <xdr:rowOff>47625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114301</xdr:colOff>
      <xdr:row>0</xdr:row>
      <xdr:rowOff>0</xdr:rowOff>
    </xdr:from>
    <xdr:to>
      <xdr:col>1</xdr:col>
      <xdr:colOff>234871</xdr:colOff>
      <xdr:row>2</xdr:row>
      <xdr:rowOff>28496</xdr:rowOff>
    </xdr:to>
    <xdr:pic>
      <xdr:nvPicPr>
        <xdr:cNvPr id="6" name="Imag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301" y="0"/>
          <a:ext cx="425370" cy="4190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9"/>
  <sheetViews>
    <sheetView tabSelected="1" zoomScaleNormal="100" workbookViewId="0">
      <selection activeCell="F32" sqref="F32"/>
    </sheetView>
  </sheetViews>
  <sheetFormatPr baseColWidth="10" defaultRowHeight="15" x14ac:dyDescent="0.25"/>
  <cols>
    <col min="1" max="1" width="4.5703125" customWidth="1"/>
    <col min="2" max="2" width="25.85546875" customWidth="1"/>
    <col min="3" max="3" width="13.42578125" customWidth="1"/>
    <col min="4" max="4" width="12.28515625" customWidth="1"/>
    <col min="7" max="7" width="5.28515625" customWidth="1"/>
    <col min="8" max="8" width="4.5703125" customWidth="1"/>
    <col min="10" max="18" width="6.5703125" customWidth="1"/>
  </cols>
  <sheetData>
    <row r="1" spans="1:18" x14ac:dyDescent="0.25">
      <c r="A1" s="19"/>
      <c r="B1" s="21"/>
      <c r="C1" s="20"/>
      <c r="D1" s="20"/>
      <c r="E1" s="20"/>
      <c r="I1" s="12" t="s">
        <v>57</v>
      </c>
    </row>
    <row r="2" spans="1:18" ht="15.75" x14ac:dyDescent="0.25">
      <c r="A2" s="19"/>
      <c r="B2" s="22" t="s">
        <v>77</v>
      </c>
      <c r="C2" s="20"/>
      <c r="D2" s="20"/>
      <c r="E2" s="20"/>
      <c r="I2" s="12"/>
    </row>
    <row r="3" spans="1:18" ht="19.5" customHeight="1" x14ac:dyDescent="0.25">
      <c r="A3" s="1"/>
      <c r="B3" s="2"/>
      <c r="C3" s="21"/>
      <c r="D3" s="2"/>
      <c r="E3" s="2"/>
      <c r="I3" s="12"/>
    </row>
    <row r="4" spans="1:18" x14ac:dyDescent="0.25">
      <c r="B4" s="12" t="s">
        <v>56</v>
      </c>
      <c r="I4" s="12"/>
    </row>
    <row r="5" spans="1:18" x14ac:dyDescent="0.25">
      <c r="B5" s="3" t="s">
        <v>0</v>
      </c>
      <c r="C5" s="4"/>
      <c r="D5" s="4"/>
      <c r="E5" s="4"/>
    </row>
    <row r="6" spans="1:18" x14ac:dyDescent="0.25">
      <c r="B6" s="13" t="s">
        <v>1</v>
      </c>
      <c r="C6" s="23" t="s">
        <v>2</v>
      </c>
      <c r="D6" s="13"/>
      <c r="E6" s="13" t="s">
        <v>3</v>
      </c>
      <c r="F6" s="26" t="s">
        <v>4</v>
      </c>
    </row>
    <row r="7" spans="1:18" x14ac:dyDescent="0.25">
      <c r="B7" s="13" t="s">
        <v>5</v>
      </c>
      <c r="C7" s="23">
        <v>13006700</v>
      </c>
      <c r="D7" s="13"/>
      <c r="E7" s="13" t="s">
        <v>6</v>
      </c>
      <c r="F7" s="26" t="s">
        <v>93</v>
      </c>
    </row>
    <row r="8" spans="1:18" x14ac:dyDescent="0.25">
      <c r="B8" s="13" t="s">
        <v>7</v>
      </c>
      <c r="C8" s="24">
        <v>43606</v>
      </c>
      <c r="D8" s="13"/>
      <c r="E8" s="13" t="s">
        <v>8</v>
      </c>
      <c r="F8" s="26" t="s">
        <v>9</v>
      </c>
    </row>
    <row r="9" spans="1:18" x14ac:dyDescent="0.25">
      <c r="B9" s="13" t="s">
        <v>10</v>
      </c>
      <c r="C9" s="25">
        <v>0.51597222222222217</v>
      </c>
      <c r="D9" s="13"/>
      <c r="E9" s="13" t="s">
        <v>11</v>
      </c>
      <c r="F9" s="26" t="s">
        <v>12</v>
      </c>
    </row>
    <row r="10" spans="1:18" x14ac:dyDescent="0.25">
      <c r="B10" s="4"/>
      <c r="C10" s="4"/>
      <c r="D10" s="4"/>
      <c r="E10" s="4"/>
    </row>
    <row r="11" spans="1:18" x14ac:dyDescent="0.25">
      <c r="B11" s="3" t="s">
        <v>13</v>
      </c>
      <c r="C11" s="4"/>
      <c r="D11" s="4"/>
      <c r="E11" s="4"/>
    </row>
    <row r="12" spans="1:18" x14ac:dyDescent="0.25">
      <c r="B12" s="13" t="s">
        <v>14</v>
      </c>
      <c r="C12" s="27">
        <v>5</v>
      </c>
      <c r="D12" s="14" t="s">
        <v>52</v>
      </c>
      <c r="E12" s="4"/>
    </row>
    <row r="13" spans="1:18" x14ac:dyDescent="0.25">
      <c r="B13" s="13" t="s">
        <v>15</v>
      </c>
      <c r="C13" s="27">
        <v>3</v>
      </c>
      <c r="D13" s="14" t="s">
        <v>52</v>
      </c>
      <c r="E13" s="4"/>
    </row>
    <row r="14" spans="1:18" x14ac:dyDescent="0.25">
      <c r="B14" s="13" t="s">
        <v>16</v>
      </c>
      <c r="C14" s="27">
        <v>5</v>
      </c>
      <c r="D14" s="14" t="s">
        <v>52</v>
      </c>
      <c r="E14" s="4"/>
    </row>
    <row r="15" spans="1:18" x14ac:dyDescent="0.25">
      <c r="B15" s="4"/>
      <c r="C15" s="4"/>
      <c r="D15" s="4"/>
      <c r="E15" s="4"/>
      <c r="I15" s="12" t="s">
        <v>58</v>
      </c>
    </row>
    <row r="16" spans="1:18" x14ac:dyDescent="0.25">
      <c r="B16" s="3" t="s">
        <v>17</v>
      </c>
      <c r="C16" s="4"/>
      <c r="D16" s="4"/>
      <c r="E16" s="4"/>
      <c r="I16" s="15" t="s">
        <v>59</v>
      </c>
      <c r="J16" s="16" t="s">
        <v>26</v>
      </c>
      <c r="K16" s="16" t="s">
        <v>27</v>
      </c>
      <c r="L16" s="16" t="s">
        <v>29</v>
      </c>
      <c r="M16" s="16" t="s">
        <v>28</v>
      </c>
      <c r="N16" s="16" t="s">
        <v>25</v>
      </c>
      <c r="O16" s="16" t="s">
        <v>30</v>
      </c>
      <c r="P16" s="16" t="s">
        <v>31</v>
      </c>
      <c r="Q16" s="16" t="s">
        <v>33</v>
      </c>
      <c r="R16" s="16" t="s">
        <v>32</v>
      </c>
    </row>
    <row r="17" spans="2:18" x14ac:dyDescent="0.25">
      <c r="B17" s="13" t="s">
        <v>18</v>
      </c>
      <c r="C17" s="26" t="s">
        <v>19</v>
      </c>
      <c r="D17" s="13" t="s">
        <v>75</v>
      </c>
      <c r="E17" s="4"/>
      <c r="F17" s="36">
        <v>43581</v>
      </c>
      <c r="I17" s="16" t="s">
        <v>60</v>
      </c>
      <c r="J17" s="17">
        <f>AVERAGE('2. Calculs'!R5:R154)</f>
        <v>5.7624000000000013</v>
      </c>
      <c r="K17" s="17">
        <f>AVERAGE('2. Calculs'!S5:S154)</f>
        <v>5.3885999999999976</v>
      </c>
      <c r="L17" s="17">
        <f>AVERAGE('2. Calculs'!T5:T154)</f>
        <v>4.5457333333333398</v>
      </c>
      <c r="M17" s="17">
        <f>AVERAGE('2. Calculs'!U5:U154)</f>
        <v>5.1527333333333321</v>
      </c>
      <c r="N17" s="17">
        <f>AVERAGE('2. Calculs'!V5:V154)</f>
        <v>5.1478000000000002</v>
      </c>
      <c r="O17" s="17">
        <f>AVERAGE('2. Calculs'!W5:W154)</f>
        <v>5.5277999999999974</v>
      </c>
      <c r="P17" s="17">
        <f>AVERAGE('2. Calculs'!X5:X154)</f>
        <v>4.8588666666666658</v>
      </c>
      <c r="Q17" s="17">
        <f>AVERAGE('2. Calculs'!Y5:Y154)</f>
        <v>4.0639333333333294</v>
      </c>
      <c r="R17" s="17">
        <f>AVERAGE('2. Calculs'!Z5:Z154)</f>
        <v>5.2015999999999982</v>
      </c>
    </row>
    <row r="18" spans="2:18" x14ac:dyDescent="0.25">
      <c r="B18" s="13" t="s">
        <v>36</v>
      </c>
      <c r="C18" s="52" t="s">
        <v>92</v>
      </c>
      <c r="D18" s="51"/>
      <c r="E18" s="51"/>
      <c r="F18" s="51"/>
      <c r="I18" s="16" t="s">
        <v>61</v>
      </c>
      <c r="J18" s="17">
        <f>MIN('2. Calculs'!R5:R154)</f>
        <v>5.53</v>
      </c>
      <c r="K18" s="17">
        <f>MIN('2. Calculs'!S6:S155)</f>
        <v>5.1100000000000003</v>
      </c>
      <c r="L18" s="17">
        <f>MIN('2. Calculs'!T6:T155)</f>
        <v>4.22</v>
      </c>
      <c r="M18" s="17">
        <f>MIN('2. Calculs'!U6:U155)</f>
        <v>4.6499999999999995</v>
      </c>
      <c r="N18" s="17">
        <f>MIN('2. Calculs'!V6:V155)</f>
        <v>4.71</v>
      </c>
      <c r="O18" s="17">
        <f>MIN('2. Calculs'!W6:W155)</f>
        <v>5.2299999999999995</v>
      </c>
      <c r="P18" s="17">
        <f>MIN('2. Calculs'!X6:X155)</f>
        <v>4.09</v>
      </c>
      <c r="Q18" s="17">
        <f>MIN('2. Calculs'!Y6:Y155)</f>
        <v>2.9499999999999997</v>
      </c>
      <c r="R18" s="17">
        <f>MIN('2. Calculs'!Z6:Z155)</f>
        <v>4.84</v>
      </c>
    </row>
    <row r="19" spans="2:18" ht="15" customHeight="1" x14ac:dyDescent="0.25">
      <c r="B19" s="13" t="s">
        <v>20</v>
      </c>
      <c r="C19" s="37" t="s">
        <v>83</v>
      </c>
      <c r="D19" s="14"/>
      <c r="E19" s="4"/>
      <c r="I19" s="16" t="s">
        <v>62</v>
      </c>
      <c r="J19" s="17">
        <f>MAX('2. Calculs'!R5:R154)</f>
        <v>6.1499999999999995</v>
      </c>
      <c r="K19" s="17">
        <f>MAX('2. Calculs'!S5:S154)</f>
        <v>5.79</v>
      </c>
      <c r="L19" s="17">
        <f>MAX('2. Calculs'!T5:T154)</f>
        <v>4.97</v>
      </c>
      <c r="M19" s="17">
        <f>MAX('2. Calculs'!U5:U154)</f>
        <v>5.5799999999999992</v>
      </c>
      <c r="N19" s="17">
        <f>MAX('2. Calculs'!V5:V154)</f>
        <v>5.64</v>
      </c>
      <c r="O19" s="17">
        <f>MAX('2. Calculs'!W5:W154)</f>
        <v>5.86</v>
      </c>
      <c r="P19" s="17">
        <f>MAX('2. Calculs'!X5:X154)</f>
        <v>5.53</v>
      </c>
      <c r="Q19" s="17">
        <f>MAX('2. Calculs'!Y5:Y154)</f>
        <v>5.0100000000000007</v>
      </c>
      <c r="R19" s="17">
        <f>MAX('2. Calculs'!Z5:Z154)</f>
        <v>5.59</v>
      </c>
    </row>
    <row r="20" spans="2:18" ht="15" customHeight="1" x14ac:dyDescent="0.25">
      <c r="B20" s="49" t="s">
        <v>21</v>
      </c>
      <c r="C20" s="50"/>
      <c r="D20" s="50"/>
      <c r="E20" s="51"/>
      <c r="F20" s="51"/>
      <c r="I20" s="16" t="s">
        <v>63</v>
      </c>
      <c r="J20" s="17">
        <f>J19-J18</f>
        <v>0.61999999999999922</v>
      </c>
      <c r="K20" s="17">
        <f t="shared" ref="K20:R20" si="0">K19-K18</f>
        <v>0.67999999999999972</v>
      </c>
      <c r="L20" s="17">
        <f t="shared" si="0"/>
        <v>0.75</v>
      </c>
      <c r="M20" s="17">
        <f t="shared" si="0"/>
        <v>0.92999999999999972</v>
      </c>
      <c r="N20" s="17">
        <f t="shared" si="0"/>
        <v>0.92999999999999972</v>
      </c>
      <c r="O20" s="17">
        <f t="shared" si="0"/>
        <v>0.63000000000000078</v>
      </c>
      <c r="P20" s="17">
        <f t="shared" si="0"/>
        <v>1.4400000000000004</v>
      </c>
      <c r="Q20" s="17">
        <f t="shared" si="0"/>
        <v>2.0600000000000009</v>
      </c>
      <c r="R20" s="17">
        <f t="shared" si="0"/>
        <v>0.75</v>
      </c>
    </row>
    <row r="21" spans="2:18" x14ac:dyDescent="0.25">
      <c r="B21" s="5" t="s">
        <v>22</v>
      </c>
      <c r="C21" s="6" t="s">
        <v>23</v>
      </c>
      <c r="D21" s="35" t="s">
        <v>24</v>
      </c>
      <c r="I21" s="16" t="s">
        <v>64</v>
      </c>
      <c r="J21" s="17">
        <f>STDEV('2. Calculs'!R5:R154)</f>
        <v>0.14916177425643903</v>
      </c>
      <c r="K21" s="17">
        <f>STDEV('2. Calculs'!S5:S154)</f>
        <v>0.1979696607492705</v>
      </c>
      <c r="L21" s="17">
        <f>STDEV('2. Calculs'!T5:T154)</f>
        <v>0.24512795362123116</v>
      </c>
      <c r="M21" s="17">
        <f>STDEV('2. Calculs'!U5:U154)</f>
        <v>0.26690846699555065</v>
      </c>
      <c r="N21" s="17">
        <f>STDEV('2. Calculs'!V5:V154)</f>
        <v>0.29608603411393009</v>
      </c>
      <c r="O21" s="17">
        <f>STDEV('2. Calculs'!W5:W154)</f>
        <v>0.21243197095041802</v>
      </c>
      <c r="P21" s="17">
        <f>STDEV('2. Calculs'!X5:X154)</f>
        <v>0.42609596024582003</v>
      </c>
      <c r="Q21" s="17">
        <f>STDEV('2. Calculs'!Y5:Y154)</f>
        <v>0.60011396755053004</v>
      </c>
      <c r="R21" s="17">
        <f>STDEV('2. Calculs'!Z5:Z154)</f>
        <v>0.22139908998679264</v>
      </c>
    </row>
    <row r="22" spans="2:18" x14ac:dyDescent="0.25">
      <c r="B22" s="33" t="s">
        <v>25</v>
      </c>
      <c r="C22" s="28">
        <v>-0.08</v>
      </c>
      <c r="D22" s="30">
        <v>0.09</v>
      </c>
      <c r="E22" s="4"/>
      <c r="I22" s="16" t="s">
        <v>67</v>
      </c>
      <c r="J22" s="17">
        <f>D23/2</f>
        <v>4.3921581640466764E-2</v>
      </c>
      <c r="K22" s="17">
        <f>D24/2</f>
        <v>4.4999999999999998E-2</v>
      </c>
      <c r="L22" s="17">
        <f>D26/2</f>
        <v>4.4999999999999998E-2</v>
      </c>
      <c r="M22" s="17">
        <f>D25/2</f>
        <v>4.4999999999999998E-2</v>
      </c>
      <c r="N22" s="17">
        <f>D22/2</f>
        <v>4.4999999999999998E-2</v>
      </c>
      <c r="O22" s="17">
        <f>D27/2</f>
        <v>4.4999999999999998E-2</v>
      </c>
      <c r="P22" s="17">
        <f>D28/2</f>
        <v>4.4999999999999998E-2</v>
      </c>
      <c r="Q22" s="17">
        <f>D30/2</f>
        <v>4.4999999999999998E-2</v>
      </c>
      <c r="R22" s="17">
        <f>D29/2</f>
        <v>4.4999999999999998E-2</v>
      </c>
    </row>
    <row r="23" spans="2:18" x14ac:dyDescent="0.25">
      <c r="B23" s="33" t="s">
        <v>26</v>
      </c>
      <c r="C23" s="28">
        <v>-0.09</v>
      </c>
      <c r="D23" s="30">
        <v>8.7843163280933528E-2</v>
      </c>
      <c r="E23" s="4"/>
      <c r="I23" s="16" t="s">
        <v>76</v>
      </c>
      <c r="J23" s="17">
        <f>2*SQRT((J22)^2+(J21)^2)</f>
        <v>0.31098771829851457</v>
      </c>
      <c r="K23" s="17">
        <f t="shared" ref="K23:R23" si="1">2*SQRT((K22)^2+(K21)^2)</f>
        <v>0.4060393408386988</v>
      </c>
      <c r="L23" s="17">
        <f t="shared" si="1"/>
        <v>0.49844844727025661</v>
      </c>
      <c r="M23" s="17">
        <f t="shared" si="1"/>
        <v>0.5413506433132409</v>
      </c>
      <c r="N23" s="17">
        <f t="shared" si="1"/>
        <v>0.59897225176902935</v>
      </c>
      <c r="O23" s="17">
        <f t="shared" si="1"/>
        <v>0.43429180181937233</v>
      </c>
      <c r="P23" s="17">
        <f t="shared" si="1"/>
        <v>0.85693119289195541</v>
      </c>
      <c r="Q23" s="17">
        <f t="shared" si="1"/>
        <v>1.2035975640540963</v>
      </c>
      <c r="R23" s="17">
        <f t="shared" si="1"/>
        <v>0.45185199810105919</v>
      </c>
    </row>
    <row r="24" spans="2:18" x14ac:dyDescent="0.25">
      <c r="B24" s="33" t="s">
        <v>27</v>
      </c>
      <c r="C24" s="28">
        <v>0.02</v>
      </c>
      <c r="D24" s="30">
        <v>0.09</v>
      </c>
      <c r="E24" s="4"/>
      <c r="I24" s="16" t="s">
        <v>65</v>
      </c>
      <c r="J24" s="17">
        <f>J17-J23</f>
        <v>5.4514122817014865</v>
      </c>
      <c r="K24" s="17">
        <f t="shared" ref="K24:R24" si="2">K17-K23</f>
        <v>4.9825606591612992</v>
      </c>
      <c r="L24" s="17">
        <f t="shared" si="2"/>
        <v>4.0472848860630837</v>
      </c>
      <c r="M24" s="17">
        <f t="shared" si="2"/>
        <v>4.6113826900200916</v>
      </c>
      <c r="N24" s="17">
        <f t="shared" si="2"/>
        <v>4.5488277482309707</v>
      </c>
      <c r="O24" s="17">
        <f t="shared" si="2"/>
        <v>5.0935081981806247</v>
      </c>
      <c r="P24" s="17">
        <f t="shared" si="2"/>
        <v>4.0019354737747106</v>
      </c>
      <c r="Q24" s="17">
        <f t="shared" si="2"/>
        <v>2.8603357692792333</v>
      </c>
      <c r="R24" s="17">
        <f t="shared" si="2"/>
        <v>4.7497480018989391</v>
      </c>
    </row>
    <row r="25" spans="2:18" x14ac:dyDescent="0.25">
      <c r="B25" s="33" t="s">
        <v>28</v>
      </c>
      <c r="C25" s="28">
        <v>-0.02</v>
      </c>
      <c r="D25" s="30">
        <v>0.09</v>
      </c>
      <c r="E25" s="4"/>
      <c r="I25" s="16" t="s">
        <v>66</v>
      </c>
      <c r="J25" s="17">
        <f>J17+J23</f>
        <v>6.0733877182985161</v>
      </c>
      <c r="K25" s="17">
        <f t="shared" ref="K25:R25" si="3">K17+K23</f>
        <v>5.794639340838696</v>
      </c>
      <c r="L25" s="17">
        <f t="shared" si="3"/>
        <v>5.044181780603596</v>
      </c>
      <c r="M25" s="17">
        <f t="shared" si="3"/>
        <v>5.6940839766465725</v>
      </c>
      <c r="N25" s="17">
        <f t="shared" si="3"/>
        <v>5.7467722517690296</v>
      </c>
      <c r="O25" s="17">
        <f t="shared" si="3"/>
        <v>5.96209180181937</v>
      </c>
      <c r="P25" s="17">
        <f t="shared" si="3"/>
        <v>5.715797859558621</v>
      </c>
      <c r="Q25" s="17">
        <f t="shared" si="3"/>
        <v>5.2675308973874255</v>
      </c>
      <c r="R25" s="17">
        <f t="shared" si="3"/>
        <v>5.6534519981010574</v>
      </c>
    </row>
    <row r="26" spans="2:18" x14ac:dyDescent="0.25">
      <c r="B26" s="33" t="s">
        <v>29</v>
      </c>
      <c r="C26" s="28">
        <v>-0.16</v>
      </c>
      <c r="D26" s="30">
        <v>0.09</v>
      </c>
      <c r="E26" s="4"/>
    </row>
    <row r="27" spans="2:18" x14ac:dyDescent="0.25">
      <c r="B27" s="33" t="s">
        <v>30</v>
      </c>
      <c r="C27" s="28">
        <v>-0.17</v>
      </c>
      <c r="D27" s="30">
        <v>0.09</v>
      </c>
      <c r="E27" s="4"/>
      <c r="I27" s="12" t="s">
        <v>68</v>
      </c>
    </row>
    <row r="28" spans="2:18" x14ac:dyDescent="0.25">
      <c r="B28" s="33" t="s">
        <v>31</v>
      </c>
      <c r="C28" s="28">
        <v>0.22</v>
      </c>
      <c r="D28" s="30">
        <v>0.09</v>
      </c>
      <c r="E28" s="4"/>
      <c r="I28" s="15" t="s">
        <v>59</v>
      </c>
      <c r="J28" s="16" t="s">
        <v>26</v>
      </c>
      <c r="K28" s="16" t="s">
        <v>27</v>
      </c>
      <c r="L28" s="16" t="s">
        <v>29</v>
      </c>
      <c r="M28" s="16" t="s">
        <v>28</v>
      </c>
      <c r="N28" s="16" t="s">
        <v>25</v>
      </c>
      <c r="O28" s="16" t="s">
        <v>30</v>
      </c>
      <c r="P28" s="16" t="s">
        <v>31</v>
      </c>
      <c r="Q28" s="16" t="s">
        <v>33</v>
      </c>
      <c r="R28" s="16" t="s">
        <v>32</v>
      </c>
    </row>
    <row r="29" spans="2:18" x14ac:dyDescent="0.25">
      <c r="B29" s="33" t="s">
        <v>32</v>
      </c>
      <c r="C29" s="28">
        <v>0.16</v>
      </c>
      <c r="D29" s="30">
        <v>0.09</v>
      </c>
      <c r="E29" s="4"/>
      <c r="I29" s="16" t="s">
        <v>71</v>
      </c>
      <c r="J29" s="17">
        <f>$C$13</f>
        <v>3</v>
      </c>
      <c r="K29" s="17">
        <f t="shared" ref="K29:R29" si="4">$C$13</f>
        <v>3</v>
      </c>
      <c r="L29" s="17">
        <f t="shared" si="4"/>
        <v>3</v>
      </c>
      <c r="M29" s="17">
        <f t="shared" si="4"/>
        <v>3</v>
      </c>
      <c r="N29" s="17">
        <f t="shared" si="4"/>
        <v>3</v>
      </c>
      <c r="O29" s="17">
        <f t="shared" si="4"/>
        <v>3</v>
      </c>
      <c r="P29" s="17">
        <f t="shared" si="4"/>
        <v>3</v>
      </c>
      <c r="Q29" s="17">
        <f t="shared" si="4"/>
        <v>3</v>
      </c>
      <c r="R29" s="17">
        <f t="shared" si="4"/>
        <v>3</v>
      </c>
    </row>
    <row r="30" spans="2:18" x14ac:dyDescent="0.25">
      <c r="B30" s="34" t="s">
        <v>33</v>
      </c>
      <c r="C30" s="29">
        <v>-0.32</v>
      </c>
      <c r="D30" s="30">
        <v>0.09</v>
      </c>
      <c r="E30" s="4"/>
      <c r="I30" s="16" t="s">
        <v>72</v>
      </c>
      <c r="J30" s="17">
        <f>$C$12+$C$13</f>
        <v>8</v>
      </c>
      <c r="K30" s="17">
        <f t="shared" ref="K30:R30" si="5">$C$12+$C$13</f>
        <v>8</v>
      </c>
      <c r="L30" s="17">
        <f t="shared" si="5"/>
        <v>8</v>
      </c>
      <c r="M30" s="17">
        <f t="shared" si="5"/>
        <v>8</v>
      </c>
      <c r="N30" s="17">
        <f t="shared" si="5"/>
        <v>8</v>
      </c>
      <c r="O30" s="17">
        <f t="shared" si="5"/>
        <v>8</v>
      </c>
      <c r="P30" s="17">
        <f t="shared" si="5"/>
        <v>8</v>
      </c>
      <c r="Q30" s="17">
        <f t="shared" si="5"/>
        <v>8</v>
      </c>
      <c r="R30" s="17">
        <f t="shared" si="5"/>
        <v>8</v>
      </c>
    </row>
    <row r="31" spans="2:18" x14ac:dyDescent="0.25">
      <c r="B31" s="31" t="s">
        <v>37</v>
      </c>
      <c r="C31" s="28">
        <v>2.61</v>
      </c>
      <c r="D31" s="30">
        <v>0.57999999999999996</v>
      </c>
      <c r="E31" s="4"/>
      <c r="I31" s="16" t="s">
        <v>73</v>
      </c>
      <c r="J31" s="17">
        <f>$C$12-$C$13</f>
        <v>2</v>
      </c>
      <c r="K31" s="17">
        <f t="shared" ref="K31:R31" si="6">$C$12-$C$13</f>
        <v>2</v>
      </c>
      <c r="L31" s="17">
        <f t="shared" si="6"/>
        <v>2</v>
      </c>
      <c r="M31" s="17">
        <f t="shared" si="6"/>
        <v>2</v>
      </c>
      <c r="N31" s="17">
        <f t="shared" si="6"/>
        <v>2</v>
      </c>
      <c r="O31" s="17">
        <f t="shared" si="6"/>
        <v>2</v>
      </c>
      <c r="P31" s="17">
        <f t="shared" si="6"/>
        <v>2</v>
      </c>
      <c r="Q31" s="17">
        <f t="shared" si="6"/>
        <v>2</v>
      </c>
      <c r="R31" s="17">
        <f t="shared" si="6"/>
        <v>2</v>
      </c>
    </row>
    <row r="32" spans="2:18" x14ac:dyDescent="0.25">
      <c r="E32" s="4"/>
      <c r="I32" s="16" t="s">
        <v>74</v>
      </c>
      <c r="J32" s="44" t="str">
        <f t="shared" ref="J32:R32" si="7">IF((J25&lt;J30),IF( (J24&gt;J31),"OUI","NON"),"NON")</f>
        <v>OUI</v>
      </c>
      <c r="K32" s="44" t="str">
        <f t="shared" si="7"/>
        <v>OUI</v>
      </c>
      <c r="L32" s="44" t="str">
        <f t="shared" si="7"/>
        <v>OUI</v>
      </c>
      <c r="M32" s="44" t="str">
        <f t="shared" si="7"/>
        <v>OUI</v>
      </c>
      <c r="N32" s="44" t="str">
        <f t="shared" si="7"/>
        <v>OUI</v>
      </c>
      <c r="O32" s="44" t="str">
        <f t="shared" si="7"/>
        <v>OUI</v>
      </c>
      <c r="P32" s="44" t="str">
        <f t="shared" si="7"/>
        <v>OUI</v>
      </c>
      <c r="Q32" s="44" t="str">
        <f t="shared" si="7"/>
        <v>OUI</v>
      </c>
      <c r="R32" s="44" t="str">
        <f t="shared" si="7"/>
        <v>OUI</v>
      </c>
    </row>
    <row r="33" spans="2:18" x14ac:dyDescent="0.25">
      <c r="B33" s="3" t="s">
        <v>84</v>
      </c>
      <c r="C33" s="4"/>
      <c r="D33" s="4"/>
      <c r="E33" s="4"/>
    </row>
    <row r="34" spans="2:18" x14ac:dyDescent="0.25">
      <c r="B34" s="13" t="s">
        <v>34</v>
      </c>
      <c r="C34" s="45">
        <f>'2. Calculs'!M5-C31</f>
        <v>23.59</v>
      </c>
      <c r="D34" s="4" t="s">
        <v>52</v>
      </c>
      <c r="E34" s="4"/>
    </row>
    <row r="35" spans="2:18" x14ac:dyDescent="0.25">
      <c r="B35" s="13" t="s">
        <v>81</v>
      </c>
      <c r="C35" s="32">
        <f>'2. Calculs'!N5</f>
        <v>33</v>
      </c>
      <c r="D35" s="4" t="s">
        <v>82</v>
      </c>
      <c r="E35" s="4"/>
    </row>
    <row r="36" spans="2:18" x14ac:dyDescent="0.25">
      <c r="B36" s="13" t="s">
        <v>35</v>
      </c>
      <c r="C36" s="26" t="s">
        <v>80</v>
      </c>
      <c r="D36" s="4"/>
      <c r="E36" s="4"/>
    </row>
    <row r="37" spans="2:18" x14ac:dyDescent="0.25">
      <c r="B37" s="18"/>
      <c r="C37" s="4"/>
      <c r="D37" s="4"/>
    </row>
    <row r="38" spans="2:18" x14ac:dyDescent="0.25">
      <c r="B38" s="4"/>
      <c r="C38" s="4"/>
      <c r="D38" s="4"/>
    </row>
    <row r="39" spans="2:18" x14ac:dyDescent="0.25">
      <c r="B39" s="4" t="s">
        <v>79</v>
      </c>
      <c r="C39" s="4"/>
      <c r="D39" s="4"/>
      <c r="E39" s="4" t="s">
        <v>78</v>
      </c>
    </row>
    <row r="40" spans="2:18" x14ac:dyDescent="0.25">
      <c r="B40" s="4"/>
      <c r="C40" s="4"/>
      <c r="D40" s="4"/>
    </row>
    <row r="41" spans="2:18" x14ac:dyDescent="0.25">
      <c r="B41" s="4"/>
      <c r="C41" s="4"/>
      <c r="D41" s="4"/>
    </row>
    <row r="42" spans="2:18" x14ac:dyDescent="0.25">
      <c r="B42" s="4"/>
      <c r="C42" s="4"/>
      <c r="D42" s="4"/>
    </row>
    <row r="43" spans="2:18" x14ac:dyDescent="0.25">
      <c r="B43" s="4"/>
      <c r="C43" s="4"/>
      <c r="D43" s="4"/>
    </row>
    <row r="46" spans="2:18" x14ac:dyDescent="0.25">
      <c r="I46" s="38" t="s">
        <v>85</v>
      </c>
      <c r="J46" s="40">
        <f>MAX(J20:R20)</f>
        <v>2.0600000000000009</v>
      </c>
      <c r="K46" t="s">
        <v>52</v>
      </c>
      <c r="L46" s="14" t="s">
        <v>86</v>
      </c>
      <c r="N46" s="40">
        <f>MAX(J25:R25)- MIN(J24:R24)</f>
        <v>3.2130519490192828</v>
      </c>
      <c r="O46" t="s">
        <v>52</v>
      </c>
      <c r="P46" s="14" t="s">
        <v>87</v>
      </c>
      <c r="Q46" s="40">
        <f>C12     -AVERAGE(J17:R17)</f>
        <v>-7.2162962962962318E-2</v>
      </c>
      <c r="R46" t="s">
        <v>52</v>
      </c>
    </row>
    <row r="48" spans="2:18" x14ac:dyDescent="0.25">
      <c r="I48" s="39" t="s">
        <v>88</v>
      </c>
      <c r="J48" s="39"/>
      <c r="K48" s="39"/>
      <c r="L48" s="39"/>
      <c r="M48" s="39"/>
      <c r="N48" s="39"/>
      <c r="O48" s="39"/>
      <c r="P48" s="39"/>
    </row>
    <row r="49" spans="9:16" x14ac:dyDescent="0.25">
      <c r="I49" s="39" t="s">
        <v>89</v>
      </c>
      <c r="J49" s="39"/>
      <c r="K49" s="39"/>
      <c r="L49" s="39" t="s">
        <v>90</v>
      </c>
      <c r="M49" s="39"/>
      <c r="N49" s="39"/>
      <c r="O49" s="39" t="s">
        <v>91</v>
      </c>
      <c r="P49" s="39"/>
    </row>
  </sheetData>
  <mergeCells count="2">
    <mergeCell ref="B20:F20"/>
    <mergeCell ref="C18:F1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4"/>
  <sheetViews>
    <sheetView zoomScale="80" zoomScaleNormal="80" workbookViewId="0">
      <selection activeCell="O7" sqref="O7"/>
    </sheetView>
  </sheetViews>
  <sheetFormatPr baseColWidth="10" defaultRowHeight="15" x14ac:dyDescent="0.25"/>
  <cols>
    <col min="1" max="1" width="15.28515625" customWidth="1"/>
    <col min="3" max="3" width="12.7109375" customWidth="1"/>
    <col min="13" max="14" width="12.140625" customWidth="1"/>
  </cols>
  <sheetData>
    <row r="1" spans="1:28" x14ac:dyDescent="0.25">
      <c r="B1" t="s">
        <v>53</v>
      </c>
    </row>
    <row r="3" spans="1:28" x14ac:dyDescent="0.25">
      <c r="C3" s="9"/>
      <c r="D3" s="10"/>
      <c r="E3" s="10"/>
      <c r="F3" s="10"/>
      <c r="G3" s="10"/>
      <c r="H3" s="10"/>
      <c r="I3" s="10"/>
      <c r="J3" s="10"/>
      <c r="K3" s="10"/>
      <c r="L3" s="10"/>
    </row>
    <row r="4" spans="1:28" x14ac:dyDescent="0.25">
      <c r="A4" t="s">
        <v>51</v>
      </c>
      <c r="B4" t="s">
        <v>38</v>
      </c>
      <c r="C4" t="s">
        <v>39</v>
      </c>
      <c r="D4" s="7" t="s">
        <v>40</v>
      </c>
      <c r="E4" s="7" t="s">
        <v>41</v>
      </c>
      <c r="F4" s="7" t="s">
        <v>42</v>
      </c>
      <c r="G4" s="7" t="s">
        <v>43</v>
      </c>
      <c r="H4" s="7" t="s">
        <v>44</v>
      </c>
      <c r="I4" s="7" t="s">
        <v>45</v>
      </c>
      <c r="J4" s="7" t="s">
        <v>46</v>
      </c>
      <c r="K4" s="7" t="s">
        <v>47</v>
      </c>
      <c r="L4" s="7" t="s">
        <v>48</v>
      </c>
      <c r="M4" s="7" t="s">
        <v>70</v>
      </c>
      <c r="N4" s="7" t="s">
        <v>69</v>
      </c>
      <c r="Q4" t="s">
        <v>39</v>
      </c>
      <c r="R4" t="s">
        <v>41</v>
      </c>
      <c r="S4" t="s">
        <v>54</v>
      </c>
      <c r="T4" t="s">
        <v>44</v>
      </c>
      <c r="U4" t="s">
        <v>43</v>
      </c>
      <c r="V4" t="s">
        <v>55</v>
      </c>
      <c r="W4" t="s">
        <v>45</v>
      </c>
      <c r="X4" t="s">
        <v>46</v>
      </c>
      <c r="Y4" t="s">
        <v>48</v>
      </c>
      <c r="Z4" t="s">
        <v>47</v>
      </c>
      <c r="AA4" s="11" t="s">
        <v>49</v>
      </c>
      <c r="AB4" s="11" t="s">
        <v>50</v>
      </c>
    </row>
    <row r="5" spans="1:28" x14ac:dyDescent="0.25">
      <c r="A5" s="8">
        <v>1</v>
      </c>
      <c r="B5" s="46">
        <v>43606</v>
      </c>
      <c r="C5" s="47">
        <v>0.51620370370370372</v>
      </c>
      <c r="D5" s="48">
        <v>4.88</v>
      </c>
      <c r="E5" s="48">
        <v>5.81</v>
      </c>
      <c r="F5" s="48">
        <v>5.44</v>
      </c>
      <c r="G5" s="48">
        <v>5</v>
      </c>
      <c r="H5" s="48">
        <v>4.3099999999999996</v>
      </c>
      <c r="I5" s="48">
        <v>5.25</v>
      </c>
      <c r="J5" s="48">
        <v>4.88</v>
      </c>
      <c r="K5" s="48">
        <v>5.19</v>
      </c>
      <c r="L5" s="48">
        <v>3.25</v>
      </c>
      <c r="M5" s="48">
        <v>26.2</v>
      </c>
      <c r="N5" s="48">
        <v>33</v>
      </c>
      <c r="Q5" s="9">
        <f>C5</f>
        <v>0.51620370370370372</v>
      </c>
      <c r="R5" s="10">
        <f>E5-'1. Rapport'!$C$23</f>
        <v>5.8999999999999995</v>
      </c>
      <c r="S5" s="10">
        <f>F5-'1. Rapport'!$C$24</f>
        <v>5.4200000000000008</v>
      </c>
      <c r="T5" s="10">
        <f>H5-'1. Rapport'!$C$26</f>
        <v>4.47</v>
      </c>
      <c r="U5" s="10">
        <f>G5-'1. Rapport'!$C$25</f>
        <v>5.0199999999999996</v>
      </c>
      <c r="V5" s="10">
        <f>D5-'1. Rapport'!$C$22</f>
        <v>4.96</v>
      </c>
      <c r="W5" s="10">
        <f>I5-'1. Rapport'!$C$27</f>
        <v>5.42</v>
      </c>
      <c r="X5" s="10">
        <f>J5-'1. Rapport'!$C$28</f>
        <v>4.66</v>
      </c>
      <c r="Y5" s="10">
        <f>L5-'1. Rapport'!$C$30</f>
        <v>3.57</v>
      </c>
      <c r="Z5" s="10">
        <f>K5-'1. Rapport'!$C$29</f>
        <v>5.03</v>
      </c>
      <c r="AA5" s="8">
        <f>('1. Rapport'!C12) -('1. Rapport'!C13)</f>
        <v>2</v>
      </c>
      <c r="AB5" s="8">
        <f>('1. Rapport'!C12) +('1. Rapport'!C13)</f>
        <v>8</v>
      </c>
    </row>
    <row r="6" spans="1:28" x14ac:dyDescent="0.25">
      <c r="A6" s="8">
        <f>A5+1</f>
        <v>2</v>
      </c>
      <c r="B6" s="46">
        <v>43606</v>
      </c>
      <c r="C6" s="47">
        <v>0.51689814814814816</v>
      </c>
      <c r="D6" s="48">
        <v>5</v>
      </c>
      <c r="E6" s="48">
        <v>5.88</v>
      </c>
      <c r="F6" s="48">
        <v>5.5</v>
      </c>
      <c r="G6" s="48">
        <v>5.13</v>
      </c>
      <c r="H6" s="48">
        <v>4.38</v>
      </c>
      <c r="I6" s="48">
        <v>5.38</v>
      </c>
      <c r="J6" s="48">
        <v>5.0599999999999996</v>
      </c>
      <c r="K6" s="48">
        <v>5.25</v>
      </c>
      <c r="L6" s="48">
        <v>3.56</v>
      </c>
      <c r="M6" s="48">
        <v>26.2</v>
      </c>
      <c r="N6" s="48">
        <v>33</v>
      </c>
      <c r="Q6" s="9">
        <f t="shared" ref="Q6:Q69" si="0">C6</f>
        <v>0.51689814814814816</v>
      </c>
      <c r="R6" s="10">
        <f>E6-'1. Rapport'!$C$23</f>
        <v>5.97</v>
      </c>
      <c r="S6" s="10">
        <f>F6-'1. Rapport'!$C$24</f>
        <v>5.48</v>
      </c>
      <c r="T6" s="10">
        <f>H6-'1. Rapport'!$C$26</f>
        <v>4.54</v>
      </c>
      <c r="U6" s="10">
        <f>G6-'1. Rapport'!$C$25</f>
        <v>5.1499999999999995</v>
      </c>
      <c r="V6" s="10">
        <f>D6-'1. Rapport'!$C$22</f>
        <v>5.08</v>
      </c>
      <c r="W6" s="10">
        <f>I6-'1. Rapport'!$C$27</f>
        <v>5.55</v>
      </c>
      <c r="X6" s="10">
        <f>J6-'1. Rapport'!$C$28</f>
        <v>4.84</v>
      </c>
      <c r="Y6" s="10">
        <f>L6-'1. Rapport'!$C$30</f>
        <v>3.88</v>
      </c>
      <c r="Z6" s="10">
        <f>K6-'1. Rapport'!$C$29</f>
        <v>5.09</v>
      </c>
      <c r="AA6" s="8">
        <f>$AA$5</f>
        <v>2</v>
      </c>
      <c r="AB6" s="8">
        <f>$AB$5</f>
        <v>8</v>
      </c>
    </row>
    <row r="7" spans="1:28" x14ac:dyDescent="0.25">
      <c r="A7" s="8">
        <f t="shared" ref="A7:A70" si="1">A6+1</f>
        <v>3</v>
      </c>
      <c r="B7" s="46">
        <v>43606</v>
      </c>
      <c r="C7" s="47">
        <v>0.5175925925925926</v>
      </c>
      <c r="D7" s="48">
        <v>5.13</v>
      </c>
      <c r="E7" s="48">
        <v>5.94</v>
      </c>
      <c r="F7" s="48">
        <v>5.56</v>
      </c>
      <c r="G7" s="48">
        <v>5.25</v>
      </c>
      <c r="H7" s="48">
        <v>4.5</v>
      </c>
      <c r="I7" s="48">
        <v>5.5</v>
      </c>
      <c r="J7" s="48">
        <v>5.25</v>
      </c>
      <c r="K7" s="48">
        <v>5.38</v>
      </c>
      <c r="L7" s="48">
        <v>3.81</v>
      </c>
      <c r="M7" s="48">
        <v>26.2</v>
      </c>
      <c r="N7" s="48">
        <v>33</v>
      </c>
      <c r="Q7" s="9">
        <f t="shared" si="0"/>
        <v>0.5175925925925926</v>
      </c>
      <c r="R7" s="10">
        <f>E7-'1. Rapport'!$C$23</f>
        <v>6.03</v>
      </c>
      <c r="S7" s="10">
        <f>F7-'1. Rapport'!$C$24</f>
        <v>5.54</v>
      </c>
      <c r="T7" s="10">
        <f>H7-'1. Rapport'!$C$26</f>
        <v>4.66</v>
      </c>
      <c r="U7" s="10">
        <f>G7-'1. Rapport'!$C$25</f>
        <v>5.27</v>
      </c>
      <c r="V7" s="10">
        <f>D7-'1. Rapport'!$C$22</f>
        <v>5.21</v>
      </c>
      <c r="W7" s="10">
        <f>I7-'1. Rapport'!$C$27</f>
        <v>5.67</v>
      </c>
      <c r="X7" s="10">
        <f>J7-'1. Rapport'!$C$28</f>
        <v>5.03</v>
      </c>
      <c r="Y7" s="10">
        <f>L7-'1. Rapport'!$C$30</f>
        <v>4.13</v>
      </c>
      <c r="Z7" s="10">
        <f>K7-'1. Rapport'!$C$29</f>
        <v>5.22</v>
      </c>
      <c r="AA7" s="8">
        <f t="shared" ref="AA7:AA70" si="2">$AA$5</f>
        <v>2</v>
      </c>
      <c r="AB7" s="8">
        <f t="shared" ref="AB7:AB70" si="3">$AB$5</f>
        <v>8</v>
      </c>
    </row>
    <row r="8" spans="1:28" x14ac:dyDescent="0.25">
      <c r="A8" s="8">
        <f t="shared" si="1"/>
        <v>4</v>
      </c>
      <c r="B8" s="46">
        <v>43606</v>
      </c>
      <c r="C8" s="47">
        <v>0.51828703703703705</v>
      </c>
      <c r="D8" s="48">
        <v>5.31</v>
      </c>
      <c r="E8" s="48">
        <v>6</v>
      </c>
      <c r="F8" s="48">
        <v>5.69</v>
      </c>
      <c r="G8" s="48">
        <v>5.38</v>
      </c>
      <c r="H8" s="48">
        <v>4.63</v>
      </c>
      <c r="I8" s="48">
        <v>5.63</v>
      </c>
      <c r="J8" s="48">
        <v>5.44</v>
      </c>
      <c r="K8" s="48">
        <v>5.5</v>
      </c>
      <c r="L8" s="48">
        <v>4.13</v>
      </c>
      <c r="M8" s="48">
        <v>26.2</v>
      </c>
      <c r="N8" s="48">
        <v>33</v>
      </c>
      <c r="Q8" s="9">
        <f t="shared" si="0"/>
        <v>0.51828703703703705</v>
      </c>
      <c r="R8" s="10">
        <f>E8-'1. Rapport'!$C$23</f>
        <v>6.09</v>
      </c>
      <c r="S8" s="10">
        <f>F8-'1. Rapport'!$C$24</f>
        <v>5.6700000000000008</v>
      </c>
      <c r="T8" s="10">
        <f>H8-'1. Rapport'!$C$26</f>
        <v>4.79</v>
      </c>
      <c r="U8" s="10">
        <f>G8-'1. Rapport'!$C$25</f>
        <v>5.3999999999999995</v>
      </c>
      <c r="V8" s="10">
        <f>D8-'1. Rapport'!$C$22</f>
        <v>5.39</v>
      </c>
      <c r="W8" s="10">
        <f>I8-'1. Rapport'!$C$27</f>
        <v>5.8</v>
      </c>
      <c r="X8" s="10">
        <f>J8-'1. Rapport'!$C$28</f>
        <v>5.2200000000000006</v>
      </c>
      <c r="Y8" s="10">
        <f>L8-'1. Rapport'!$C$30</f>
        <v>4.45</v>
      </c>
      <c r="Z8" s="10">
        <f>K8-'1. Rapport'!$C$29</f>
        <v>5.34</v>
      </c>
      <c r="AA8" s="8">
        <f t="shared" si="2"/>
        <v>2</v>
      </c>
      <c r="AB8" s="8">
        <f t="shared" si="3"/>
        <v>8</v>
      </c>
    </row>
    <row r="9" spans="1:28" x14ac:dyDescent="0.25">
      <c r="A9" s="8">
        <f t="shared" si="1"/>
        <v>5</v>
      </c>
      <c r="B9" s="46">
        <v>43606</v>
      </c>
      <c r="C9" s="47">
        <v>0.51898148148148149</v>
      </c>
      <c r="D9" s="48">
        <v>5.5</v>
      </c>
      <c r="E9" s="48">
        <v>6.06</v>
      </c>
      <c r="F9" s="48">
        <v>5.81</v>
      </c>
      <c r="G9" s="48">
        <v>5.5</v>
      </c>
      <c r="H9" s="48">
        <v>4.75</v>
      </c>
      <c r="I9" s="48">
        <v>5.69</v>
      </c>
      <c r="J9" s="48">
        <v>5.56</v>
      </c>
      <c r="K9" s="48">
        <v>5.63</v>
      </c>
      <c r="L9" s="48">
        <v>4.25</v>
      </c>
      <c r="M9" s="48">
        <v>26.2</v>
      </c>
      <c r="N9" s="48">
        <v>33</v>
      </c>
      <c r="Q9" s="9">
        <f t="shared" si="0"/>
        <v>0.51898148148148149</v>
      </c>
      <c r="R9" s="10">
        <f>E9-'1. Rapport'!$C$23</f>
        <v>6.1499999999999995</v>
      </c>
      <c r="S9" s="10">
        <f>F9-'1. Rapport'!$C$24</f>
        <v>5.79</v>
      </c>
      <c r="T9" s="10">
        <f>H9-'1. Rapport'!$C$26</f>
        <v>4.91</v>
      </c>
      <c r="U9" s="10">
        <f>G9-'1. Rapport'!$C$25</f>
        <v>5.52</v>
      </c>
      <c r="V9" s="10">
        <f>D9-'1. Rapport'!$C$22</f>
        <v>5.58</v>
      </c>
      <c r="W9" s="10">
        <f>I9-'1. Rapport'!$C$27</f>
        <v>5.86</v>
      </c>
      <c r="X9" s="10">
        <f>J9-'1. Rapport'!$C$28</f>
        <v>5.34</v>
      </c>
      <c r="Y9" s="10">
        <f>L9-'1. Rapport'!$C$30</f>
        <v>4.57</v>
      </c>
      <c r="Z9" s="10">
        <f>K9-'1. Rapport'!$C$29</f>
        <v>5.47</v>
      </c>
      <c r="AA9" s="8">
        <f t="shared" si="2"/>
        <v>2</v>
      </c>
      <c r="AB9" s="8">
        <f t="shared" si="3"/>
        <v>8</v>
      </c>
    </row>
    <row r="10" spans="1:28" x14ac:dyDescent="0.25">
      <c r="A10" s="8">
        <f t="shared" si="1"/>
        <v>6</v>
      </c>
      <c r="B10" s="46">
        <v>43606</v>
      </c>
      <c r="C10" s="47">
        <v>0.51967592592592593</v>
      </c>
      <c r="D10" s="48">
        <v>5.25</v>
      </c>
      <c r="E10" s="48">
        <v>5.94</v>
      </c>
      <c r="F10" s="48">
        <v>5.63</v>
      </c>
      <c r="G10" s="48">
        <v>5.19</v>
      </c>
      <c r="H10" s="48">
        <v>4.5</v>
      </c>
      <c r="I10" s="48">
        <v>5.56</v>
      </c>
      <c r="J10" s="48">
        <v>5.19</v>
      </c>
      <c r="K10" s="48">
        <v>5.44</v>
      </c>
      <c r="L10" s="48">
        <v>3.44</v>
      </c>
      <c r="M10" s="48">
        <v>26.2</v>
      </c>
      <c r="N10" s="48">
        <v>33</v>
      </c>
      <c r="Q10" s="9">
        <f t="shared" si="0"/>
        <v>0.51967592592592593</v>
      </c>
      <c r="R10" s="10">
        <f>E10-'1. Rapport'!$C$23</f>
        <v>6.03</v>
      </c>
      <c r="S10" s="10">
        <f>F10-'1. Rapport'!$C$24</f>
        <v>5.61</v>
      </c>
      <c r="T10" s="10">
        <f>H10-'1. Rapport'!$C$26</f>
        <v>4.66</v>
      </c>
      <c r="U10" s="10">
        <f>G10-'1. Rapport'!$C$25</f>
        <v>5.21</v>
      </c>
      <c r="V10" s="10">
        <f>D10-'1. Rapport'!$C$22</f>
        <v>5.33</v>
      </c>
      <c r="W10" s="10">
        <f>I10-'1. Rapport'!$C$27</f>
        <v>5.7299999999999995</v>
      </c>
      <c r="X10" s="10">
        <f>J10-'1. Rapport'!$C$28</f>
        <v>4.9700000000000006</v>
      </c>
      <c r="Y10" s="10">
        <f>L10-'1. Rapport'!$C$30</f>
        <v>3.76</v>
      </c>
      <c r="Z10" s="10">
        <f>K10-'1. Rapport'!$C$29</f>
        <v>5.28</v>
      </c>
      <c r="AA10" s="8">
        <f t="shared" si="2"/>
        <v>2</v>
      </c>
      <c r="AB10" s="8">
        <f t="shared" si="3"/>
        <v>8</v>
      </c>
    </row>
    <row r="11" spans="1:28" x14ac:dyDescent="0.25">
      <c r="A11" s="8">
        <f t="shared" si="1"/>
        <v>7</v>
      </c>
      <c r="B11" s="46">
        <v>43606</v>
      </c>
      <c r="C11" s="47">
        <v>0.52037037037037037</v>
      </c>
      <c r="D11" s="48">
        <v>4.8099999999999996</v>
      </c>
      <c r="E11" s="48">
        <v>5.75</v>
      </c>
      <c r="F11" s="48">
        <v>5.38</v>
      </c>
      <c r="G11" s="48">
        <v>4.75</v>
      </c>
      <c r="H11" s="48">
        <v>4.1900000000000004</v>
      </c>
      <c r="I11" s="48">
        <v>5.31</v>
      </c>
      <c r="J11" s="48">
        <v>4.5</v>
      </c>
      <c r="K11" s="48">
        <v>5.13</v>
      </c>
      <c r="L11" s="48">
        <v>2.63</v>
      </c>
      <c r="M11" s="48">
        <v>26.2</v>
      </c>
      <c r="N11" s="48">
        <v>33</v>
      </c>
      <c r="Q11" s="9">
        <f t="shared" si="0"/>
        <v>0.52037037037037037</v>
      </c>
      <c r="R11" s="10">
        <f>E11-'1. Rapport'!$C$23</f>
        <v>5.84</v>
      </c>
      <c r="S11" s="10">
        <f>F11-'1. Rapport'!$C$24</f>
        <v>5.36</v>
      </c>
      <c r="T11" s="10">
        <f>H11-'1. Rapport'!$C$26</f>
        <v>4.3500000000000005</v>
      </c>
      <c r="U11" s="10">
        <f>G11-'1. Rapport'!$C$25</f>
        <v>4.7699999999999996</v>
      </c>
      <c r="V11" s="10">
        <f>D11-'1. Rapport'!$C$22</f>
        <v>4.8899999999999997</v>
      </c>
      <c r="W11" s="10">
        <f>I11-'1. Rapport'!$C$27</f>
        <v>5.4799999999999995</v>
      </c>
      <c r="X11" s="10">
        <f>J11-'1. Rapport'!$C$28</f>
        <v>4.28</v>
      </c>
      <c r="Y11" s="10">
        <f>L11-'1. Rapport'!$C$30</f>
        <v>2.9499999999999997</v>
      </c>
      <c r="Z11" s="10">
        <f>K11-'1. Rapport'!$C$29</f>
        <v>4.97</v>
      </c>
      <c r="AA11" s="8">
        <f t="shared" si="2"/>
        <v>2</v>
      </c>
      <c r="AB11" s="8">
        <f t="shared" si="3"/>
        <v>8</v>
      </c>
    </row>
    <row r="12" spans="1:28" x14ac:dyDescent="0.25">
      <c r="A12" s="8">
        <f t="shared" si="1"/>
        <v>8</v>
      </c>
      <c r="B12" s="46">
        <v>43606</v>
      </c>
      <c r="C12" s="47">
        <v>0.52106481481481481</v>
      </c>
      <c r="D12" s="48">
        <v>4.63</v>
      </c>
      <c r="E12" s="48">
        <v>5.63</v>
      </c>
      <c r="F12" s="48">
        <v>5.19</v>
      </c>
      <c r="G12" s="48">
        <v>4.75</v>
      </c>
      <c r="H12" s="48">
        <v>4.0599999999999996</v>
      </c>
      <c r="I12" s="48">
        <v>5.0599999999999996</v>
      </c>
      <c r="J12" s="48">
        <v>4.3099999999999996</v>
      </c>
      <c r="K12" s="48">
        <v>5</v>
      </c>
      <c r="L12" s="48">
        <v>2.69</v>
      </c>
      <c r="M12" s="48">
        <v>26.2</v>
      </c>
      <c r="N12" s="48">
        <v>33</v>
      </c>
      <c r="Q12" s="9">
        <f t="shared" si="0"/>
        <v>0.52106481481481481</v>
      </c>
      <c r="R12" s="10">
        <f>E12-'1. Rapport'!$C$23</f>
        <v>5.72</v>
      </c>
      <c r="S12" s="10">
        <f>F12-'1. Rapport'!$C$24</f>
        <v>5.1700000000000008</v>
      </c>
      <c r="T12" s="10">
        <f>H12-'1. Rapport'!$C$26</f>
        <v>4.22</v>
      </c>
      <c r="U12" s="10">
        <f>G12-'1. Rapport'!$C$25</f>
        <v>4.7699999999999996</v>
      </c>
      <c r="V12" s="10">
        <f>D12-'1. Rapport'!$C$22</f>
        <v>4.71</v>
      </c>
      <c r="W12" s="10">
        <f>I12-'1. Rapport'!$C$27</f>
        <v>5.2299999999999995</v>
      </c>
      <c r="X12" s="10">
        <f>J12-'1. Rapport'!$C$28</f>
        <v>4.09</v>
      </c>
      <c r="Y12" s="10">
        <f>L12-'1. Rapport'!$C$30</f>
        <v>3.01</v>
      </c>
      <c r="Z12" s="10">
        <f>K12-'1. Rapport'!$C$29</f>
        <v>4.84</v>
      </c>
      <c r="AA12" s="8">
        <f t="shared" si="2"/>
        <v>2</v>
      </c>
      <c r="AB12" s="8">
        <f t="shared" si="3"/>
        <v>8</v>
      </c>
    </row>
    <row r="13" spans="1:28" x14ac:dyDescent="0.25">
      <c r="A13" s="8">
        <f t="shared" si="1"/>
        <v>9</v>
      </c>
      <c r="B13" s="46">
        <v>43606</v>
      </c>
      <c r="C13" s="47">
        <v>0.52175925925925926</v>
      </c>
      <c r="D13" s="48">
        <v>4.6900000000000004</v>
      </c>
      <c r="E13" s="48">
        <v>5.63</v>
      </c>
      <c r="F13" s="48">
        <v>5.19</v>
      </c>
      <c r="G13" s="48">
        <v>4.8099999999999996</v>
      </c>
      <c r="H13" s="48">
        <v>4.0599999999999996</v>
      </c>
      <c r="I13" s="48">
        <v>5.0599999999999996</v>
      </c>
      <c r="J13" s="48">
        <v>4.5599999999999996</v>
      </c>
      <c r="K13" s="48">
        <v>5</v>
      </c>
      <c r="L13" s="48">
        <v>3.06</v>
      </c>
      <c r="M13" s="48">
        <v>26.2</v>
      </c>
      <c r="N13" s="48">
        <v>33</v>
      </c>
      <c r="Q13" s="9">
        <f t="shared" si="0"/>
        <v>0.52175925925925926</v>
      </c>
      <c r="R13" s="10">
        <f>E13-'1. Rapport'!$C$23</f>
        <v>5.72</v>
      </c>
      <c r="S13" s="10">
        <f>F13-'1. Rapport'!$C$24</f>
        <v>5.1700000000000008</v>
      </c>
      <c r="T13" s="10">
        <f>H13-'1. Rapport'!$C$26</f>
        <v>4.22</v>
      </c>
      <c r="U13" s="10">
        <f>G13-'1. Rapport'!$C$25</f>
        <v>4.8299999999999992</v>
      </c>
      <c r="V13" s="10">
        <f>D13-'1. Rapport'!$C$22</f>
        <v>4.7700000000000005</v>
      </c>
      <c r="W13" s="10">
        <f>I13-'1. Rapport'!$C$27</f>
        <v>5.2299999999999995</v>
      </c>
      <c r="X13" s="10">
        <f>J13-'1. Rapport'!$C$28</f>
        <v>4.34</v>
      </c>
      <c r="Y13" s="10">
        <f>L13-'1. Rapport'!$C$30</f>
        <v>3.38</v>
      </c>
      <c r="Z13" s="10">
        <f>K13-'1. Rapport'!$C$29</f>
        <v>4.84</v>
      </c>
      <c r="AA13" s="8">
        <f t="shared" si="2"/>
        <v>2</v>
      </c>
      <c r="AB13" s="8">
        <f t="shared" si="3"/>
        <v>8</v>
      </c>
    </row>
    <row r="14" spans="1:28" x14ac:dyDescent="0.25">
      <c r="A14" s="8">
        <f t="shared" si="1"/>
        <v>10</v>
      </c>
      <c r="B14" s="46">
        <v>43606</v>
      </c>
      <c r="C14" s="47">
        <v>0.5224537037037037</v>
      </c>
      <c r="D14" s="48">
        <v>4.8099999999999996</v>
      </c>
      <c r="E14" s="48">
        <v>5.63</v>
      </c>
      <c r="F14" s="48">
        <v>5.31</v>
      </c>
      <c r="G14" s="48">
        <v>5</v>
      </c>
      <c r="H14" s="48">
        <v>4.1900000000000004</v>
      </c>
      <c r="I14" s="48">
        <v>5.19</v>
      </c>
      <c r="J14" s="48">
        <v>4.8099999999999996</v>
      </c>
      <c r="K14" s="48">
        <v>5.13</v>
      </c>
      <c r="L14" s="48">
        <v>3.38</v>
      </c>
      <c r="M14" s="48">
        <v>26.2</v>
      </c>
      <c r="N14" s="48">
        <v>33</v>
      </c>
      <c r="Q14" s="9">
        <f t="shared" si="0"/>
        <v>0.5224537037037037</v>
      </c>
      <c r="R14" s="10">
        <f>E14-'1. Rapport'!$C$23</f>
        <v>5.72</v>
      </c>
      <c r="S14" s="10">
        <f>F14-'1. Rapport'!$C$24</f>
        <v>5.29</v>
      </c>
      <c r="T14" s="10">
        <f>H14-'1. Rapport'!$C$26</f>
        <v>4.3500000000000005</v>
      </c>
      <c r="U14" s="10">
        <f>G14-'1. Rapport'!$C$25</f>
        <v>5.0199999999999996</v>
      </c>
      <c r="V14" s="10">
        <f>D14-'1. Rapport'!$C$22</f>
        <v>4.8899999999999997</v>
      </c>
      <c r="W14" s="10">
        <f>I14-'1. Rapport'!$C$27</f>
        <v>5.36</v>
      </c>
      <c r="X14" s="10">
        <f>J14-'1. Rapport'!$C$28</f>
        <v>4.59</v>
      </c>
      <c r="Y14" s="10">
        <f>L14-'1. Rapport'!$C$30</f>
        <v>3.6999999999999997</v>
      </c>
      <c r="Z14" s="10">
        <f>K14-'1. Rapport'!$C$29</f>
        <v>4.97</v>
      </c>
      <c r="AA14" s="8">
        <f t="shared" si="2"/>
        <v>2</v>
      </c>
      <c r="AB14" s="8">
        <f t="shared" si="3"/>
        <v>8</v>
      </c>
    </row>
    <row r="15" spans="1:28" x14ac:dyDescent="0.25">
      <c r="A15" s="8">
        <f t="shared" si="1"/>
        <v>11</v>
      </c>
      <c r="B15" s="46">
        <v>43606</v>
      </c>
      <c r="C15" s="47">
        <v>0.52314814814814814</v>
      </c>
      <c r="D15" s="48">
        <v>5</v>
      </c>
      <c r="E15" s="48">
        <v>5.69</v>
      </c>
      <c r="F15" s="48">
        <v>5.38</v>
      </c>
      <c r="G15" s="48">
        <v>5.13</v>
      </c>
      <c r="H15" s="48">
        <v>4.3099999999999996</v>
      </c>
      <c r="I15" s="48">
        <v>5.25</v>
      </c>
      <c r="J15" s="48">
        <v>5.0599999999999996</v>
      </c>
      <c r="K15" s="48">
        <v>5.25</v>
      </c>
      <c r="L15" s="48">
        <v>3.69</v>
      </c>
      <c r="M15" s="48">
        <v>26.2</v>
      </c>
      <c r="N15" s="48">
        <v>33</v>
      </c>
      <c r="Q15" s="9">
        <f t="shared" si="0"/>
        <v>0.52314814814814814</v>
      </c>
      <c r="R15" s="10">
        <f>E15-'1. Rapport'!$C$23</f>
        <v>5.78</v>
      </c>
      <c r="S15" s="10">
        <f>F15-'1. Rapport'!$C$24</f>
        <v>5.36</v>
      </c>
      <c r="T15" s="10">
        <f>H15-'1. Rapport'!$C$26</f>
        <v>4.47</v>
      </c>
      <c r="U15" s="10">
        <f>G15-'1. Rapport'!$C$25</f>
        <v>5.1499999999999995</v>
      </c>
      <c r="V15" s="10">
        <f>D15-'1. Rapport'!$C$22</f>
        <v>5.08</v>
      </c>
      <c r="W15" s="10">
        <f>I15-'1. Rapport'!$C$27</f>
        <v>5.42</v>
      </c>
      <c r="X15" s="10">
        <f>J15-'1. Rapport'!$C$28</f>
        <v>4.84</v>
      </c>
      <c r="Y15" s="10">
        <f>L15-'1. Rapport'!$C$30</f>
        <v>4.01</v>
      </c>
      <c r="Z15" s="10">
        <f>K15-'1. Rapport'!$C$29</f>
        <v>5.09</v>
      </c>
      <c r="AA15" s="8">
        <f t="shared" si="2"/>
        <v>2</v>
      </c>
      <c r="AB15" s="8">
        <f t="shared" si="3"/>
        <v>8</v>
      </c>
    </row>
    <row r="16" spans="1:28" x14ac:dyDescent="0.25">
      <c r="A16" s="8">
        <f t="shared" si="1"/>
        <v>12</v>
      </c>
      <c r="B16" s="46">
        <v>43606</v>
      </c>
      <c r="C16" s="47">
        <v>0.52384259259259258</v>
      </c>
      <c r="D16" s="48">
        <v>5.19</v>
      </c>
      <c r="E16" s="48">
        <v>5.75</v>
      </c>
      <c r="F16" s="48">
        <v>5.5</v>
      </c>
      <c r="G16" s="48">
        <v>5.31</v>
      </c>
      <c r="H16" s="48">
        <v>4.4400000000000004</v>
      </c>
      <c r="I16" s="48">
        <v>5.38</v>
      </c>
      <c r="J16" s="48">
        <v>5.25</v>
      </c>
      <c r="K16" s="48">
        <v>5.38</v>
      </c>
      <c r="L16" s="48">
        <v>4</v>
      </c>
      <c r="M16" s="48">
        <v>26.2</v>
      </c>
      <c r="N16" s="48">
        <v>33</v>
      </c>
      <c r="Q16" s="9">
        <f t="shared" si="0"/>
        <v>0.52384259259259258</v>
      </c>
      <c r="R16" s="10">
        <f>E16-'1. Rapport'!$C$23</f>
        <v>5.84</v>
      </c>
      <c r="S16" s="10">
        <f>F16-'1. Rapport'!$C$24</f>
        <v>5.48</v>
      </c>
      <c r="T16" s="10">
        <f>H16-'1. Rapport'!$C$26</f>
        <v>4.6000000000000005</v>
      </c>
      <c r="U16" s="10">
        <f>G16-'1. Rapport'!$C$25</f>
        <v>5.3299999999999992</v>
      </c>
      <c r="V16" s="10">
        <f>D16-'1. Rapport'!$C$22</f>
        <v>5.2700000000000005</v>
      </c>
      <c r="W16" s="10">
        <f>I16-'1. Rapport'!$C$27</f>
        <v>5.55</v>
      </c>
      <c r="X16" s="10">
        <f>J16-'1. Rapport'!$C$28</f>
        <v>5.03</v>
      </c>
      <c r="Y16" s="10">
        <f>L16-'1. Rapport'!$C$30</f>
        <v>4.32</v>
      </c>
      <c r="Z16" s="10">
        <f>K16-'1. Rapport'!$C$29</f>
        <v>5.22</v>
      </c>
      <c r="AA16" s="8">
        <f t="shared" si="2"/>
        <v>2</v>
      </c>
      <c r="AB16" s="8">
        <f t="shared" si="3"/>
        <v>8</v>
      </c>
    </row>
    <row r="17" spans="1:28" x14ac:dyDescent="0.25">
      <c r="A17" s="8">
        <f t="shared" si="1"/>
        <v>13</v>
      </c>
      <c r="B17" s="46">
        <v>43606</v>
      </c>
      <c r="C17" s="47">
        <v>0.52453703703703702</v>
      </c>
      <c r="D17" s="48">
        <v>5.31</v>
      </c>
      <c r="E17" s="48">
        <v>5.88</v>
      </c>
      <c r="F17" s="48">
        <v>5.63</v>
      </c>
      <c r="G17" s="48">
        <v>5.44</v>
      </c>
      <c r="H17" s="48">
        <v>4.63</v>
      </c>
      <c r="I17" s="48">
        <v>5.56</v>
      </c>
      <c r="J17" s="48">
        <v>5.5</v>
      </c>
      <c r="K17" s="48">
        <v>5.5</v>
      </c>
      <c r="L17" s="48">
        <v>4.3099999999999996</v>
      </c>
      <c r="M17" s="48">
        <v>26.2</v>
      </c>
      <c r="N17" s="48">
        <v>33</v>
      </c>
      <c r="Q17" s="9">
        <f t="shared" si="0"/>
        <v>0.52453703703703702</v>
      </c>
      <c r="R17" s="10">
        <f>E17-'1. Rapport'!$C$23</f>
        <v>5.97</v>
      </c>
      <c r="S17" s="10">
        <f>F17-'1. Rapport'!$C$24</f>
        <v>5.61</v>
      </c>
      <c r="T17" s="10">
        <f>H17-'1. Rapport'!$C$26</f>
        <v>4.79</v>
      </c>
      <c r="U17" s="10">
        <f>G17-'1. Rapport'!$C$25</f>
        <v>5.46</v>
      </c>
      <c r="V17" s="10">
        <f>D17-'1. Rapport'!$C$22</f>
        <v>5.39</v>
      </c>
      <c r="W17" s="10">
        <f>I17-'1. Rapport'!$C$27</f>
        <v>5.7299999999999995</v>
      </c>
      <c r="X17" s="10">
        <f>J17-'1. Rapport'!$C$28</f>
        <v>5.28</v>
      </c>
      <c r="Y17" s="10">
        <f>L17-'1. Rapport'!$C$30</f>
        <v>4.63</v>
      </c>
      <c r="Z17" s="10">
        <f>K17-'1. Rapport'!$C$29</f>
        <v>5.34</v>
      </c>
      <c r="AA17" s="8">
        <f t="shared" si="2"/>
        <v>2</v>
      </c>
      <c r="AB17" s="8">
        <f t="shared" si="3"/>
        <v>8</v>
      </c>
    </row>
    <row r="18" spans="1:28" x14ac:dyDescent="0.25">
      <c r="A18" s="8">
        <f t="shared" si="1"/>
        <v>14</v>
      </c>
      <c r="B18" s="46">
        <v>43606</v>
      </c>
      <c r="C18" s="47">
        <v>0.52523148148148147</v>
      </c>
      <c r="D18" s="48">
        <v>5.5</v>
      </c>
      <c r="E18" s="48">
        <v>5.94</v>
      </c>
      <c r="F18" s="48">
        <v>5.75</v>
      </c>
      <c r="G18" s="48">
        <v>5.56</v>
      </c>
      <c r="H18" s="48">
        <v>4.75</v>
      </c>
      <c r="I18" s="48">
        <v>5.69</v>
      </c>
      <c r="J18" s="48">
        <v>5.69</v>
      </c>
      <c r="K18" s="48">
        <v>5.69</v>
      </c>
      <c r="L18" s="48">
        <v>4.5599999999999996</v>
      </c>
      <c r="M18" s="48">
        <v>26.2</v>
      </c>
      <c r="N18" s="48">
        <v>33</v>
      </c>
      <c r="Q18" s="9">
        <f t="shared" si="0"/>
        <v>0.52523148148148147</v>
      </c>
      <c r="R18" s="10">
        <f>E18-'1. Rapport'!$C$23</f>
        <v>6.03</v>
      </c>
      <c r="S18" s="10">
        <f>F18-'1. Rapport'!$C$24</f>
        <v>5.73</v>
      </c>
      <c r="T18" s="10">
        <f>H18-'1. Rapport'!$C$26</f>
        <v>4.91</v>
      </c>
      <c r="U18" s="10">
        <f>G18-'1. Rapport'!$C$25</f>
        <v>5.5799999999999992</v>
      </c>
      <c r="V18" s="10">
        <f>D18-'1. Rapport'!$C$22</f>
        <v>5.58</v>
      </c>
      <c r="W18" s="10">
        <f>I18-'1. Rapport'!$C$27</f>
        <v>5.86</v>
      </c>
      <c r="X18" s="10">
        <f>J18-'1. Rapport'!$C$28</f>
        <v>5.4700000000000006</v>
      </c>
      <c r="Y18" s="10">
        <f>L18-'1. Rapport'!$C$30</f>
        <v>4.88</v>
      </c>
      <c r="Z18" s="10">
        <f>K18-'1. Rapport'!$C$29</f>
        <v>5.53</v>
      </c>
      <c r="AA18" s="8">
        <f t="shared" si="2"/>
        <v>2</v>
      </c>
      <c r="AB18" s="8">
        <f t="shared" si="3"/>
        <v>8</v>
      </c>
    </row>
    <row r="19" spans="1:28" x14ac:dyDescent="0.25">
      <c r="A19" s="8">
        <f t="shared" si="1"/>
        <v>15</v>
      </c>
      <c r="B19" s="46">
        <v>43606</v>
      </c>
      <c r="C19" s="47">
        <v>0.52592592592592591</v>
      </c>
      <c r="D19" s="48">
        <v>5.38</v>
      </c>
      <c r="E19" s="48">
        <v>5.94</v>
      </c>
      <c r="F19" s="48">
        <v>5.63</v>
      </c>
      <c r="G19" s="48">
        <v>5.38</v>
      </c>
      <c r="H19" s="48">
        <v>4.5599999999999996</v>
      </c>
      <c r="I19" s="48">
        <v>5.63</v>
      </c>
      <c r="J19" s="48">
        <v>5.38</v>
      </c>
      <c r="K19" s="48">
        <v>5.5</v>
      </c>
      <c r="L19" s="48">
        <v>3.81</v>
      </c>
      <c r="M19" s="48">
        <v>26.2</v>
      </c>
      <c r="N19" s="48">
        <v>33</v>
      </c>
      <c r="Q19" s="9">
        <f t="shared" si="0"/>
        <v>0.52592592592592591</v>
      </c>
      <c r="R19" s="10">
        <f>E19-'1. Rapport'!$C$23</f>
        <v>6.03</v>
      </c>
      <c r="S19" s="10">
        <f>F19-'1. Rapport'!$C$24</f>
        <v>5.61</v>
      </c>
      <c r="T19" s="10">
        <f>H19-'1. Rapport'!$C$26</f>
        <v>4.72</v>
      </c>
      <c r="U19" s="10">
        <f>G19-'1. Rapport'!$C$25</f>
        <v>5.3999999999999995</v>
      </c>
      <c r="V19" s="10">
        <f>D19-'1. Rapport'!$C$22</f>
        <v>5.46</v>
      </c>
      <c r="W19" s="10">
        <f>I19-'1. Rapport'!$C$27</f>
        <v>5.8</v>
      </c>
      <c r="X19" s="10">
        <f>J19-'1. Rapport'!$C$28</f>
        <v>5.16</v>
      </c>
      <c r="Y19" s="10">
        <f>L19-'1. Rapport'!$C$30</f>
        <v>4.13</v>
      </c>
      <c r="Z19" s="10">
        <f>K19-'1. Rapport'!$C$29</f>
        <v>5.34</v>
      </c>
      <c r="AA19" s="8">
        <f t="shared" si="2"/>
        <v>2</v>
      </c>
      <c r="AB19" s="8">
        <f t="shared" si="3"/>
        <v>8</v>
      </c>
    </row>
    <row r="20" spans="1:28" x14ac:dyDescent="0.25">
      <c r="A20" s="8">
        <f t="shared" si="1"/>
        <v>16</v>
      </c>
      <c r="B20" s="46">
        <v>43606</v>
      </c>
      <c r="C20" s="47">
        <v>0.52662037037037035</v>
      </c>
      <c r="D20" s="48">
        <v>4.9400000000000004</v>
      </c>
      <c r="E20" s="48">
        <v>5.69</v>
      </c>
      <c r="F20" s="48">
        <v>5.38</v>
      </c>
      <c r="G20" s="48">
        <v>4.88</v>
      </c>
      <c r="H20" s="48">
        <v>4.25</v>
      </c>
      <c r="I20" s="48">
        <v>5.31</v>
      </c>
      <c r="J20" s="48">
        <v>4.63</v>
      </c>
      <c r="K20" s="48">
        <v>5.19</v>
      </c>
      <c r="L20" s="48">
        <v>2.88</v>
      </c>
      <c r="M20" s="48">
        <v>26.2</v>
      </c>
      <c r="N20" s="48">
        <v>33</v>
      </c>
      <c r="Q20" s="9">
        <f t="shared" si="0"/>
        <v>0.52662037037037035</v>
      </c>
      <c r="R20" s="10">
        <f>E20-'1. Rapport'!$C$23</f>
        <v>5.78</v>
      </c>
      <c r="S20" s="10">
        <f>F20-'1. Rapport'!$C$24</f>
        <v>5.36</v>
      </c>
      <c r="T20" s="10">
        <f>H20-'1. Rapport'!$C$26</f>
        <v>4.41</v>
      </c>
      <c r="U20" s="10">
        <f>G20-'1. Rapport'!$C$25</f>
        <v>4.8999999999999995</v>
      </c>
      <c r="V20" s="10">
        <f>D20-'1. Rapport'!$C$22</f>
        <v>5.0200000000000005</v>
      </c>
      <c r="W20" s="10">
        <f>I20-'1. Rapport'!$C$27</f>
        <v>5.4799999999999995</v>
      </c>
      <c r="X20" s="10">
        <f>J20-'1. Rapport'!$C$28</f>
        <v>4.41</v>
      </c>
      <c r="Y20" s="10">
        <f>L20-'1. Rapport'!$C$30</f>
        <v>3.1999999999999997</v>
      </c>
      <c r="Z20" s="10">
        <f>K20-'1. Rapport'!$C$29</f>
        <v>5.03</v>
      </c>
      <c r="AA20" s="8">
        <f t="shared" si="2"/>
        <v>2</v>
      </c>
      <c r="AB20" s="8">
        <f t="shared" si="3"/>
        <v>8</v>
      </c>
    </row>
    <row r="21" spans="1:28" x14ac:dyDescent="0.25">
      <c r="A21" s="8">
        <f t="shared" si="1"/>
        <v>17</v>
      </c>
      <c r="B21" s="46">
        <v>43606</v>
      </c>
      <c r="C21" s="47">
        <v>0.52731481481481479</v>
      </c>
      <c r="D21" s="48">
        <v>4.63</v>
      </c>
      <c r="E21" s="48">
        <v>5.56</v>
      </c>
      <c r="F21" s="48">
        <v>5.19</v>
      </c>
      <c r="G21" s="48">
        <v>4.8099999999999996</v>
      </c>
      <c r="H21" s="48">
        <v>4.0599999999999996</v>
      </c>
      <c r="I21" s="48">
        <v>5.0599999999999996</v>
      </c>
      <c r="J21" s="48">
        <v>4.38</v>
      </c>
      <c r="K21" s="48">
        <v>5</v>
      </c>
      <c r="L21" s="48">
        <v>2.75</v>
      </c>
      <c r="M21" s="48">
        <v>26.1</v>
      </c>
      <c r="N21" s="48">
        <v>33</v>
      </c>
      <c r="Q21" s="9">
        <f t="shared" si="0"/>
        <v>0.52731481481481479</v>
      </c>
      <c r="R21" s="10">
        <f>E21-'1. Rapport'!$C$23</f>
        <v>5.6499999999999995</v>
      </c>
      <c r="S21" s="10">
        <f>F21-'1. Rapport'!$C$24</f>
        <v>5.1700000000000008</v>
      </c>
      <c r="T21" s="10">
        <f>H21-'1. Rapport'!$C$26</f>
        <v>4.22</v>
      </c>
      <c r="U21" s="10">
        <f>G21-'1. Rapport'!$C$25</f>
        <v>4.8299999999999992</v>
      </c>
      <c r="V21" s="10">
        <f>D21-'1. Rapport'!$C$22</f>
        <v>4.71</v>
      </c>
      <c r="W21" s="10">
        <f>I21-'1. Rapport'!$C$27</f>
        <v>5.2299999999999995</v>
      </c>
      <c r="X21" s="10">
        <f>J21-'1. Rapport'!$C$28</f>
        <v>4.16</v>
      </c>
      <c r="Y21" s="10">
        <f>L21-'1. Rapport'!$C$30</f>
        <v>3.07</v>
      </c>
      <c r="Z21" s="10">
        <f>K21-'1. Rapport'!$C$29</f>
        <v>4.84</v>
      </c>
      <c r="AA21" s="8">
        <f t="shared" si="2"/>
        <v>2</v>
      </c>
      <c r="AB21" s="8">
        <f t="shared" si="3"/>
        <v>8</v>
      </c>
    </row>
    <row r="22" spans="1:28" x14ac:dyDescent="0.25">
      <c r="A22" s="8">
        <f t="shared" si="1"/>
        <v>18</v>
      </c>
      <c r="B22" s="46">
        <v>43606</v>
      </c>
      <c r="C22" s="47">
        <v>0.52800925925925923</v>
      </c>
      <c r="D22" s="48">
        <v>4.6900000000000004</v>
      </c>
      <c r="E22" s="48">
        <v>5.5</v>
      </c>
      <c r="F22" s="48">
        <v>5.19</v>
      </c>
      <c r="G22" s="48">
        <v>4.88</v>
      </c>
      <c r="H22" s="48">
        <v>4.0599999999999996</v>
      </c>
      <c r="I22" s="48">
        <v>5.0599999999999996</v>
      </c>
      <c r="J22" s="48">
        <v>4.5599999999999996</v>
      </c>
      <c r="K22" s="48">
        <v>5</v>
      </c>
      <c r="L22" s="48">
        <v>3.06</v>
      </c>
      <c r="M22" s="48">
        <v>26.1</v>
      </c>
      <c r="N22" s="48">
        <v>33</v>
      </c>
      <c r="Q22" s="9">
        <f t="shared" si="0"/>
        <v>0.52800925925925923</v>
      </c>
      <c r="R22" s="10">
        <f>E22-'1. Rapport'!$C$23</f>
        <v>5.59</v>
      </c>
      <c r="S22" s="10">
        <f>F22-'1. Rapport'!$C$24</f>
        <v>5.1700000000000008</v>
      </c>
      <c r="T22" s="10">
        <f>H22-'1. Rapport'!$C$26</f>
        <v>4.22</v>
      </c>
      <c r="U22" s="10">
        <f>G22-'1. Rapport'!$C$25</f>
        <v>4.8999999999999995</v>
      </c>
      <c r="V22" s="10">
        <f>D22-'1. Rapport'!$C$22</f>
        <v>4.7700000000000005</v>
      </c>
      <c r="W22" s="10">
        <f>I22-'1. Rapport'!$C$27</f>
        <v>5.2299999999999995</v>
      </c>
      <c r="X22" s="10">
        <f>J22-'1. Rapport'!$C$28</f>
        <v>4.34</v>
      </c>
      <c r="Y22" s="10">
        <f>L22-'1. Rapport'!$C$30</f>
        <v>3.38</v>
      </c>
      <c r="Z22" s="10">
        <f>K22-'1. Rapport'!$C$29</f>
        <v>4.84</v>
      </c>
      <c r="AA22" s="8">
        <f t="shared" si="2"/>
        <v>2</v>
      </c>
      <c r="AB22" s="8">
        <f t="shared" si="3"/>
        <v>8</v>
      </c>
    </row>
    <row r="23" spans="1:28" x14ac:dyDescent="0.25">
      <c r="A23" s="8">
        <f t="shared" si="1"/>
        <v>19</v>
      </c>
      <c r="B23" s="46">
        <v>43606</v>
      </c>
      <c r="C23" s="47">
        <v>0.52870370370370368</v>
      </c>
      <c r="D23" s="48">
        <v>4.8099999999999996</v>
      </c>
      <c r="E23" s="48">
        <v>5.56</v>
      </c>
      <c r="F23" s="48">
        <v>5.25</v>
      </c>
      <c r="G23" s="48">
        <v>5</v>
      </c>
      <c r="H23" s="48">
        <v>4.13</v>
      </c>
      <c r="I23" s="48">
        <v>5.13</v>
      </c>
      <c r="J23" s="48">
        <v>4.8099999999999996</v>
      </c>
      <c r="K23" s="48">
        <v>5.13</v>
      </c>
      <c r="L23" s="48">
        <v>3.44</v>
      </c>
      <c r="M23" s="48">
        <v>26.1</v>
      </c>
      <c r="N23" s="48">
        <v>33</v>
      </c>
      <c r="Q23" s="9">
        <f t="shared" si="0"/>
        <v>0.52870370370370368</v>
      </c>
      <c r="R23" s="10">
        <f>E23-'1. Rapport'!$C$23</f>
        <v>5.6499999999999995</v>
      </c>
      <c r="S23" s="10">
        <f>F23-'1. Rapport'!$C$24</f>
        <v>5.23</v>
      </c>
      <c r="T23" s="10">
        <f>H23-'1. Rapport'!$C$26</f>
        <v>4.29</v>
      </c>
      <c r="U23" s="10">
        <f>G23-'1. Rapport'!$C$25</f>
        <v>5.0199999999999996</v>
      </c>
      <c r="V23" s="10">
        <f>D23-'1. Rapport'!$C$22</f>
        <v>4.8899999999999997</v>
      </c>
      <c r="W23" s="10">
        <f>I23-'1. Rapport'!$C$27</f>
        <v>5.3</v>
      </c>
      <c r="X23" s="10">
        <f>J23-'1. Rapport'!$C$28</f>
        <v>4.59</v>
      </c>
      <c r="Y23" s="10">
        <f>L23-'1. Rapport'!$C$30</f>
        <v>3.76</v>
      </c>
      <c r="Z23" s="10">
        <f>K23-'1. Rapport'!$C$29</f>
        <v>4.97</v>
      </c>
      <c r="AA23" s="8">
        <f t="shared" si="2"/>
        <v>2</v>
      </c>
      <c r="AB23" s="8">
        <f t="shared" si="3"/>
        <v>8</v>
      </c>
    </row>
    <row r="24" spans="1:28" x14ac:dyDescent="0.25">
      <c r="A24" s="8">
        <f t="shared" si="1"/>
        <v>20</v>
      </c>
      <c r="B24" s="46">
        <v>43606</v>
      </c>
      <c r="C24" s="47">
        <v>0.52939814814814812</v>
      </c>
      <c r="D24" s="48">
        <v>4.9400000000000004</v>
      </c>
      <c r="E24" s="48">
        <v>5.63</v>
      </c>
      <c r="F24" s="48">
        <v>5.38</v>
      </c>
      <c r="G24" s="48">
        <v>5.13</v>
      </c>
      <c r="H24" s="48">
        <v>4.25</v>
      </c>
      <c r="I24" s="48">
        <v>5.25</v>
      </c>
      <c r="J24" s="48">
        <v>5</v>
      </c>
      <c r="K24" s="48">
        <v>5.25</v>
      </c>
      <c r="L24" s="48">
        <v>3.75</v>
      </c>
      <c r="M24" s="48">
        <v>26.1</v>
      </c>
      <c r="N24" s="48">
        <v>33</v>
      </c>
      <c r="Q24" s="9">
        <f t="shared" si="0"/>
        <v>0.52939814814814812</v>
      </c>
      <c r="R24" s="10">
        <f>E24-'1. Rapport'!$C$23</f>
        <v>5.72</v>
      </c>
      <c r="S24" s="10">
        <f>F24-'1. Rapport'!$C$24</f>
        <v>5.36</v>
      </c>
      <c r="T24" s="10">
        <f>H24-'1. Rapport'!$C$26</f>
        <v>4.41</v>
      </c>
      <c r="U24" s="10">
        <f>G24-'1. Rapport'!$C$25</f>
        <v>5.1499999999999995</v>
      </c>
      <c r="V24" s="10">
        <f>D24-'1. Rapport'!$C$22</f>
        <v>5.0200000000000005</v>
      </c>
      <c r="W24" s="10">
        <f>I24-'1. Rapport'!$C$27</f>
        <v>5.42</v>
      </c>
      <c r="X24" s="10">
        <f>J24-'1. Rapport'!$C$28</f>
        <v>4.78</v>
      </c>
      <c r="Y24" s="10">
        <f>L24-'1. Rapport'!$C$30</f>
        <v>4.07</v>
      </c>
      <c r="Z24" s="10">
        <f>K24-'1. Rapport'!$C$29</f>
        <v>5.09</v>
      </c>
      <c r="AA24" s="8">
        <f t="shared" si="2"/>
        <v>2</v>
      </c>
      <c r="AB24" s="8">
        <f t="shared" si="3"/>
        <v>8</v>
      </c>
    </row>
    <row r="25" spans="1:28" x14ac:dyDescent="0.25">
      <c r="A25" s="8">
        <f t="shared" si="1"/>
        <v>21</v>
      </c>
      <c r="B25" s="46">
        <v>43606</v>
      </c>
      <c r="C25" s="47">
        <v>0.53009259259259256</v>
      </c>
      <c r="D25" s="48">
        <v>5.13</v>
      </c>
      <c r="E25" s="48">
        <v>5.69</v>
      </c>
      <c r="F25" s="48">
        <v>5.44</v>
      </c>
      <c r="G25" s="48">
        <v>5.25</v>
      </c>
      <c r="H25" s="48">
        <v>4.4400000000000004</v>
      </c>
      <c r="I25" s="48">
        <v>5.38</v>
      </c>
      <c r="J25" s="48">
        <v>5.25</v>
      </c>
      <c r="K25" s="48">
        <v>5.38</v>
      </c>
      <c r="L25" s="48">
        <v>4.0599999999999996</v>
      </c>
      <c r="M25" s="48">
        <v>26.1</v>
      </c>
      <c r="N25" s="48">
        <v>34</v>
      </c>
      <c r="Q25" s="9">
        <f t="shared" si="0"/>
        <v>0.53009259259259256</v>
      </c>
      <c r="R25" s="10">
        <f>E25-'1. Rapport'!$C$23</f>
        <v>5.78</v>
      </c>
      <c r="S25" s="10">
        <f>F25-'1. Rapport'!$C$24</f>
        <v>5.4200000000000008</v>
      </c>
      <c r="T25" s="10">
        <f>H25-'1. Rapport'!$C$26</f>
        <v>4.6000000000000005</v>
      </c>
      <c r="U25" s="10">
        <f>G25-'1. Rapport'!$C$25</f>
        <v>5.27</v>
      </c>
      <c r="V25" s="10">
        <f>D25-'1. Rapport'!$C$22</f>
        <v>5.21</v>
      </c>
      <c r="W25" s="10">
        <f>I25-'1. Rapport'!$C$27</f>
        <v>5.55</v>
      </c>
      <c r="X25" s="10">
        <f>J25-'1. Rapport'!$C$28</f>
        <v>5.03</v>
      </c>
      <c r="Y25" s="10">
        <f>L25-'1. Rapport'!$C$30</f>
        <v>4.38</v>
      </c>
      <c r="Z25" s="10">
        <f>K25-'1. Rapport'!$C$29</f>
        <v>5.22</v>
      </c>
      <c r="AA25" s="8">
        <f t="shared" si="2"/>
        <v>2</v>
      </c>
      <c r="AB25" s="8">
        <f t="shared" si="3"/>
        <v>8</v>
      </c>
    </row>
    <row r="26" spans="1:28" x14ac:dyDescent="0.25">
      <c r="A26" s="8">
        <f t="shared" si="1"/>
        <v>22</v>
      </c>
      <c r="B26" s="46">
        <v>43606</v>
      </c>
      <c r="C26" s="47">
        <v>0.530787037037037</v>
      </c>
      <c r="D26" s="48">
        <v>5.31</v>
      </c>
      <c r="E26" s="48">
        <v>5.75</v>
      </c>
      <c r="F26" s="48">
        <v>5.56</v>
      </c>
      <c r="G26" s="48">
        <v>5.44</v>
      </c>
      <c r="H26" s="48">
        <v>4.63</v>
      </c>
      <c r="I26" s="48">
        <v>5.5</v>
      </c>
      <c r="J26" s="48">
        <v>5.44</v>
      </c>
      <c r="K26" s="48">
        <v>5.5</v>
      </c>
      <c r="L26" s="48">
        <v>4.3099999999999996</v>
      </c>
      <c r="M26" s="48">
        <v>26.1</v>
      </c>
      <c r="N26" s="48">
        <v>34</v>
      </c>
      <c r="Q26" s="9">
        <f t="shared" si="0"/>
        <v>0.530787037037037</v>
      </c>
      <c r="R26" s="10">
        <f>E26-'1. Rapport'!$C$23</f>
        <v>5.84</v>
      </c>
      <c r="S26" s="10">
        <f>F26-'1. Rapport'!$C$24</f>
        <v>5.54</v>
      </c>
      <c r="T26" s="10">
        <f>H26-'1. Rapport'!$C$26</f>
        <v>4.79</v>
      </c>
      <c r="U26" s="10">
        <f>G26-'1. Rapport'!$C$25</f>
        <v>5.46</v>
      </c>
      <c r="V26" s="10">
        <f>D26-'1. Rapport'!$C$22</f>
        <v>5.39</v>
      </c>
      <c r="W26" s="10">
        <f>I26-'1. Rapport'!$C$27</f>
        <v>5.67</v>
      </c>
      <c r="X26" s="10">
        <f>J26-'1. Rapport'!$C$28</f>
        <v>5.2200000000000006</v>
      </c>
      <c r="Y26" s="10">
        <f>L26-'1. Rapport'!$C$30</f>
        <v>4.63</v>
      </c>
      <c r="Z26" s="10">
        <f>K26-'1. Rapport'!$C$29</f>
        <v>5.34</v>
      </c>
      <c r="AA26" s="8">
        <f t="shared" si="2"/>
        <v>2</v>
      </c>
      <c r="AB26" s="8">
        <f t="shared" si="3"/>
        <v>8</v>
      </c>
    </row>
    <row r="27" spans="1:28" x14ac:dyDescent="0.25">
      <c r="A27" s="8">
        <f t="shared" si="1"/>
        <v>23</v>
      </c>
      <c r="B27" s="46">
        <v>43606</v>
      </c>
      <c r="C27" s="47">
        <v>0.53148148148148155</v>
      </c>
      <c r="D27" s="48">
        <v>5.44</v>
      </c>
      <c r="E27" s="48">
        <v>5.88</v>
      </c>
      <c r="F27" s="48">
        <v>5.69</v>
      </c>
      <c r="G27" s="48">
        <v>5.56</v>
      </c>
      <c r="H27" s="48">
        <v>4.75</v>
      </c>
      <c r="I27" s="48">
        <v>5.63</v>
      </c>
      <c r="J27" s="48">
        <v>5.63</v>
      </c>
      <c r="K27" s="48">
        <v>5.69</v>
      </c>
      <c r="L27" s="48">
        <v>4.63</v>
      </c>
      <c r="M27" s="48">
        <v>26.1</v>
      </c>
      <c r="N27" s="48">
        <v>34</v>
      </c>
      <c r="Q27" s="9">
        <f t="shared" si="0"/>
        <v>0.53148148148148155</v>
      </c>
      <c r="R27" s="10">
        <f>E27-'1. Rapport'!$C$23</f>
        <v>5.97</v>
      </c>
      <c r="S27" s="10">
        <f>F27-'1. Rapport'!$C$24</f>
        <v>5.6700000000000008</v>
      </c>
      <c r="T27" s="10">
        <f>H27-'1. Rapport'!$C$26</f>
        <v>4.91</v>
      </c>
      <c r="U27" s="10">
        <f>G27-'1. Rapport'!$C$25</f>
        <v>5.5799999999999992</v>
      </c>
      <c r="V27" s="10">
        <f>D27-'1. Rapport'!$C$22</f>
        <v>5.5200000000000005</v>
      </c>
      <c r="W27" s="10">
        <f>I27-'1. Rapport'!$C$27</f>
        <v>5.8</v>
      </c>
      <c r="X27" s="10">
        <f>J27-'1. Rapport'!$C$28</f>
        <v>5.41</v>
      </c>
      <c r="Y27" s="10">
        <f>L27-'1. Rapport'!$C$30</f>
        <v>4.95</v>
      </c>
      <c r="Z27" s="10">
        <f>K27-'1. Rapport'!$C$29</f>
        <v>5.53</v>
      </c>
      <c r="AA27" s="8">
        <f t="shared" si="2"/>
        <v>2</v>
      </c>
      <c r="AB27" s="8">
        <f t="shared" si="3"/>
        <v>8</v>
      </c>
    </row>
    <row r="28" spans="1:28" x14ac:dyDescent="0.25">
      <c r="A28" s="8">
        <f t="shared" si="1"/>
        <v>24</v>
      </c>
      <c r="B28" s="46">
        <v>43606</v>
      </c>
      <c r="C28" s="47">
        <v>0.53217592592592589</v>
      </c>
      <c r="D28" s="48">
        <v>5.5</v>
      </c>
      <c r="E28" s="48">
        <v>5.94</v>
      </c>
      <c r="F28" s="48">
        <v>5.69</v>
      </c>
      <c r="G28" s="48">
        <v>5.44</v>
      </c>
      <c r="H28" s="48">
        <v>4.63</v>
      </c>
      <c r="I28" s="48">
        <v>5.69</v>
      </c>
      <c r="J28" s="48">
        <v>5.56</v>
      </c>
      <c r="K28" s="48">
        <v>5.63</v>
      </c>
      <c r="L28" s="48">
        <v>4.1900000000000004</v>
      </c>
      <c r="M28" s="48">
        <v>26.1</v>
      </c>
      <c r="N28" s="48">
        <v>33</v>
      </c>
      <c r="Q28" s="9">
        <f t="shared" si="0"/>
        <v>0.53217592592592589</v>
      </c>
      <c r="R28" s="10">
        <f>E28-'1. Rapport'!$C$23</f>
        <v>6.03</v>
      </c>
      <c r="S28" s="10">
        <f>F28-'1. Rapport'!$C$24</f>
        <v>5.6700000000000008</v>
      </c>
      <c r="T28" s="10">
        <f>H28-'1. Rapport'!$C$26</f>
        <v>4.79</v>
      </c>
      <c r="U28" s="10">
        <f>G28-'1. Rapport'!$C$25</f>
        <v>5.46</v>
      </c>
      <c r="V28" s="10">
        <f>D28-'1. Rapport'!$C$22</f>
        <v>5.58</v>
      </c>
      <c r="W28" s="10">
        <f>I28-'1. Rapport'!$C$27</f>
        <v>5.86</v>
      </c>
      <c r="X28" s="10">
        <f>J28-'1. Rapport'!$C$28</f>
        <v>5.34</v>
      </c>
      <c r="Y28" s="10">
        <f>L28-'1. Rapport'!$C$30</f>
        <v>4.5100000000000007</v>
      </c>
      <c r="Z28" s="10">
        <f>K28-'1. Rapport'!$C$29</f>
        <v>5.47</v>
      </c>
      <c r="AA28" s="8">
        <f t="shared" si="2"/>
        <v>2</v>
      </c>
      <c r="AB28" s="8">
        <f t="shared" si="3"/>
        <v>8</v>
      </c>
    </row>
    <row r="29" spans="1:28" x14ac:dyDescent="0.25">
      <c r="A29" s="8">
        <f t="shared" si="1"/>
        <v>25</v>
      </c>
      <c r="B29" s="46">
        <v>43606</v>
      </c>
      <c r="C29" s="47">
        <v>0.53287037037037044</v>
      </c>
      <c r="D29" s="48">
        <v>5.13</v>
      </c>
      <c r="E29" s="48">
        <v>5.75</v>
      </c>
      <c r="F29" s="48">
        <v>5.5</v>
      </c>
      <c r="G29" s="48">
        <v>5</v>
      </c>
      <c r="H29" s="48">
        <v>4.38</v>
      </c>
      <c r="I29" s="48">
        <v>5.44</v>
      </c>
      <c r="J29" s="48">
        <v>5</v>
      </c>
      <c r="K29" s="48">
        <v>5.38</v>
      </c>
      <c r="L29" s="48">
        <v>3.25</v>
      </c>
      <c r="M29" s="48">
        <v>26.1</v>
      </c>
      <c r="N29" s="48">
        <v>33</v>
      </c>
      <c r="Q29" s="9">
        <f t="shared" si="0"/>
        <v>0.53287037037037044</v>
      </c>
      <c r="R29" s="10">
        <f>E29-'1. Rapport'!$C$23</f>
        <v>5.84</v>
      </c>
      <c r="S29" s="10">
        <f>F29-'1. Rapport'!$C$24</f>
        <v>5.48</v>
      </c>
      <c r="T29" s="10">
        <f>H29-'1. Rapport'!$C$26</f>
        <v>4.54</v>
      </c>
      <c r="U29" s="10">
        <f>G29-'1. Rapport'!$C$25</f>
        <v>5.0199999999999996</v>
      </c>
      <c r="V29" s="10">
        <f>D29-'1. Rapport'!$C$22</f>
        <v>5.21</v>
      </c>
      <c r="W29" s="10">
        <f>I29-'1. Rapport'!$C$27</f>
        <v>5.61</v>
      </c>
      <c r="X29" s="10">
        <f>J29-'1. Rapport'!$C$28</f>
        <v>4.78</v>
      </c>
      <c r="Y29" s="10">
        <f>L29-'1. Rapport'!$C$30</f>
        <v>3.57</v>
      </c>
      <c r="Z29" s="10">
        <f>K29-'1. Rapport'!$C$29</f>
        <v>5.22</v>
      </c>
      <c r="AA29" s="8">
        <f t="shared" si="2"/>
        <v>2</v>
      </c>
      <c r="AB29" s="8">
        <f t="shared" si="3"/>
        <v>8</v>
      </c>
    </row>
    <row r="30" spans="1:28" x14ac:dyDescent="0.25">
      <c r="A30" s="8">
        <f t="shared" si="1"/>
        <v>26</v>
      </c>
      <c r="B30" s="46">
        <v>43606</v>
      </c>
      <c r="C30" s="47">
        <v>0.53356481481481477</v>
      </c>
      <c r="D30" s="48">
        <v>4.6900000000000004</v>
      </c>
      <c r="E30" s="48">
        <v>5.56</v>
      </c>
      <c r="F30" s="48">
        <v>5.25</v>
      </c>
      <c r="G30" s="48">
        <v>4.63</v>
      </c>
      <c r="H30" s="48">
        <v>4.13</v>
      </c>
      <c r="I30" s="48">
        <v>5.13</v>
      </c>
      <c r="J30" s="48">
        <v>4.4400000000000004</v>
      </c>
      <c r="K30" s="48">
        <v>5.13</v>
      </c>
      <c r="L30" s="48">
        <v>2.75</v>
      </c>
      <c r="M30" s="48">
        <v>26.1</v>
      </c>
      <c r="N30" s="48">
        <v>33</v>
      </c>
      <c r="Q30" s="9">
        <f t="shared" si="0"/>
        <v>0.53356481481481477</v>
      </c>
      <c r="R30" s="10">
        <f>E30-'1. Rapport'!$C$23</f>
        <v>5.6499999999999995</v>
      </c>
      <c r="S30" s="10">
        <f>F30-'1. Rapport'!$C$24</f>
        <v>5.23</v>
      </c>
      <c r="T30" s="10">
        <f>H30-'1. Rapport'!$C$26</f>
        <v>4.29</v>
      </c>
      <c r="U30" s="10">
        <f>G30-'1. Rapport'!$C$25</f>
        <v>4.6499999999999995</v>
      </c>
      <c r="V30" s="10">
        <f>D30-'1. Rapport'!$C$22</f>
        <v>4.7700000000000005</v>
      </c>
      <c r="W30" s="10">
        <f>I30-'1. Rapport'!$C$27</f>
        <v>5.3</v>
      </c>
      <c r="X30" s="10">
        <f>J30-'1. Rapport'!$C$28</f>
        <v>4.2200000000000006</v>
      </c>
      <c r="Y30" s="10">
        <f>L30-'1. Rapport'!$C$30</f>
        <v>3.07</v>
      </c>
      <c r="Z30" s="10">
        <f>K30-'1. Rapport'!$C$29</f>
        <v>4.97</v>
      </c>
      <c r="AA30" s="8">
        <f t="shared" si="2"/>
        <v>2</v>
      </c>
      <c r="AB30" s="8">
        <f t="shared" si="3"/>
        <v>8</v>
      </c>
    </row>
    <row r="31" spans="1:28" x14ac:dyDescent="0.25">
      <c r="A31" s="8">
        <f t="shared" si="1"/>
        <v>27</v>
      </c>
      <c r="B31" s="46">
        <v>43606</v>
      </c>
      <c r="C31" s="47">
        <v>0.53425925925925932</v>
      </c>
      <c r="D31" s="48">
        <v>4.63</v>
      </c>
      <c r="E31" s="48">
        <v>5.5</v>
      </c>
      <c r="F31" s="48">
        <v>5.19</v>
      </c>
      <c r="G31" s="48">
        <v>4.6900000000000004</v>
      </c>
      <c r="H31" s="48">
        <v>4.0599999999999996</v>
      </c>
      <c r="I31" s="48">
        <v>5.0599999999999996</v>
      </c>
      <c r="J31" s="48">
        <v>4.5</v>
      </c>
      <c r="K31" s="48">
        <v>5.0599999999999996</v>
      </c>
      <c r="L31" s="48">
        <v>3</v>
      </c>
      <c r="M31" s="48">
        <v>26.1</v>
      </c>
      <c r="N31" s="48">
        <v>34</v>
      </c>
      <c r="Q31" s="9">
        <f t="shared" si="0"/>
        <v>0.53425925925925932</v>
      </c>
      <c r="R31" s="10">
        <f>E31-'1. Rapport'!$C$23</f>
        <v>5.59</v>
      </c>
      <c r="S31" s="10">
        <f>F31-'1. Rapport'!$C$24</f>
        <v>5.1700000000000008</v>
      </c>
      <c r="T31" s="10">
        <f>H31-'1. Rapport'!$C$26</f>
        <v>4.22</v>
      </c>
      <c r="U31" s="10">
        <f>G31-'1. Rapport'!$C$25</f>
        <v>4.71</v>
      </c>
      <c r="V31" s="10">
        <f>D31-'1. Rapport'!$C$22</f>
        <v>4.71</v>
      </c>
      <c r="W31" s="10">
        <f>I31-'1. Rapport'!$C$27</f>
        <v>5.2299999999999995</v>
      </c>
      <c r="X31" s="10">
        <f>J31-'1. Rapport'!$C$28</f>
        <v>4.28</v>
      </c>
      <c r="Y31" s="10">
        <f>L31-'1. Rapport'!$C$30</f>
        <v>3.32</v>
      </c>
      <c r="Z31" s="10">
        <f>K31-'1. Rapport'!$C$29</f>
        <v>4.8999999999999995</v>
      </c>
      <c r="AA31" s="8">
        <f t="shared" si="2"/>
        <v>2</v>
      </c>
      <c r="AB31" s="8">
        <f t="shared" si="3"/>
        <v>8</v>
      </c>
    </row>
    <row r="32" spans="1:28" x14ac:dyDescent="0.25">
      <c r="A32" s="8">
        <f t="shared" si="1"/>
        <v>28</v>
      </c>
      <c r="B32" s="46">
        <v>43606</v>
      </c>
      <c r="C32" s="47">
        <v>0.53495370370370365</v>
      </c>
      <c r="D32" s="48">
        <v>4.75</v>
      </c>
      <c r="E32" s="48">
        <v>5.5</v>
      </c>
      <c r="F32" s="48">
        <v>5.19</v>
      </c>
      <c r="G32" s="48">
        <v>4.8099999999999996</v>
      </c>
      <c r="H32" s="48">
        <v>4.13</v>
      </c>
      <c r="I32" s="48">
        <v>5.13</v>
      </c>
      <c r="J32" s="48">
        <v>4.6900000000000004</v>
      </c>
      <c r="K32" s="48">
        <v>5.13</v>
      </c>
      <c r="L32" s="48">
        <v>3.31</v>
      </c>
      <c r="M32" s="48">
        <v>26.1</v>
      </c>
      <c r="N32" s="48">
        <v>34</v>
      </c>
      <c r="Q32" s="9">
        <f t="shared" si="0"/>
        <v>0.53495370370370365</v>
      </c>
      <c r="R32" s="10">
        <f>E32-'1. Rapport'!$C$23</f>
        <v>5.59</v>
      </c>
      <c r="S32" s="10">
        <f>F32-'1. Rapport'!$C$24</f>
        <v>5.1700000000000008</v>
      </c>
      <c r="T32" s="10">
        <f>H32-'1. Rapport'!$C$26</f>
        <v>4.29</v>
      </c>
      <c r="U32" s="10">
        <f>G32-'1. Rapport'!$C$25</f>
        <v>4.8299999999999992</v>
      </c>
      <c r="V32" s="10">
        <f>D32-'1. Rapport'!$C$22</f>
        <v>4.83</v>
      </c>
      <c r="W32" s="10">
        <f>I32-'1. Rapport'!$C$27</f>
        <v>5.3</v>
      </c>
      <c r="X32" s="10">
        <f>J32-'1. Rapport'!$C$28</f>
        <v>4.4700000000000006</v>
      </c>
      <c r="Y32" s="10">
        <f>L32-'1. Rapport'!$C$30</f>
        <v>3.63</v>
      </c>
      <c r="Z32" s="10">
        <f>K32-'1. Rapport'!$C$29</f>
        <v>4.97</v>
      </c>
      <c r="AA32" s="8">
        <f t="shared" si="2"/>
        <v>2</v>
      </c>
      <c r="AB32" s="8">
        <f t="shared" si="3"/>
        <v>8</v>
      </c>
    </row>
    <row r="33" spans="1:28" x14ac:dyDescent="0.25">
      <c r="A33" s="8">
        <f t="shared" si="1"/>
        <v>29</v>
      </c>
      <c r="B33" s="46">
        <v>43606</v>
      </c>
      <c r="C33" s="47">
        <v>0.53564814814814821</v>
      </c>
      <c r="D33" s="48">
        <v>4.88</v>
      </c>
      <c r="E33" s="48">
        <v>5.56</v>
      </c>
      <c r="F33" s="48">
        <v>5.31</v>
      </c>
      <c r="G33" s="48">
        <v>4.88</v>
      </c>
      <c r="H33" s="48">
        <v>4.25</v>
      </c>
      <c r="I33" s="48">
        <v>5.19</v>
      </c>
      <c r="J33" s="48">
        <v>4.9400000000000004</v>
      </c>
      <c r="K33" s="48">
        <v>5.19</v>
      </c>
      <c r="L33" s="48">
        <v>3.63</v>
      </c>
      <c r="M33" s="48">
        <v>26.1</v>
      </c>
      <c r="N33" s="48">
        <v>34</v>
      </c>
      <c r="Q33" s="9">
        <f t="shared" si="0"/>
        <v>0.53564814814814821</v>
      </c>
      <c r="R33" s="10">
        <f>E33-'1. Rapport'!$C$23</f>
        <v>5.6499999999999995</v>
      </c>
      <c r="S33" s="10">
        <f>F33-'1. Rapport'!$C$24</f>
        <v>5.29</v>
      </c>
      <c r="T33" s="10">
        <f>H33-'1. Rapport'!$C$26</f>
        <v>4.41</v>
      </c>
      <c r="U33" s="10">
        <f>G33-'1. Rapport'!$C$25</f>
        <v>4.8999999999999995</v>
      </c>
      <c r="V33" s="10">
        <f>D33-'1. Rapport'!$C$22</f>
        <v>4.96</v>
      </c>
      <c r="W33" s="10">
        <f>I33-'1. Rapport'!$C$27</f>
        <v>5.36</v>
      </c>
      <c r="X33" s="10">
        <f>J33-'1. Rapport'!$C$28</f>
        <v>4.7200000000000006</v>
      </c>
      <c r="Y33" s="10">
        <f>L33-'1. Rapport'!$C$30</f>
        <v>3.9499999999999997</v>
      </c>
      <c r="Z33" s="10">
        <f>K33-'1. Rapport'!$C$29</f>
        <v>5.03</v>
      </c>
      <c r="AA33" s="8">
        <f t="shared" si="2"/>
        <v>2</v>
      </c>
      <c r="AB33" s="8">
        <f t="shared" si="3"/>
        <v>8</v>
      </c>
    </row>
    <row r="34" spans="1:28" x14ac:dyDescent="0.25">
      <c r="A34" s="8">
        <f t="shared" si="1"/>
        <v>30</v>
      </c>
      <c r="B34" s="46">
        <v>43606</v>
      </c>
      <c r="C34" s="47">
        <v>0.53634259259259254</v>
      </c>
      <c r="D34" s="48">
        <v>5.0599999999999996</v>
      </c>
      <c r="E34" s="48">
        <v>5.63</v>
      </c>
      <c r="F34" s="48">
        <v>5.38</v>
      </c>
      <c r="G34" s="48">
        <v>5.0599999999999996</v>
      </c>
      <c r="H34" s="48">
        <v>4.38</v>
      </c>
      <c r="I34" s="48">
        <v>5.31</v>
      </c>
      <c r="J34" s="48">
        <v>5.13</v>
      </c>
      <c r="K34" s="48">
        <v>5.31</v>
      </c>
      <c r="L34" s="48">
        <v>3.94</v>
      </c>
      <c r="M34" s="48">
        <v>26.1</v>
      </c>
      <c r="N34" s="48">
        <v>34</v>
      </c>
      <c r="Q34" s="9">
        <f t="shared" si="0"/>
        <v>0.53634259259259254</v>
      </c>
      <c r="R34" s="10">
        <f>E34-'1. Rapport'!$C$23</f>
        <v>5.72</v>
      </c>
      <c r="S34" s="10">
        <f>F34-'1. Rapport'!$C$24</f>
        <v>5.36</v>
      </c>
      <c r="T34" s="10">
        <f>H34-'1. Rapport'!$C$26</f>
        <v>4.54</v>
      </c>
      <c r="U34" s="10">
        <f>G34-'1. Rapport'!$C$25</f>
        <v>5.0799999999999992</v>
      </c>
      <c r="V34" s="10">
        <f>D34-'1. Rapport'!$C$22</f>
        <v>5.14</v>
      </c>
      <c r="W34" s="10">
        <f>I34-'1. Rapport'!$C$27</f>
        <v>5.4799999999999995</v>
      </c>
      <c r="X34" s="10">
        <f>J34-'1. Rapport'!$C$28</f>
        <v>4.91</v>
      </c>
      <c r="Y34" s="10">
        <f>L34-'1. Rapport'!$C$30</f>
        <v>4.26</v>
      </c>
      <c r="Z34" s="10">
        <f>K34-'1. Rapport'!$C$29</f>
        <v>5.1499999999999995</v>
      </c>
      <c r="AA34" s="8">
        <f t="shared" si="2"/>
        <v>2</v>
      </c>
      <c r="AB34" s="8">
        <f t="shared" si="3"/>
        <v>8</v>
      </c>
    </row>
    <row r="35" spans="1:28" x14ac:dyDescent="0.25">
      <c r="A35" s="8">
        <f t="shared" si="1"/>
        <v>31</v>
      </c>
      <c r="B35" s="46">
        <v>43606</v>
      </c>
      <c r="C35" s="47">
        <v>0.53703703703703709</v>
      </c>
      <c r="D35" s="48">
        <v>5.19</v>
      </c>
      <c r="E35" s="48">
        <v>5.69</v>
      </c>
      <c r="F35" s="48">
        <v>5.5</v>
      </c>
      <c r="G35" s="48">
        <v>5.19</v>
      </c>
      <c r="H35" s="48">
        <v>4.5</v>
      </c>
      <c r="I35" s="48">
        <v>5.44</v>
      </c>
      <c r="J35" s="48">
        <v>5.38</v>
      </c>
      <c r="K35" s="48">
        <v>5.44</v>
      </c>
      <c r="L35" s="48">
        <v>4.1900000000000004</v>
      </c>
      <c r="M35" s="48">
        <v>26.1</v>
      </c>
      <c r="N35" s="48">
        <v>34</v>
      </c>
      <c r="Q35" s="9">
        <f t="shared" si="0"/>
        <v>0.53703703703703709</v>
      </c>
      <c r="R35" s="10">
        <f>E35-'1. Rapport'!$C$23</f>
        <v>5.78</v>
      </c>
      <c r="S35" s="10">
        <f>F35-'1. Rapport'!$C$24</f>
        <v>5.48</v>
      </c>
      <c r="T35" s="10">
        <f>H35-'1. Rapport'!$C$26</f>
        <v>4.66</v>
      </c>
      <c r="U35" s="10">
        <f>G35-'1. Rapport'!$C$25</f>
        <v>5.21</v>
      </c>
      <c r="V35" s="10">
        <f>D35-'1. Rapport'!$C$22</f>
        <v>5.2700000000000005</v>
      </c>
      <c r="W35" s="10">
        <f>I35-'1. Rapport'!$C$27</f>
        <v>5.61</v>
      </c>
      <c r="X35" s="10">
        <f>J35-'1. Rapport'!$C$28</f>
        <v>5.16</v>
      </c>
      <c r="Y35" s="10">
        <f>L35-'1. Rapport'!$C$30</f>
        <v>4.5100000000000007</v>
      </c>
      <c r="Z35" s="10">
        <f>K35-'1. Rapport'!$C$29</f>
        <v>5.28</v>
      </c>
      <c r="AA35" s="8">
        <f t="shared" si="2"/>
        <v>2</v>
      </c>
      <c r="AB35" s="8">
        <f t="shared" si="3"/>
        <v>8</v>
      </c>
    </row>
    <row r="36" spans="1:28" x14ac:dyDescent="0.25">
      <c r="A36" s="8">
        <f t="shared" si="1"/>
        <v>32</v>
      </c>
      <c r="B36" s="46">
        <v>43606</v>
      </c>
      <c r="C36" s="47">
        <v>0.53773148148148142</v>
      </c>
      <c r="D36" s="48">
        <v>5.38</v>
      </c>
      <c r="E36" s="48">
        <v>5.81</v>
      </c>
      <c r="F36" s="48">
        <v>5.63</v>
      </c>
      <c r="G36" s="48">
        <v>5.38</v>
      </c>
      <c r="H36" s="48">
        <v>4.6900000000000004</v>
      </c>
      <c r="I36" s="48">
        <v>5.56</v>
      </c>
      <c r="J36" s="48">
        <v>5.56</v>
      </c>
      <c r="K36" s="48">
        <v>5.56</v>
      </c>
      <c r="L36" s="48">
        <v>4.4400000000000004</v>
      </c>
      <c r="M36" s="48">
        <v>26.1</v>
      </c>
      <c r="N36" s="48">
        <v>34</v>
      </c>
      <c r="Q36" s="9">
        <f t="shared" si="0"/>
        <v>0.53773148148148142</v>
      </c>
      <c r="R36" s="10">
        <f>E36-'1. Rapport'!$C$23</f>
        <v>5.8999999999999995</v>
      </c>
      <c r="S36" s="10">
        <f>F36-'1. Rapport'!$C$24</f>
        <v>5.61</v>
      </c>
      <c r="T36" s="10">
        <f>H36-'1. Rapport'!$C$26</f>
        <v>4.8500000000000005</v>
      </c>
      <c r="U36" s="10">
        <f>G36-'1. Rapport'!$C$25</f>
        <v>5.3999999999999995</v>
      </c>
      <c r="V36" s="10">
        <f>D36-'1. Rapport'!$C$22</f>
        <v>5.46</v>
      </c>
      <c r="W36" s="10">
        <f>I36-'1. Rapport'!$C$27</f>
        <v>5.7299999999999995</v>
      </c>
      <c r="X36" s="10">
        <f>J36-'1. Rapport'!$C$28</f>
        <v>5.34</v>
      </c>
      <c r="Y36" s="10">
        <f>L36-'1. Rapport'!$C$30</f>
        <v>4.7600000000000007</v>
      </c>
      <c r="Z36" s="10">
        <f>K36-'1. Rapport'!$C$29</f>
        <v>5.3999999999999995</v>
      </c>
      <c r="AA36" s="8">
        <f t="shared" si="2"/>
        <v>2</v>
      </c>
      <c r="AB36" s="8">
        <f t="shared" si="3"/>
        <v>8</v>
      </c>
    </row>
    <row r="37" spans="1:28" x14ac:dyDescent="0.25">
      <c r="A37" s="8">
        <f t="shared" si="1"/>
        <v>33</v>
      </c>
      <c r="B37" s="46">
        <v>43606</v>
      </c>
      <c r="C37" s="47">
        <v>0.53842592592592597</v>
      </c>
      <c r="D37" s="48">
        <v>5.56</v>
      </c>
      <c r="E37" s="48">
        <v>5.88</v>
      </c>
      <c r="F37" s="48">
        <v>5.75</v>
      </c>
      <c r="G37" s="48">
        <v>5.5</v>
      </c>
      <c r="H37" s="48">
        <v>4.8099999999999996</v>
      </c>
      <c r="I37" s="48">
        <v>5.69</v>
      </c>
      <c r="J37" s="48">
        <v>5.69</v>
      </c>
      <c r="K37" s="48">
        <v>5.69</v>
      </c>
      <c r="L37" s="48">
        <v>4.63</v>
      </c>
      <c r="M37" s="48">
        <v>26.1</v>
      </c>
      <c r="N37" s="48">
        <v>34</v>
      </c>
      <c r="Q37" s="9">
        <f t="shared" si="0"/>
        <v>0.53842592592592597</v>
      </c>
      <c r="R37" s="10">
        <f>E37-'1. Rapport'!$C$23</f>
        <v>5.97</v>
      </c>
      <c r="S37" s="10">
        <f>F37-'1. Rapport'!$C$24</f>
        <v>5.73</v>
      </c>
      <c r="T37" s="10">
        <f>H37-'1. Rapport'!$C$26</f>
        <v>4.97</v>
      </c>
      <c r="U37" s="10">
        <f>G37-'1. Rapport'!$C$25</f>
        <v>5.52</v>
      </c>
      <c r="V37" s="10">
        <f>D37-'1. Rapport'!$C$22</f>
        <v>5.64</v>
      </c>
      <c r="W37" s="10">
        <f>I37-'1. Rapport'!$C$27</f>
        <v>5.86</v>
      </c>
      <c r="X37" s="10">
        <f>J37-'1. Rapport'!$C$28</f>
        <v>5.4700000000000006</v>
      </c>
      <c r="Y37" s="10">
        <f>L37-'1. Rapport'!$C$30</f>
        <v>4.95</v>
      </c>
      <c r="Z37" s="10">
        <f>K37-'1. Rapport'!$C$29</f>
        <v>5.53</v>
      </c>
      <c r="AA37" s="8">
        <f t="shared" si="2"/>
        <v>2</v>
      </c>
      <c r="AB37" s="8">
        <f t="shared" si="3"/>
        <v>8</v>
      </c>
    </row>
    <row r="38" spans="1:28" x14ac:dyDescent="0.25">
      <c r="A38" s="8">
        <f t="shared" si="1"/>
        <v>34</v>
      </c>
      <c r="B38" s="46">
        <v>43606</v>
      </c>
      <c r="C38" s="47">
        <v>0.53912037037037031</v>
      </c>
      <c r="D38" s="48">
        <v>5.38</v>
      </c>
      <c r="E38" s="48">
        <v>5.88</v>
      </c>
      <c r="F38" s="48">
        <v>5.63</v>
      </c>
      <c r="G38" s="48">
        <v>5.19</v>
      </c>
      <c r="H38" s="48">
        <v>4.5599999999999996</v>
      </c>
      <c r="I38" s="48">
        <v>5.63</v>
      </c>
      <c r="J38" s="48">
        <v>5.38</v>
      </c>
      <c r="K38" s="48">
        <v>5.56</v>
      </c>
      <c r="L38" s="48">
        <v>3.81</v>
      </c>
      <c r="M38" s="48">
        <v>26.1</v>
      </c>
      <c r="N38" s="48">
        <v>34</v>
      </c>
      <c r="Q38" s="9">
        <f t="shared" si="0"/>
        <v>0.53912037037037031</v>
      </c>
      <c r="R38" s="10">
        <f>E38-'1. Rapport'!$C$23</f>
        <v>5.97</v>
      </c>
      <c r="S38" s="10">
        <f>F38-'1. Rapport'!$C$24</f>
        <v>5.61</v>
      </c>
      <c r="T38" s="10">
        <f>H38-'1. Rapport'!$C$26</f>
        <v>4.72</v>
      </c>
      <c r="U38" s="10">
        <f>G38-'1. Rapport'!$C$25</f>
        <v>5.21</v>
      </c>
      <c r="V38" s="10">
        <f>D38-'1. Rapport'!$C$22</f>
        <v>5.46</v>
      </c>
      <c r="W38" s="10">
        <f>I38-'1. Rapport'!$C$27</f>
        <v>5.8</v>
      </c>
      <c r="X38" s="10">
        <f>J38-'1. Rapport'!$C$28</f>
        <v>5.16</v>
      </c>
      <c r="Y38" s="10">
        <f>L38-'1. Rapport'!$C$30</f>
        <v>4.13</v>
      </c>
      <c r="Z38" s="10">
        <f>K38-'1. Rapport'!$C$29</f>
        <v>5.3999999999999995</v>
      </c>
      <c r="AA38" s="8">
        <f t="shared" si="2"/>
        <v>2</v>
      </c>
      <c r="AB38" s="8">
        <f t="shared" si="3"/>
        <v>8</v>
      </c>
    </row>
    <row r="39" spans="1:28" x14ac:dyDescent="0.25">
      <c r="A39" s="8">
        <f t="shared" si="1"/>
        <v>35</v>
      </c>
      <c r="B39" s="46">
        <v>43606</v>
      </c>
      <c r="C39" s="47">
        <v>0.53981481481481486</v>
      </c>
      <c r="D39" s="48">
        <v>4.88</v>
      </c>
      <c r="E39" s="48">
        <v>5.69</v>
      </c>
      <c r="F39" s="48">
        <v>5.31</v>
      </c>
      <c r="G39" s="48">
        <v>4.6900000000000004</v>
      </c>
      <c r="H39" s="48">
        <v>4.25</v>
      </c>
      <c r="I39" s="48">
        <v>5.25</v>
      </c>
      <c r="J39" s="48">
        <v>4.63</v>
      </c>
      <c r="K39" s="48">
        <v>5.25</v>
      </c>
      <c r="L39" s="48">
        <v>2.94</v>
      </c>
      <c r="M39" s="48">
        <v>26.1</v>
      </c>
      <c r="N39" s="48">
        <v>34</v>
      </c>
      <c r="Q39" s="9">
        <f t="shared" si="0"/>
        <v>0.53981481481481486</v>
      </c>
      <c r="R39" s="10">
        <f>E39-'1. Rapport'!$C$23</f>
        <v>5.78</v>
      </c>
      <c r="S39" s="10">
        <f>F39-'1. Rapport'!$C$24</f>
        <v>5.29</v>
      </c>
      <c r="T39" s="10">
        <f>H39-'1. Rapport'!$C$26</f>
        <v>4.41</v>
      </c>
      <c r="U39" s="10">
        <f>G39-'1. Rapport'!$C$25</f>
        <v>4.71</v>
      </c>
      <c r="V39" s="10">
        <f>D39-'1. Rapport'!$C$22</f>
        <v>4.96</v>
      </c>
      <c r="W39" s="10">
        <f>I39-'1. Rapport'!$C$27</f>
        <v>5.42</v>
      </c>
      <c r="X39" s="10">
        <f>J39-'1. Rapport'!$C$28</f>
        <v>4.41</v>
      </c>
      <c r="Y39" s="10">
        <f>L39-'1. Rapport'!$C$30</f>
        <v>3.26</v>
      </c>
      <c r="Z39" s="10">
        <f>K39-'1. Rapport'!$C$29</f>
        <v>5.09</v>
      </c>
      <c r="AA39" s="8">
        <f t="shared" si="2"/>
        <v>2</v>
      </c>
      <c r="AB39" s="8">
        <f t="shared" si="3"/>
        <v>8</v>
      </c>
    </row>
    <row r="40" spans="1:28" x14ac:dyDescent="0.25">
      <c r="A40" s="8">
        <f t="shared" si="1"/>
        <v>36</v>
      </c>
      <c r="B40" s="46">
        <v>43606</v>
      </c>
      <c r="C40" s="47">
        <v>0.54050925925925919</v>
      </c>
      <c r="D40" s="48">
        <v>4.63</v>
      </c>
      <c r="E40" s="48">
        <v>5.5</v>
      </c>
      <c r="F40" s="48">
        <v>5.19</v>
      </c>
      <c r="G40" s="48">
        <v>4.63</v>
      </c>
      <c r="H40" s="48">
        <v>4.0599999999999996</v>
      </c>
      <c r="I40" s="48">
        <v>5.0599999999999996</v>
      </c>
      <c r="J40" s="48">
        <v>4.4400000000000004</v>
      </c>
      <c r="K40" s="48">
        <v>5.0599999999999996</v>
      </c>
      <c r="L40" s="48">
        <v>2.88</v>
      </c>
      <c r="M40" s="48">
        <v>26.1</v>
      </c>
      <c r="N40" s="48">
        <v>34</v>
      </c>
      <c r="Q40" s="9">
        <f t="shared" si="0"/>
        <v>0.54050925925925919</v>
      </c>
      <c r="R40" s="10">
        <f>E40-'1. Rapport'!$C$23</f>
        <v>5.59</v>
      </c>
      <c r="S40" s="10">
        <f>F40-'1. Rapport'!$C$24</f>
        <v>5.1700000000000008</v>
      </c>
      <c r="T40" s="10">
        <f>H40-'1. Rapport'!$C$26</f>
        <v>4.22</v>
      </c>
      <c r="U40" s="10">
        <f>G40-'1. Rapport'!$C$25</f>
        <v>4.6499999999999995</v>
      </c>
      <c r="V40" s="10">
        <f>D40-'1. Rapport'!$C$22</f>
        <v>4.71</v>
      </c>
      <c r="W40" s="10">
        <f>I40-'1. Rapport'!$C$27</f>
        <v>5.2299999999999995</v>
      </c>
      <c r="X40" s="10">
        <f>J40-'1. Rapport'!$C$28</f>
        <v>4.2200000000000006</v>
      </c>
      <c r="Y40" s="10">
        <f>L40-'1. Rapport'!$C$30</f>
        <v>3.1999999999999997</v>
      </c>
      <c r="Z40" s="10">
        <f>K40-'1. Rapport'!$C$29</f>
        <v>4.8999999999999995</v>
      </c>
      <c r="AA40" s="8">
        <f t="shared" si="2"/>
        <v>2</v>
      </c>
      <c r="AB40" s="8">
        <f t="shared" si="3"/>
        <v>8</v>
      </c>
    </row>
    <row r="41" spans="1:28" x14ac:dyDescent="0.25">
      <c r="A41" s="8">
        <f t="shared" si="1"/>
        <v>37</v>
      </c>
      <c r="B41" s="46">
        <v>43606</v>
      </c>
      <c r="C41" s="47">
        <v>0.54120370370370374</v>
      </c>
      <c r="D41" s="48">
        <v>4.6900000000000004</v>
      </c>
      <c r="E41" s="48">
        <v>5.5</v>
      </c>
      <c r="F41" s="48">
        <v>5.19</v>
      </c>
      <c r="G41" s="48">
        <v>4.75</v>
      </c>
      <c r="H41" s="48">
        <v>4.13</v>
      </c>
      <c r="I41" s="48">
        <v>5.0599999999999996</v>
      </c>
      <c r="J41" s="48">
        <v>4.63</v>
      </c>
      <c r="K41" s="48">
        <v>5.0599999999999996</v>
      </c>
      <c r="L41" s="48">
        <v>3.19</v>
      </c>
      <c r="M41" s="48">
        <v>26.1</v>
      </c>
      <c r="N41" s="48">
        <v>34</v>
      </c>
      <c r="Q41" s="9">
        <f t="shared" si="0"/>
        <v>0.54120370370370374</v>
      </c>
      <c r="R41" s="10">
        <f>E41-'1. Rapport'!$C$23</f>
        <v>5.59</v>
      </c>
      <c r="S41" s="10">
        <f>F41-'1. Rapport'!$C$24</f>
        <v>5.1700000000000008</v>
      </c>
      <c r="T41" s="10">
        <f>H41-'1. Rapport'!$C$26</f>
        <v>4.29</v>
      </c>
      <c r="U41" s="10">
        <f>G41-'1. Rapport'!$C$25</f>
        <v>4.7699999999999996</v>
      </c>
      <c r="V41" s="10">
        <f>D41-'1. Rapport'!$C$22</f>
        <v>4.7700000000000005</v>
      </c>
      <c r="W41" s="10">
        <f>I41-'1. Rapport'!$C$27</f>
        <v>5.2299999999999995</v>
      </c>
      <c r="X41" s="10">
        <f>J41-'1. Rapport'!$C$28</f>
        <v>4.41</v>
      </c>
      <c r="Y41" s="10">
        <f>L41-'1. Rapport'!$C$30</f>
        <v>3.51</v>
      </c>
      <c r="Z41" s="10">
        <f>K41-'1. Rapport'!$C$29</f>
        <v>4.8999999999999995</v>
      </c>
      <c r="AA41" s="8">
        <f t="shared" si="2"/>
        <v>2</v>
      </c>
      <c r="AB41" s="8">
        <f t="shared" si="3"/>
        <v>8</v>
      </c>
    </row>
    <row r="42" spans="1:28" x14ac:dyDescent="0.25">
      <c r="A42" s="8">
        <f t="shared" si="1"/>
        <v>38</v>
      </c>
      <c r="B42" s="46">
        <v>43606</v>
      </c>
      <c r="C42" s="47">
        <v>0.54189814814814818</v>
      </c>
      <c r="D42" s="48">
        <v>4.8099999999999996</v>
      </c>
      <c r="E42" s="48">
        <v>5.56</v>
      </c>
      <c r="F42" s="48">
        <v>5.25</v>
      </c>
      <c r="G42" s="48">
        <v>4.88</v>
      </c>
      <c r="H42" s="48">
        <v>4.1900000000000004</v>
      </c>
      <c r="I42" s="48">
        <v>5.13</v>
      </c>
      <c r="J42" s="48">
        <v>4.8099999999999996</v>
      </c>
      <c r="K42" s="48">
        <v>5.19</v>
      </c>
      <c r="L42" s="48">
        <v>3.5</v>
      </c>
      <c r="M42" s="48">
        <v>26.1</v>
      </c>
      <c r="N42" s="48">
        <v>34</v>
      </c>
      <c r="Q42" s="9">
        <f t="shared" si="0"/>
        <v>0.54189814814814818</v>
      </c>
      <c r="R42" s="10">
        <f>E42-'1. Rapport'!$C$23</f>
        <v>5.6499999999999995</v>
      </c>
      <c r="S42" s="10">
        <f>F42-'1. Rapport'!$C$24</f>
        <v>5.23</v>
      </c>
      <c r="T42" s="10">
        <f>H42-'1. Rapport'!$C$26</f>
        <v>4.3500000000000005</v>
      </c>
      <c r="U42" s="10">
        <f>G42-'1. Rapport'!$C$25</f>
        <v>4.8999999999999995</v>
      </c>
      <c r="V42" s="10">
        <f>D42-'1. Rapport'!$C$22</f>
        <v>4.8899999999999997</v>
      </c>
      <c r="W42" s="10">
        <f>I42-'1. Rapport'!$C$27</f>
        <v>5.3</v>
      </c>
      <c r="X42" s="10">
        <f>J42-'1. Rapport'!$C$28</f>
        <v>4.59</v>
      </c>
      <c r="Y42" s="10">
        <f>L42-'1. Rapport'!$C$30</f>
        <v>3.82</v>
      </c>
      <c r="Z42" s="10">
        <f>K42-'1. Rapport'!$C$29</f>
        <v>5.03</v>
      </c>
      <c r="AA42" s="8">
        <f t="shared" si="2"/>
        <v>2</v>
      </c>
      <c r="AB42" s="8">
        <f t="shared" si="3"/>
        <v>8</v>
      </c>
    </row>
    <row r="43" spans="1:28" x14ac:dyDescent="0.25">
      <c r="A43" s="8">
        <f t="shared" si="1"/>
        <v>39</v>
      </c>
      <c r="B43" s="46">
        <v>43606</v>
      </c>
      <c r="C43" s="47">
        <v>0.54259259259259263</v>
      </c>
      <c r="D43" s="48">
        <v>5</v>
      </c>
      <c r="E43" s="48">
        <v>5.56</v>
      </c>
      <c r="F43" s="48">
        <v>5.31</v>
      </c>
      <c r="G43" s="48">
        <v>5</v>
      </c>
      <c r="H43" s="48">
        <v>4.3099999999999996</v>
      </c>
      <c r="I43" s="48">
        <v>5.25</v>
      </c>
      <c r="J43" s="48">
        <v>5.0599999999999996</v>
      </c>
      <c r="K43" s="48">
        <v>5.25</v>
      </c>
      <c r="L43" s="48">
        <v>3.81</v>
      </c>
      <c r="M43" s="48">
        <v>26.1</v>
      </c>
      <c r="N43" s="48">
        <v>34</v>
      </c>
      <c r="Q43" s="9">
        <f t="shared" si="0"/>
        <v>0.54259259259259263</v>
      </c>
      <c r="R43" s="10">
        <f>E43-'1. Rapport'!$C$23</f>
        <v>5.6499999999999995</v>
      </c>
      <c r="S43" s="10">
        <f>F43-'1. Rapport'!$C$24</f>
        <v>5.29</v>
      </c>
      <c r="T43" s="10">
        <f>H43-'1. Rapport'!$C$26</f>
        <v>4.47</v>
      </c>
      <c r="U43" s="10">
        <f>G43-'1. Rapport'!$C$25</f>
        <v>5.0199999999999996</v>
      </c>
      <c r="V43" s="10">
        <f>D43-'1. Rapport'!$C$22</f>
        <v>5.08</v>
      </c>
      <c r="W43" s="10">
        <f>I43-'1. Rapport'!$C$27</f>
        <v>5.42</v>
      </c>
      <c r="X43" s="10">
        <f>J43-'1. Rapport'!$C$28</f>
        <v>4.84</v>
      </c>
      <c r="Y43" s="10">
        <f>L43-'1. Rapport'!$C$30</f>
        <v>4.13</v>
      </c>
      <c r="Z43" s="10">
        <f>K43-'1. Rapport'!$C$29</f>
        <v>5.09</v>
      </c>
      <c r="AA43" s="8">
        <f t="shared" si="2"/>
        <v>2</v>
      </c>
      <c r="AB43" s="8">
        <f t="shared" si="3"/>
        <v>8</v>
      </c>
    </row>
    <row r="44" spans="1:28" x14ac:dyDescent="0.25">
      <c r="A44" s="8">
        <f t="shared" si="1"/>
        <v>40</v>
      </c>
      <c r="B44" s="46">
        <v>43606</v>
      </c>
      <c r="C44" s="47">
        <v>0.54328703703703707</v>
      </c>
      <c r="D44" s="48">
        <v>5.13</v>
      </c>
      <c r="E44" s="48">
        <v>5.63</v>
      </c>
      <c r="F44" s="48">
        <v>5.44</v>
      </c>
      <c r="G44" s="48">
        <v>5.19</v>
      </c>
      <c r="H44" s="48">
        <v>4.4400000000000004</v>
      </c>
      <c r="I44" s="48">
        <v>5.38</v>
      </c>
      <c r="J44" s="48">
        <v>5.25</v>
      </c>
      <c r="K44" s="48">
        <v>5.38</v>
      </c>
      <c r="L44" s="48">
        <v>4.0599999999999996</v>
      </c>
      <c r="M44" s="48">
        <v>26.1</v>
      </c>
      <c r="N44" s="48">
        <v>34</v>
      </c>
      <c r="Q44" s="9">
        <f t="shared" si="0"/>
        <v>0.54328703703703707</v>
      </c>
      <c r="R44" s="10">
        <f>E44-'1. Rapport'!$C$23</f>
        <v>5.72</v>
      </c>
      <c r="S44" s="10">
        <f>F44-'1. Rapport'!$C$24</f>
        <v>5.4200000000000008</v>
      </c>
      <c r="T44" s="10">
        <f>H44-'1. Rapport'!$C$26</f>
        <v>4.6000000000000005</v>
      </c>
      <c r="U44" s="10">
        <f>G44-'1. Rapport'!$C$25</f>
        <v>5.21</v>
      </c>
      <c r="V44" s="10">
        <f>D44-'1. Rapport'!$C$22</f>
        <v>5.21</v>
      </c>
      <c r="W44" s="10">
        <f>I44-'1. Rapport'!$C$27</f>
        <v>5.55</v>
      </c>
      <c r="X44" s="10">
        <f>J44-'1. Rapport'!$C$28</f>
        <v>5.03</v>
      </c>
      <c r="Y44" s="10">
        <f>L44-'1. Rapport'!$C$30</f>
        <v>4.38</v>
      </c>
      <c r="Z44" s="10">
        <f>K44-'1. Rapport'!$C$29</f>
        <v>5.22</v>
      </c>
      <c r="AA44" s="8">
        <f t="shared" si="2"/>
        <v>2</v>
      </c>
      <c r="AB44" s="8">
        <f t="shared" si="3"/>
        <v>8</v>
      </c>
    </row>
    <row r="45" spans="1:28" x14ac:dyDescent="0.25">
      <c r="A45" s="8">
        <f t="shared" si="1"/>
        <v>41</v>
      </c>
      <c r="B45" s="46">
        <v>43606</v>
      </c>
      <c r="C45" s="47">
        <v>0.54398148148148151</v>
      </c>
      <c r="D45" s="48">
        <v>5.25</v>
      </c>
      <c r="E45" s="48">
        <v>5.75</v>
      </c>
      <c r="F45" s="48">
        <v>5.56</v>
      </c>
      <c r="G45" s="48">
        <v>5.31</v>
      </c>
      <c r="H45" s="48">
        <v>4.63</v>
      </c>
      <c r="I45" s="48">
        <v>5.5</v>
      </c>
      <c r="J45" s="48">
        <v>5.44</v>
      </c>
      <c r="K45" s="48">
        <v>5.5</v>
      </c>
      <c r="L45" s="48">
        <v>4.38</v>
      </c>
      <c r="M45" s="48">
        <v>26.1</v>
      </c>
      <c r="N45" s="48">
        <v>34</v>
      </c>
      <c r="Q45" s="9">
        <f t="shared" si="0"/>
        <v>0.54398148148148151</v>
      </c>
      <c r="R45" s="10">
        <f>E45-'1. Rapport'!$C$23</f>
        <v>5.84</v>
      </c>
      <c r="S45" s="10">
        <f>F45-'1. Rapport'!$C$24</f>
        <v>5.54</v>
      </c>
      <c r="T45" s="10">
        <f>H45-'1. Rapport'!$C$26</f>
        <v>4.79</v>
      </c>
      <c r="U45" s="10">
        <f>G45-'1. Rapport'!$C$25</f>
        <v>5.3299999999999992</v>
      </c>
      <c r="V45" s="10">
        <f>D45-'1. Rapport'!$C$22</f>
        <v>5.33</v>
      </c>
      <c r="W45" s="10">
        <f>I45-'1. Rapport'!$C$27</f>
        <v>5.67</v>
      </c>
      <c r="X45" s="10">
        <f>J45-'1. Rapport'!$C$28</f>
        <v>5.2200000000000006</v>
      </c>
      <c r="Y45" s="10">
        <f>L45-'1. Rapport'!$C$30</f>
        <v>4.7</v>
      </c>
      <c r="Z45" s="10">
        <f>K45-'1. Rapport'!$C$29</f>
        <v>5.34</v>
      </c>
      <c r="AA45" s="8">
        <f t="shared" si="2"/>
        <v>2</v>
      </c>
      <c r="AB45" s="8">
        <f t="shared" si="3"/>
        <v>8</v>
      </c>
    </row>
    <row r="46" spans="1:28" x14ac:dyDescent="0.25">
      <c r="A46" s="8">
        <f t="shared" si="1"/>
        <v>42</v>
      </c>
      <c r="B46" s="46">
        <v>43606</v>
      </c>
      <c r="C46" s="47">
        <v>0.54467592592592595</v>
      </c>
      <c r="D46" s="48">
        <v>5.44</v>
      </c>
      <c r="E46" s="48">
        <v>5.81</v>
      </c>
      <c r="F46" s="48">
        <v>5.69</v>
      </c>
      <c r="G46" s="48">
        <v>5.44</v>
      </c>
      <c r="H46" s="48">
        <v>4.75</v>
      </c>
      <c r="I46" s="48">
        <v>5.63</v>
      </c>
      <c r="J46" s="48">
        <v>5.69</v>
      </c>
      <c r="K46" s="48">
        <v>5.63</v>
      </c>
      <c r="L46" s="48">
        <v>4.63</v>
      </c>
      <c r="M46" s="48">
        <v>26.1</v>
      </c>
      <c r="N46" s="48">
        <v>34</v>
      </c>
      <c r="Q46" s="9">
        <f t="shared" si="0"/>
        <v>0.54467592592592595</v>
      </c>
      <c r="R46" s="10">
        <f>E46-'1. Rapport'!$C$23</f>
        <v>5.8999999999999995</v>
      </c>
      <c r="S46" s="10">
        <f>F46-'1. Rapport'!$C$24</f>
        <v>5.6700000000000008</v>
      </c>
      <c r="T46" s="10">
        <f>H46-'1. Rapport'!$C$26</f>
        <v>4.91</v>
      </c>
      <c r="U46" s="10">
        <f>G46-'1. Rapport'!$C$25</f>
        <v>5.46</v>
      </c>
      <c r="V46" s="10">
        <f>D46-'1. Rapport'!$C$22</f>
        <v>5.5200000000000005</v>
      </c>
      <c r="W46" s="10">
        <f>I46-'1. Rapport'!$C$27</f>
        <v>5.8</v>
      </c>
      <c r="X46" s="10">
        <f>J46-'1. Rapport'!$C$28</f>
        <v>5.4700000000000006</v>
      </c>
      <c r="Y46" s="10">
        <f>L46-'1. Rapport'!$C$30</f>
        <v>4.95</v>
      </c>
      <c r="Z46" s="10">
        <f>K46-'1. Rapport'!$C$29</f>
        <v>5.47</v>
      </c>
      <c r="AA46" s="8">
        <f t="shared" si="2"/>
        <v>2</v>
      </c>
      <c r="AB46" s="8">
        <f t="shared" si="3"/>
        <v>8</v>
      </c>
    </row>
    <row r="47" spans="1:28" x14ac:dyDescent="0.25">
      <c r="A47" s="8">
        <f t="shared" si="1"/>
        <v>43</v>
      </c>
      <c r="B47" s="46">
        <v>43606</v>
      </c>
      <c r="C47" s="47">
        <v>0.54537037037037039</v>
      </c>
      <c r="D47" s="48">
        <v>5.5</v>
      </c>
      <c r="E47" s="48">
        <v>5.88</v>
      </c>
      <c r="F47" s="48">
        <v>5.75</v>
      </c>
      <c r="G47" s="48">
        <v>5.44</v>
      </c>
      <c r="H47" s="48">
        <v>4.75</v>
      </c>
      <c r="I47" s="48">
        <v>5.69</v>
      </c>
      <c r="J47" s="48">
        <v>5.69</v>
      </c>
      <c r="K47" s="48">
        <v>5.69</v>
      </c>
      <c r="L47" s="48">
        <v>4.38</v>
      </c>
      <c r="M47" s="48">
        <v>26.1</v>
      </c>
      <c r="N47" s="48">
        <v>34</v>
      </c>
      <c r="Q47" s="9">
        <f t="shared" si="0"/>
        <v>0.54537037037037039</v>
      </c>
      <c r="R47" s="10">
        <f>E47-'1. Rapport'!$C$23</f>
        <v>5.97</v>
      </c>
      <c r="S47" s="10">
        <f>F47-'1. Rapport'!$C$24</f>
        <v>5.73</v>
      </c>
      <c r="T47" s="10">
        <f>H47-'1. Rapport'!$C$26</f>
        <v>4.91</v>
      </c>
      <c r="U47" s="10">
        <f>G47-'1. Rapport'!$C$25</f>
        <v>5.46</v>
      </c>
      <c r="V47" s="10">
        <f>D47-'1. Rapport'!$C$22</f>
        <v>5.58</v>
      </c>
      <c r="W47" s="10">
        <f>I47-'1. Rapport'!$C$27</f>
        <v>5.86</v>
      </c>
      <c r="X47" s="10">
        <f>J47-'1. Rapport'!$C$28</f>
        <v>5.4700000000000006</v>
      </c>
      <c r="Y47" s="10">
        <f>L47-'1. Rapport'!$C$30</f>
        <v>4.7</v>
      </c>
      <c r="Z47" s="10">
        <f>K47-'1. Rapport'!$C$29</f>
        <v>5.53</v>
      </c>
      <c r="AA47" s="8">
        <f t="shared" si="2"/>
        <v>2</v>
      </c>
      <c r="AB47" s="8">
        <f t="shared" si="3"/>
        <v>8</v>
      </c>
    </row>
    <row r="48" spans="1:28" x14ac:dyDescent="0.25">
      <c r="A48" s="8">
        <f t="shared" si="1"/>
        <v>44</v>
      </c>
      <c r="B48" s="46">
        <v>43606</v>
      </c>
      <c r="C48" s="47">
        <v>0.54606481481481484</v>
      </c>
      <c r="D48" s="48">
        <v>5.19</v>
      </c>
      <c r="E48" s="48">
        <v>5.75</v>
      </c>
      <c r="F48" s="48">
        <v>5.5</v>
      </c>
      <c r="G48" s="48">
        <v>5</v>
      </c>
      <c r="H48" s="48">
        <v>4.4400000000000004</v>
      </c>
      <c r="I48" s="48">
        <v>5.5</v>
      </c>
      <c r="J48" s="48">
        <v>5.0599999999999996</v>
      </c>
      <c r="K48" s="48">
        <v>5.5</v>
      </c>
      <c r="L48" s="48">
        <v>3.38</v>
      </c>
      <c r="M48" s="48">
        <v>26.1</v>
      </c>
      <c r="N48" s="48">
        <v>34</v>
      </c>
      <c r="Q48" s="9">
        <f t="shared" si="0"/>
        <v>0.54606481481481484</v>
      </c>
      <c r="R48" s="10">
        <f>E48-'1. Rapport'!$C$23</f>
        <v>5.84</v>
      </c>
      <c r="S48" s="10">
        <f>F48-'1. Rapport'!$C$24</f>
        <v>5.48</v>
      </c>
      <c r="T48" s="10">
        <f>H48-'1. Rapport'!$C$26</f>
        <v>4.6000000000000005</v>
      </c>
      <c r="U48" s="10">
        <f>G48-'1. Rapport'!$C$25</f>
        <v>5.0199999999999996</v>
      </c>
      <c r="V48" s="10">
        <f>D48-'1. Rapport'!$C$22</f>
        <v>5.2700000000000005</v>
      </c>
      <c r="W48" s="10">
        <f>I48-'1. Rapport'!$C$27</f>
        <v>5.67</v>
      </c>
      <c r="X48" s="10">
        <f>J48-'1. Rapport'!$C$28</f>
        <v>4.84</v>
      </c>
      <c r="Y48" s="10">
        <f>L48-'1. Rapport'!$C$30</f>
        <v>3.6999999999999997</v>
      </c>
      <c r="Z48" s="10">
        <f>K48-'1. Rapport'!$C$29</f>
        <v>5.34</v>
      </c>
      <c r="AA48" s="8">
        <f t="shared" si="2"/>
        <v>2</v>
      </c>
      <c r="AB48" s="8">
        <f t="shared" si="3"/>
        <v>8</v>
      </c>
    </row>
    <row r="49" spans="1:28" x14ac:dyDescent="0.25">
      <c r="A49" s="8">
        <f t="shared" si="1"/>
        <v>45</v>
      </c>
      <c r="B49" s="46">
        <v>43606</v>
      </c>
      <c r="C49" s="47">
        <v>0.54675925925925928</v>
      </c>
      <c r="D49" s="48">
        <v>4.75</v>
      </c>
      <c r="E49" s="48">
        <v>5.56</v>
      </c>
      <c r="F49" s="48">
        <v>5.25</v>
      </c>
      <c r="G49" s="48">
        <v>4.6900000000000004</v>
      </c>
      <c r="H49" s="48">
        <v>4.13</v>
      </c>
      <c r="I49" s="48">
        <v>5.19</v>
      </c>
      <c r="J49" s="48">
        <v>4.4400000000000004</v>
      </c>
      <c r="K49" s="48">
        <v>5.13</v>
      </c>
      <c r="L49" s="48">
        <v>2.81</v>
      </c>
      <c r="M49" s="48">
        <v>26.1</v>
      </c>
      <c r="N49" s="48">
        <v>34</v>
      </c>
      <c r="Q49" s="9">
        <f t="shared" si="0"/>
        <v>0.54675925925925928</v>
      </c>
      <c r="R49" s="10">
        <f>E49-'1. Rapport'!$C$23</f>
        <v>5.6499999999999995</v>
      </c>
      <c r="S49" s="10">
        <f>F49-'1. Rapport'!$C$24</f>
        <v>5.23</v>
      </c>
      <c r="T49" s="10">
        <f>H49-'1. Rapport'!$C$26</f>
        <v>4.29</v>
      </c>
      <c r="U49" s="10">
        <f>G49-'1. Rapport'!$C$25</f>
        <v>4.71</v>
      </c>
      <c r="V49" s="10">
        <f>D49-'1. Rapport'!$C$22</f>
        <v>4.83</v>
      </c>
      <c r="W49" s="10">
        <f>I49-'1. Rapport'!$C$27</f>
        <v>5.36</v>
      </c>
      <c r="X49" s="10">
        <f>J49-'1. Rapport'!$C$28</f>
        <v>4.2200000000000006</v>
      </c>
      <c r="Y49" s="10">
        <f>L49-'1. Rapport'!$C$30</f>
        <v>3.13</v>
      </c>
      <c r="Z49" s="10">
        <f>K49-'1. Rapport'!$C$29</f>
        <v>4.97</v>
      </c>
      <c r="AA49" s="8">
        <f t="shared" si="2"/>
        <v>2</v>
      </c>
      <c r="AB49" s="8">
        <f t="shared" si="3"/>
        <v>8</v>
      </c>
    </row>
    <row r="50" spans="1:28" x14ac:dyDescent="0.25">
      <c r="A50" s="8">
        <f t="shared" si="1"/>
        <v>46</v>
      </c>
      <c r="B50" s="46">
        <v>43606</v>
      </c>
      <c r="C50" s="47">
        <v>0.54745370370370372</v>
      </c>
      <c r="D50" s="48">
        <v>4.63</v>
      </c>
      <c r="E50" s="48">
        <v>5.5</v>
      </c>
      <c r="F50" s="48">
        <v>5.13</v>
      </c>
      <c r="G50" s="48">
        <v>4.75</v>
      </c>
      <c r="H50" s="48">
        <v>4.0599999999999996</v>
      </c>
      <c r="I50" s="48">
        <v>5.0599999999999996</v>
      </c>
      <c r="J50" s="48">
        <v>4.5</v>
      </c>
      <c r="K50" s="48">
        <v>5.0599999999999996</v>
      </c>
      <c r="L50" s="48">
        <v>3</v>
      </c>
      <c r="M50" s="48">
        <v>26</v>
      </c>
      <c r="N50" s="48">
        <v>34</v>
      </c>
      <c r="Q50" s="9">
        <f t="shared" si="0"/>
        <v>0.54745370370370372</v>
      </c>
      <c r="R50" s="10">
        <f>E50-'1. Rapport'!$C$23</f>
        <v>5.59</v>
      </c>
      <c r="S50" s="10">
        <f>F50-'1. Rapport'!$C$24</f>
        <v>5.1100000000000003</v>
      </c>
      <c r="T50" s="10">
        <f>H50-'1. Rapport'!$C$26</f>
        <v>4.22</v>
      </c>
      <c r="U50" s="10">
        <f>G50-'1. Rapport'!$C$25</f>
        <v>4.7699999999999996</v>
      </c>
      <c r="V50" s="10">
        <f>D50-'1. Rapport'!$C$22</f>
        <v>4.71</v>
      </c>
      <c r="W50" s="10">
        <f>I50-'1. Rapport'!$C$27</f>
        <v>5.2299999999999995</v>
      </c>
      <c r="X50" s="10">
        <f>J50-'1. Rapport'!$C$28</f>
        <v>4.28</v>
      </c>
      <c r="Y50" s="10">
        <f>L50-'1. Rapport'!$C$30</f>
        <v>3.32</v>
      </c>
      <c r="Z50" s="10">
        <f>K50-'1. Rapport'!$C$29</f>
        <v>4.8999999999999995</v>
      </c>
      <c r="AA50" s="8">
        <f t="shared" si="2"/>
        <v>2</v>
      </c>
      <c r="AB50" s="8">
        <f t="shared" si="3"/>
        <v>8</v>
      </c>
    </row>
    <row r="51" spans="1:28" x14ac:dyDescent="0.25">
      <c r="A51" s="8">
        <f t="shared" si="1"/>
        <v>47</v>
      </c>
      <c r="B51" s="46">
        <v>43606</v>
      </c>
      <c r="C51" s="47">
        <v>0.54814814814814816</v>
      </c>
      <c r="D51" s="48">
        <v>4.75</v>
      </c>
      <c r="E51" s="48">
        <v>5.5</v>
      </c>
      <c r="F51" s="48">
        <v>5.19</v>
      </c>
      <c r="G51" s="48">
        <v>4.8099999999999996</v>
      </c>
      <c r="H51" s="48">
        <v>4.13</v>
      </c>
      <c r="I51" s="48">
        <v>5.13</v>
      </c>
      <c r="J51" s="48">
        <v>4.6900000000000004</v>
      </c>
      <c r="K51" s="48">
        <v>5.13</v>
      </c>
      <c r="L51" s="48">
        <v>3.31</v>
      </c>
      <c r="M51" s="48">
        <v>26</v>
      </c>
      <c r="N51" s="48">
        <v>34</v>
      </c>
      <c r="Q51" s="9">
        <f t="shared" si="0"/>
        <v>0.54814814814814816</v>
      </c>
      <c r="R51" s="10">
        <f>E51-'1. Rapport'!$C$23</f>
        <v>5.59</v>
      </c>
      <c r="S51" s="10">
        <f>F51-'1. Rapport'!$C$24</f>
        <v>5.1700000000000008</v>
      </c>
      <c r="T51" s="10">
        <f>H51-'1. Rapport'!$C$26</f>
        <v>4.29</v>
      </c>
      <c r="U51" s="10">
        <f>G51-'1. Rapport'!$C$25</f>
        <v>4.8299999999999992</v>
      </c>
      <c r="V51" s="10">
        <f>D51-'1. Rapport'!$C$22</f>
        <v>4.83</v>
      </c>
      <c r="W51" s="10">
        <f>I51-'1. Rapport'!$C$27</f>
        <v>5.3</v>
      </c>
      <c r="X51" s="10">
        <f>J51-'1. Rapport'!$C$28</f>
        <v>4.4700000000000006</v>
      </c>
      <c r="Y51" s="10">
        <f>L51-'1. Rapport'!$C$30</f>
        <v>3.63</v>
      </c>
      <c r="Z51" s="10">
        <f>K51-'1. Rapport'!$C$29</f>
        <v>4.97</v>
      </c>
      <c r="AA51" s="8">
        <f t="shared" si="2"/>
        <v>2</v>
      </c>
      <c r="AB51" s="8">
        <f t="shared" si="3"/>
        <v>8</v>
      </c>
    </row>
    <row r="52" spans="1:28" x14ac:dyDescent="0.25">
      <c r="A52" s="8">
        <f t="shared" si="1"/>
        <v>48</v>
      </c>
      <c r="B52" s="46">
        <v>43606</v>
      </c>
      <c r="C52" s="47">
        <v>0.5488425925925926</v>
      </c>
      <c r="D52" s="48">
        <v>4.88</v>
      </c>
      <c r="E52" s="48">
        <v>5.5</v>
      </c>
      <c r="F52" s="48">
        <v>5.25</v>
      </c>
      <c r="G52" s="48">
        <v>4.9400000000000004</v>
      </c>
      <c r="H52" s="48">
        <v>4.1900000000000004</v>
      </c>
      <c r="I52" s="48">
        <v>5.19</v>
      </c>
      <c r="J52" s="48">
        <v>4.88</v>
      </c>
      <c r="K52" s="48">
        <v>5.19</v>
      </c>
      <c r="L52" s="48">
        <v>3.56</v>
      </c>
      <c r="M52" s="48">
        <v>26</v>
      </c>
      <c r="N52" s="48">
        <v>34</v>
      </c>
      <c r="Q52" s="9">
        <f t="shared" si="0"/>
        <v>0.5488425925925926</v>
      </c>
      <c r="R52" s="10">
        <f>E52-'1. Rapport'!$C$23</f>
        <v>5.59</v>
      </c>
      <c r="S52" s="10">
        <f>F52-'1. Rapport'!$C$24</f>
        <v>5.23</v>
      </c>
      <c r="T52" s="10">
        <f>H52-'1. Rapport'!$C$26</f>
        <v>4.3500000000000005</v>
      </c>
      <c r="U52" s="10">
        <f>G52-'1. Rapport'!$C$25</f>
        <v>4.96</v>
      </c>
      <c r="V52" s="10">
        <f>D52-'1. Rapport'!$C$22</f>
        <v>4.96</v>
      </c>
      <c r="W52" s="10">
        <f>I52-'1. Rapport'!$C$27</f>
        <v>5.36</v>
      </c>
      <c r="X52" s="10">
        <f>J52-'1. Rapport'!$C$28</f>
        <v>4.66</v>
      </c>
      <c r="Y52" s="10">
        <f>L52-'1. Rapport'!$C$30</f>
        <v>3.88</v>
      </c>
      <c r="Z52" s="10">
        <f>K52-'1. Rapport'!$C$29</f>
        <v>5.03</v>
      </c>
      <c r="AA52" s="8">
        <f t="shared" si="2"/>
        <v>2</v>
      </c>
      <c r="AB52" s="8">
        <f t="shared" si="3"/>
        <v>8</v>
      </c>
    </row>
    <row r="53" spans="1:28" x14ac:dyDescent="0.25">
      <c r="A53" s="8">
        <f t="shared" si="1"/>
        <v>49</v>
      </c>
      <c r="B53" s="46">
        <v>43606</v>
      </c>
      <c r="C53" s="47">
        <v>0.54953703703703705</v>
      </c>
      <c r="D53" s="48">
        <v>5</v>
      </c>
      <c r="E53" s="48">
        <v>5.56</v>
      </c>
      <c r="F53" s="48">
        <v>5.31</v>
      </c>
      <c r="G53" s="48">
        <v>5.0599999999999996</v>
      </c>
      <c r="H53" s="48">
        <v>4.3099999999999996</v>
      </c>
      <c r="I53" s="48">
        <v>5.31</v>
      </c>
      <c r="J53" s="48">
        <v>5.13</v>
      </c>
      <c r="K53" s="48">
        <v>5.31</v>
      </c>
      <c r="L53" s="48">
        <v>3.88</v>
      </c>
      <c r="M53" s="48">
        <v>26</v>
      </c>
      <c r="N53" s="48">
        <v>34</v>
      </c>
      <c r="Q53" s="9">
        <f t="shared" si="0"/>
        <v>0.54953703703703705</v>
      </c>
      <c r="R53" s="10">
        <f>E53-'1. Rapport'!$C$23</f>
        <v>5.6499999999999995</v>
      </c>
      <c r="S53" s="10">
        <f>F53-'1. Rapport'!$C$24</f>
        <v>5.29</v>
      </c>
      <c r="T53" s="10">
        <f>H53-'1. Rapport'!$C$26</f>
        <v>4.47</v>
      </c>
      <c r="U53" s="10">
        <f>G53-'1. Rapport'!$C$25</f>
        <v>5.0799999999999992</v>
      </c>
      <c r="V53" s="10">
        <f>D53-'1. Rapport'!$C$22</f>
        <v>5.08</v>
      </c>
      <c r="W53" s="10">
        <f>I53-'1. Rapport'!$C$27</f>
        <v>5.4799999999999995</v>
      </c>
      <c r="X53" s="10">
        <f>J53-'1. Rapport'!$C$28</f>
        <v>4.91</v>
      </c>
      <c r="Y53" s="10">
        <f>L53-'1. Rapport'!$C$30</f>
        <v>4.2</v>
      </c>
      <c r="Z53" s="10">
        <f>K53-'1. Rapport'!$C$29</f>
        <v>5.1499999999999995</v>
      </c>
      <c r="AA53" s="8">
        <f t="shared" si="2"/>
        <v>2</v>
      </c>
      <c r="AB53" s="8">
        <f t="shared" si="3"/>
        <v>8</v>
      </c>
    </row>
    <row r="54" spans="1:28" x14ac:dyDescent="0.25">
      <c r="A54" s="8">
        <f t="shared" si="1"/>
        <v>50</v>
      </c>
      <c r="B54" s="46">
        <v>43606</v>
      </c>
      <c r="C54" s="47">
        <v>0.55023148148148149</v>
      </c>
      <c r="D54" s="48">
        <v>5.19</v>
      </c>
      <c r="E54" s="48">
        <v>5.69</v>
      </c>
      <c r="F54" s="48">
        <v>5.44</v>
      </c>
      <c r="G54" s="48">
        <v>5.19</v>
      </c>
      <c r="H54" s="48">
        <v>4.5</v>
      </c>
      <c r="I54" s="48">
        <v>5.38</v>
      </c>
      <c r="J54" s="48">
        <v>5.31</v>
      </c>
      <c r="K54" s="48">
        <v>5.44</v>
      </c>
      <c r="L54" s="48">
        <v>4.1900000000000004</v>
      </c>
      <c r="M54" s="48">
        <v>26</v>
      </c>
      <c r="N54" s="48">
        <v>34</v>
      </c>
      <c r="Q54" s="9">
        <f t="shared" si="0"/>
        <v>0.55023148148148149</v>
      </c>
      <c r="R54" s="10">
        <f>E54-'1. Rapport'!$C$23</f>
        <v>5.78</v>
      </c>
      <c r="S54" s="10">
        <f>F54-'1. Rapport'!$C$24</f>
        <v>5.4200000000000008</v>
      </c>
      <c r="T54" s="10">
        <f>H54-'1. Rapport'!$C$26</f>
        <v>4.66</v>
      </c>
      <c r="U54" s="10">
        <f>G54-'1. Rapport'!$C$25</f>
        <v>5.21</v>
      </c>
      <c r="V54" s="10">
        <f>D54-'1. Rapport'!$C$22</f>
        <v>5.2700000000000005</v>
      </c>
      <c r="W54" s="10">
        <f>I54-'1. Rapport'!$C$27</f>
        <v>5.55</v>
      </c>
      <c r="X54" s="10">
        <f>J54-'1. Rapport'!$C$28</f>
        <v>5.09</v>
      </c>
      <c r="Y54" s="10">
        <f>L54-'1. Rapport'!$C$30</f>
        <v>4.5100000000000007</v>
      </c>
      <c r="Z54" s="10">
        <f>K54-'1. Rapport'!$C$29</f>
        <v>5.28</v>
      </c>
      <c r="AA54" s="8">
        <f t="shared" si="2"/>
        <v>2</v>
      </c>
      <c r="AB54" s="8">
        <f t="shared" si="3"/>
        <v>8</v>
      </c>
    </row>
    <row r="55" spans="1:28" x14ac:dyDescent="0.25">
      <c r="A55" s="8">
        <f t="shared" si="1"/>
        <v>51</v>
      </c>
      <c r="B55" s="46">
        <v>43606</v>
      </c>
      <c r="C55" s="47">
        <v>0.55092592592592593</v>
      </c>
      <c r="D55" s="48">
        <v>5.31</v>
      </c>
      <c r="E55" s="48">
        <v>5.75</v>
      </c>
      <c r="F55" s="48">
        <v>5.56</v>
      </c>
      <c r="G55" s="48">
        <v>5.38</v>
      </c>
      <c r="H55" s="48">
        <v>4.63</v>
      </c>
      <c r="I55" s="48">
        <v>5.56</v>
      </c>
      <c r="J55" s="48">
        <v>5.5</v>
      </c>
      <c r="K55" s="48">
        <v>5.56</v>
      </c>
      <c r="L55" s="48">
        <v>4.4400000000000004</v>
      </c>
      <c r="M55" s="48">
        <v>26</v>
      </c>
      <c r="N55" s="48">
        <v>34</v>
      </c>
      <c r="Q55" s="9">
        <f t="shared" si="0"/>
        <v>0.55092592592592593</v>
      </c>
      <c r="R55" s="10">
        <f>E55-'1. Rapport'!$C$23</f>
        <v>5.84</v>
      </c>
      <c r="S55" s="10">
        <f>F55-'1. Rapport'!$C$24</f>
        <v>5.54</v>
      </c>
      <c r="T55" s="10">
        <f>H55-'1. Rapport'!$C$26</f>
        <v>4.79</v>
      </c>
      <c r="U55" s="10">
        <f>G55-'1. Rapport'!$C$25</f>
        <v>5.3999999999999995</v>
      </c>
      <c r="V55" s="10">
        <f>D55-'1. Rapport'!$C$22</f>
        <v>5.39</v>
      </c>
      <c r="W55" s="10">
        <f>I55-'1. Rapport'!$C$27</f>
        <v>5.7299999999999995</v>
      </c>
      <c r="X55" s="10">
        <f>J55-'1. Rapport'!$C$28</f>
        <v>5.28</v>
      </c>
      <c r="Y55" s="10">
        <f>L55-'1. Rapport'!$C$30</f>
        <v>4.7600000000000007</v>
      </c>
      <c r="Z55" s="10">
        <f>K55-'1. Rapport'!$C$29</f>
        <v>5.3999999999999995</v>
      </c>
      <c r="AA55" s="8">
        <f t="shared" si="2"/>
        <v>2</v>
      </c>
      <c r="AB55" s="8">
        <f t="shared" si="3"/>
        <v>8</v>
      </c>
    </row>
    <row r="56" spans="1:28" x14ac:dyDescent="0.25">
      <c r="A56" s="8">
        <f t="shared" si="1"/>
        <v>52</v>
      </c>
      <c r="B56" s="46">
        <v>43606</v>
      </c>
      <c r="C56" s="47">
        <v>0.55162037037037037</v>
      </c>
      <c r="D56" s="48">
        <v>5.5</v>
      </c>
      <c r="E56" s="48">
        <v>5.81</v>
      </c>
      <c r="F56" s="48">
        <v>5.69</v>
      </c>
      <c r="G56" s="48">
        <v>5.5</v>
      </c>
      <c r="H56" s="48">
        <v>4.8099999999999996</v>
      </c>
      <c r="I56" s="48">
        <v>5.63</v>
      </c>
      <c r="J56" s="48">
        <v>5.69</v>
      </c>
      <c r="K56" s="48">
        <v>5.69</v>
      </c>
      <c r="L56" s="48">
        <v>4.6900000000000004</v>
      </c>
      <c r="M56" s="48">
        <v>26</v>
      </c>
      <c r="N56" s="48">
        <v>34</v>
      </c>
      <c r="Q56" s="9">
        <f t="shared" si="0"/>
        <v>0.55162037037037037</v>
      </c>
      <c r="R56" s="10">
        <f>E56-'1. Rapport'!$C$23</f>
        <v>5.8999999999999995</v>
      </c>
      <c r="S56" s="10">
        <f>F56-'1. Rapport'!$C$24</f>
        <v>5.6700000000000008</v>
      </c>
      <c r="T56" s="10">
        <f>H56-'1. Rapport'!$C$26</f>
        <v>4.97</v>
      </c>
      <c r="U56" s="10">
        <f>G56-'1. Rapport'!$C$25</f>
        <v>5.52</v>
      </c>
      <c r="V56" s="10">
        <f>D56-'1. Rapport'!$C$22</f>
        <v>5.58</v>
      </c>
      <c r="W56" s="10">
        <f>I56-'1. Rapport'!$C$27</f>
        <v>5.8</v>
      </c>
      <c r="X56" s="10">
        <f>J56-'1. Rapport'!$C$28</f>
        <v>5.4700000000000006</v>
      </c>
      <c r="Y56" s="10">
        <f>L56-'1. Rapport'!$C$30</f>
        <v>5.0100000000000007</v>
      </c>
      <c r="Z56" s="10">
        <f>K56-'1. Rapport'!$C$29</f>
        <v>5.53</v>
      </c>
      <c r="AA56" s="8">
        <f t="shared" si="2"/>
        <v>2</v>
      </c>
      <c r="AB56" s="8">
        <f t="shared" si="3"/>
        <v>8</v>
      </c>
    </row>
    <row r="57" spans="1:28" x14ac:dyDescent="0.25">
      <c r="A57" s="8">
        <f t="shared" si="1"/>
        <v>53</v>
      </c>
      <c r="B57" s="46">
        <v>43606</v>
      </c>
      <c r="C57" s="47">
        <v>0.55231481481481481</v>
      </c>
      <c r="D57" s="48">
        <v>5.5</v>
      </c>
      <c r="E57" s="48">
        <v>5.88</v>
      </c>
      <c r="F57" s="48">
        <v>5.69</v>
      </c>
      <c r="G57" s="48">
        <v>5.31</v>
      </c>
      <c r="H57" s="48">
        <v>4.6900000000000004</v>
      </c>
      <c r="I57" s="48">
        <v>5.69</v>
      </c>
      <c r="J57" s="48">
        <v>5.63</v>
      </c>
      <c r="K57" s="48">
        <v>5.69</v>
      </c>
      <c r="L57" s="48">
        <v>4.1900000000000004</v>
      </c>
      <c r="M57" s="48">
        <v>26</v>
      </c>
      <c r="N57" s="48">
        <v>34</v>
      </c>
      <c r="Q57" s="9">
        <f t="shared" si="0"/>
        <v>0.55231481481481481</v>
      </c>
      <c r="R57" s="10">
        <f>E57-'1. Rapport'!$C$23</f>
        <v>5.97</v>
      </c>
      <c r="S57" s="10">
        <f>F57-'1. Rapport'!$C$24</f>
        <v>5.6700000000000008</v>
      </c>
      <c r="T57" s="10">
        <f>H57-'1. Rapport'!$C$26</f>
        <v>4.8500000000000005</v>
      </c>
      <c r="U57" s="10">
        <f>G57-'1. Rapport'!$C$25</f>
        <v>5.3299999999999992</v>
      </c>
      <c r="V57" s="10">
        <f>D57-'1. Rapport'!$C$22</f>
        <v>5.58</v>
      </c>
      <c r="W57" s="10">
        <f>I57-'1. Rapport'!$C$27</f>
        <v>5.86</v>
      </c>
      <c r="X57" s="10">
        <f>J57-'1. Rapport'!$C$28</f>
        <v>5.41</v>
      </c>
      <c r="Y57" s="10">
        <f>L57-'1. Rapport'!$C$30</f>
        <v>4.5100000000000007</v>
      </c>
      <c r="Z57" s="10">
        <f>K57-'1. Rapport'!$C$29</f>
        <v>5.53</v>
      </c>
      <c r="AA57" s="8">
        <f t="shared" si="2"/>
        <v>2</v>
      </c>
      <c r="AB57" s="8">
        <f t="shared" si="3"/>
        <v>8</v>
      </c>
    </row>
    <row r="58" spans="1:28" x14ac:dyDescent="0.25">
      <c r="A58" s="8">
        <f t="shared" si="1"/>
        <v>54</v>
      </c>
      <c r="B58" s="46">
        <v>43606</v>
      </c>
      <c r="C58" s="47">
        <v>0.55300925925925926</v>
      </c>
      <c r="D58" s="48">
        <v>5.0599999999999996</v>
      </c>
      <c r="E58" s="48">
        <v>5.75</v>
      </c>
      <c r="F58" s="48">
        <v>5.44</v>
      </c>
      <c r="G58" s="48">
        <v>5</v>
      </c>
      <c r="H58" s="48">
        <v>4.38</v>
      </c>
      <c r="I58" s="48">
        <v>5.38</v>
      </c>
      <c r="J58" s="48">
        <v>4.88</v>
      </c>
      <c r="K58" s="48">
        <v>5.38</v>
      </c>
      <c r="L58" s="48">
        <v>3.19</v>
      </c>
      <c r="M58" s="48">
        <v>26</v>
      </c>
      <c r="N58" s="48">
        <v>34</v>
      </c>
      <c r="Q58" s="9">
        <f t="shared" si="0"/>
        <v>0.55300925925925926</v>
      </c>
      <c r="R58" s="10">
        <f>E58-'1. Rapport'!$C$23</f>
        <v>5.84</v>
      </c>
      <c r="S58" s="10">
        <f>F58-'1. Rapport'!$C$24</f>
        <v>5.4200000000000008</v>
      </c>
      <c r="T58" s="10">
        <f>H58-'1. Rapport'!$C$26</f>
        <v>4.54</v>
      </c>
      <c r="U58" s="10">
        <f>G58-'1. Rapport'!$C$25</f>
        <v>5.0199999999999996</v>
      </c>
      <c r="V58" s="10">
        <f>D58-'1. Rapport'!$C$22</f>
        <v>5.14</v>
      </c>
      <c r="W58" s="10">
        <f>I58-'1. Rapport'!$C$27</f>
        <v>5.55</v>
      </c>
      <c r="X58" s="10">
        <f>J58-'1. Rapport'!$C$28</f>
        <v>4.66</v>
      </c>
      <c r="Y58" s="10">
        <f>L58-'1. Rapport'!$C$30</f>
        <v>3.51</v>
      </c>
      <c r="Z58" s="10">
        <f>K58-'1. Rapport'!$C$29</f>
        <v>5.22</v>
      </c>
      <c r="AA58" s="8">
        <f t="shared" si="2"/>
        <v>2</v>
      </c>
      <c r="AB58" s="8">
        <f t="shared" si="3"/>
        <v>8</v>
      </c>
    </row>
    <row r="59" spans="1:28" x14ac:dyDescent="0.25">
      <c r="A59" s="8">
        <f t="shared" si="1"/>
        <v>55</v>
      </c>
      <c r="B59" s="46">
        <v>43606</v>
      </c>
      <c r="C59" s="47">
        <v>0.5537037037037037</v>
      </c>
      <c r="D59" s="48">
        <v>4.6900000000000004</v>
      </c>
      <c r="E59" s="48">
        <v>5.56</v>
      </c>
      <c r="F59" s="48">
        <v>5.19</v>
      </c>
      <c r="G59" s="48">
        <v>4.6900000000000004</v>
      </c>
      <c r="H59" s="48">
        <v>4.13</v>
      </c>
      <c r="I59" s="48">
        <v>5.13</v>
      </c>
      <c r="J59" s="48">
        <v>4.4400000000000004</v>
      </c>
      <c r="K59" s="48">
        <v>5.13</v>
      </c>
      <c r="L59" s="48">
        <v>2.81</v>
      </c>
      <c r="M59" s="48">
        <v>26</v>
      </c>
      <c r="N59" s="48">
        <v>34</v>
      </c>
      <c r="Q59" s="9">
        <f t="shared" si="0"/>
        <v>0.5537037037037037</v>
      </c>
      <c r="R59" s="10">
        <f>E59-'1. Rapport'!$C$23</f>
        <v>5.6499999999999995</v>
      </c>
      <c r="S59" s="10">
        <f>F59-'1. Rapport'!$C$24</f>
        <v>5.1700000000000008</v>
      </c>
      <c r="T59" s="10">
        <f>H59-'1. Rapport'!$C$26</f>
        <v>4.29</v>
      </c>
      <c r="U59" s="10">
        <f>G59-'1. Rapport'!$C$25</f>
        <v>4.71</v>
      </c>
      <c r="V59" s="10">
        <f>D59-'1. Rapport'!$C$22</f>
        <v>4.7700000000000005</v>
      </c>
      <c r="W59" s="10">
        <f>I59-'1. Rapport'!$C$27</f>
        <v>5.3</v>
      </c>
      <c r="X59" s="10">
        <f>J59-'1. Rapport'!$C$28</f>
        <v>4.2200000000000006</v>
      </c>
      <c r="Y59" s="10">
        <f>L59-'1. Rapport'!$C$30</f>
        <v>3.13</v>
      </c>
      <c r="Z59" s="10">
        <f>K59-'1. Rapport'!$C$29</f>
        <v>4.97</v>
      </c>
      <c r="AA59" s="8">
        <f t="shared" si="2"/>
        <v>2</v>
      </c>
      <c r="AB59" s="8">
        <f t="shared" si="3"/>
        <v>8</v>
      </c>
    </row>
    <row r="60" spans="1:28" x14ac:dyDescent="0.25">
      <c r="A60" s="8">
        <f t="shared" si="1"/>
        <v>56</v>
      </c>
      <c r="B60" s="46">
        <v>43606</v>
      </c>
      <c r="C60" s="47">
        <v>0.55439814814814814</v>
      </c>
      <c r="D60" s="48">
        <v>4.6900000000000004</v>
      </c>
      <c r="E60" s="48">
        <v>5.5</v>
      </c>
      <c r="F60" s="48">
        <v>5.13</v>
      </c>
      <c r="G60" s="48">
        <v>4.75</v>
      </c>
      <c r="H60" s="48">
        <v>4.0599999999999996</v>
      </c>
      <c r="I60" s="48">
        <v>5.0599999999999996</v>
      </c>
      <c r="J60" s="48">
        <v>4.5</v>
      </c>
      <c r="K60" s="48">
        <v>5.0599999999999996</v>
      </c>
      <c r="L60" s="48">
        <v>3.06</v>
      </c>
      <c r="M60" s="48">
        <v>26</v>
      </c>
      <c r="N60" s="48">
        <v>34</v>
      </c>
      <c r="Q60" s="9">
        <f t="shared" si="0"/>
        <v>0.55439814814814814</v>
      </c>
      <c r="R60" s="10">
        <f>E60-'1. Rapport'!$C$23</f>
        <v>5.59</v>
      </c>
      <c r="S60" s="10">
        <f>F60-'1. Rapport'!$C$24</f>
        <v>5.1100000000000003</v>
      </c>
      <c r="T60" s="10">
        <f>H60-'1. Rapport'!$C$26</f>
        <v>4.22</v>
      </c>
      <c r="U60" s="10">
        <f>G60-'1. Rapport'!$C$25</f>
        <v>4.7699999999999996</v>
      </c>
      <c r="V60" s="10">
        <f>D60-'1. Rapport'!$C$22</f>
        <v>4.7700000000000005</v>
      </c>
      <c r="W60" s="10">
        <f>I60-'1. Rapport'!$C$27</f>
        <v>5.2299999999999995</v>
      </c>
      <c r="X60" s="10">
        <f>J60-'1. Rapport'!$C$28</f>
        <v>4.28</v>
      </c>
      <c r="Y60" s="10">
        <f>L60-'1. Rapport'!$C$30</f>
        <v>3.38</v>
      </c>
      <c r="Z60" s="10">
        <f>K60-'1. Rapport'!$C$29</f>
        <v>4.8999999999999995</v>
      </c>
      <c r="AA60" s="8">
        <f t="shared" si="2"/>
        <v>2</v>
      </c>
      <c r="AB60" s="8">
        <f t="shared" si="3"/>
        <v>8</v>
      </c>
    </row>
    <row r="61" spans="1:28" x14ac:dyDescent="0.25">
      <c r="A61" s="8">
        <f t="shared" si="1"/>
        <v>57</v>
      </c>
      <c r="B61" s="46">
        <v>43606</v>
      </c>
      <c r="C61" s="47">
        <v>0.55509259259259258</v>
      </c>
      <c r="D61" s="48">
        <v>4.75</v>
      </c>
      <c r="E61" s="48">
        <v>5.5</v>
      </c>
      <c r="F61" s="48">
        <v>5.19</v>
      </c>
      <c r="G61" s="48">
        <v>4.88</v>
      </c>
      <c r="H61" s="48">
        <v>4.13</v>
      </c>
      <c r="I61" s="48">
        <v>5.13</v>
      </c>
      <c r="J61" s="48">
        <v>4.75</v>
      </c>
      <c r="K61" s="48">
        <v>5.13</v>
      </c>
      <c r="L61" s="48">
        <v>3.38</v>
      </c>
      <c r="M61" s="48">
        <v>26</v>
      </c>
      <c r="N61" s="48">
        <v>34</v>
      </c>
      <c r="Q61" s="9">
        <f t="shared" si="0"/>
        <v>0.55509259259259258</v>
      </c>
      <c r="R61" s="10">
        <f>E61-'1. Rapport'!$C$23</f>
        <v>5.59</v>
      </c>
      <c r="S61" s="10">
        <f>F61-'1. Rapport'!$C$24</f>
        <v>5.1700000000000008</v>
      </c>
      <c r="T61" s="10">
        <f>H61-'1. Rapport'!$C$26</f>
        <v>4.29</v>
      </c>
      <c r="U61" s="10">
        <f>G61-'1. Rapport'!$C$25</f>
        <v>4.8999999999999995</v>
      </c>
      <c r="V61" s="10">
        <f>D61-'1. Rapport'!$C$22</f>
        <v>4.83</v>
      </c>
      <c r="W61" s="10">
        <f>I61-'1. Rapport'!$C$27</f>
        <v>5.3</v>
      </c>
      <c r="X61" s="10">
        <f>J61-'1. Rapport'!$C$28</f>
        <v>4.53</v>
      </c>
      <c r="Y61" s="10">
        <f>L61-'1. Rapport'!$C$30</f>
        <v>3.6999999999999997</v>
      </c>
      <c r="Z61" s="10">
        <f>K61-'1. Rapport'!$C$29</f>
        <v>4.97</v>
      </c>
      <c r="AA61" s="8">
        <f t="shared" si="2"/>
        <v>2</v>
      </c>
      <c r="AB61" s="8">
        <f t="shared" si="3"/>
        <v>8</v>
      </c>
    </row>
    <row r="62" spans="1:28" x14ac:dyDescent="0.25">
      <c r="A62" s="8">
        <f t="shared" si="1"/>
        <v>58</v>
      </c>
      <c r="B62" s="46">
        <v>43606</v>
      </c>
      <c r="C62" s="47">
        <v>0.55578703703703702</v>
      </c>
      <c r="D62" s="48">
        <v>4.88</v>
      </c>
      <c r="E62" s="48">
        <v>5.56</v>
      </c>
      <c r="F62" s="48">
        <v>5.25</v>
      </c>
      <c r="G62" s="48">
        <v>5</v>
      </c>
      <c r="H62" s="48">
        <v>4.25</v>
      </c>
      <c r="I62" s="48">
        <v>5.19</v>
      </c>
      <c r="J62" s="48">
        <v>4.9400000000000004</v>
      </c>
      <c r="K62" s="48">
        <v>5.25</v>
      </c>
      <c r="L62" s="48">
        <v>3.69</v>
      </c>
      <c r="M62" s="48">
        <v>26.1</v>
      </c>
      <c r="N62" s="48">
        <v>34</v>
      </c>
      <c r="Q62" s="9">
        <f t="shared" si="0"/>
        <v>0.55578703703703702</v>
      </c>
      <c r="R62" s="10">
        <f>E62-'1. Rapport'!$C$23</f>
        <v>5.6499999999999995</v>
      </c>
      <c r="S62" s="10">
        <f>F62-'1. Rapport'!$C$24</f>
        <v>5.23</v>
      </c>
      <c r="T62" s="10">
        <f>H62-'1. Rapport'!$C$26</f>
        <v>4.41</v>
      </c>
      <c r="U62" s="10">
        <f>G62-'1. Rapport'!$C$25</f>
        <v>5.0199999999999996</v>
      </c>
      <c r="V62" s="10">
        <f>D62-'1. Rapport'!$C$22</f>
        <v>4.96</v>
      </c>
      <c r="W62" s="10">
        <f>I62-'1. Rapport'!$C$27</f>
        <v>5.36</v>
      </c>
      <c r="X62" s="10">
        <f>J62-'1. Rapport'!$C$28</f>
        <v>4.7200000000000006</v>
      </c>
      <c r="Y62" s="10">
        <f>L62-'1. Rapport'!$C$30</f>
        <v>4.01</v>
      </c>
      <c r="Z62" s="10">
        <f>K62-'1. Rapport'!$C$29</f>
        <v>5.09</v>
      </c>
      <c r="AA62" s="8">
        <f t="shared" si="2"/>
        <v>2</v>
      </c>
      <c r="AB62" s="8">
        <f t="shared" si="3"/>
        <v>8</v>
      </c>
    </row>
    <row r="63" spans="1:28" x14ac:dyDescent="0.25">
      <c r="A63" s="8">
        <f t="shared" si="1"/>
        <v>59</v>
      </c>
      <c r="B63" s="46">
        <v>43606</v>
      </c>
      <c r="C63" s="47">
        <v>0.55648148148148147</v>
      </c>
      <c r="D63" s="48">
        <v>5.0599999999999996</v>
      </c>
      <c r="E63" s="48">
        <v>5.63</v>
      </c>
      <c r="F63" s="48">
        <v>5.38</v>
      </c>
      <c r="G63" s="48">
        <v>5.13</v>
      </c>
      <c r="H63" s="48">
        <v>4.38</v>
      </c>
      <c r="I63" s="48">
        <v>5.31</v>
      </c>
      <c r="J63" s="48">
        <v>5.19</v>
      </c>
      <c r="K63" s="48">
        <v>5.31</v>
      </c>
      <c r="L63" s="48">
        <v>4</v>
      </c>
      <c r="M63" s="48">
        <v>26.1</v>
      </c>
      <c r="N63" s="48">
        <v>34</v>
      </c>
      <c r="Q63" s="9">
        <f t="shared" si="0"/>
        <v>0.55648148148148147</v>
      </c>
      <c r="R63" s="10">
        <f>E63-'1. Rapport'!$C$23</f>
        <v>5.72</v>
      </c>
      <c r="S63" s="10">
        <f>F63-'1. Rapport'!$C$24</f>
        <v>5.36</v>
      </c>
      <c r="T63" s="10">
        <f>H63-'1. Rapport'!$C$26</f>
        <v>4.54</v>
      </c>
      <c r="U63" s="10">
        <f>G63-'1. Rapport'!$C$25</f>
        <v>5.1499999999999995</v>
      </c>
      <c r="V63" s="10">
        <f>D63-'1. Rapport'!$C$22</f>
        <v>5.14</v>
      </c>
      <c r="W63" s="10">
        <f>I63-'1. Rapport'!$C$27</f>
        <v>5.4799999999999995</v>
      </c>
      <c r="X63" s="10">
        <f>J63-'1. Rapport'!$C$28</f>
        <v>4.9700000000000006</v>
      </c>
      <c r="Y63" s="10">
        <f>L63-'1. Rapport'!$C$30</f>
        <v>4.32</v>
      </c>
      <c r="Z63" s="10">
        <f>K63-'1. Rapport'!$C$29</f>
        <v>5.1499999999999995</v>
      </c>
      <c r="AA63" s="8">
        <f t="shared" si="2"/>
        <v>2</v>
      </c>
      <c r="AB63" s="8">
        <f t="shared" si="3"/>
        <v>8</v>
      </c>
    </row>
    <row r="64" spans="1:28" x14ac:dyDescent="0.25">
      <c r="A64" s="8">
        <f t="shared" si="1"/>
        <v>60</v>
      </c>
      <c r="B64" s="46">
        <v>43606</v>
      </c>
      <c r="C64" s="47">
        <v>0.55717592592592591</v>
      </c>
      <c r="D64" s="48">
        <v>5.19</v>
      </c>
      <c r="E64" s="48">
        <v>5.69</v>
      </c>
      <c r="F64" s="48">
        <v>5.5</v>
      </c>
      <c r="G64" s="48">
        <v>5.31</v>
      </c>
      <c r="H64" s="48">
        <v>4.5599999999999996</v>
      </c>
      <c r="I64" s="48">
        <v>5.44</v>
      </c>
      <c r="J64" s="48">
        <v>5.38</v>
      </c>
      <c r="K64" s="48">
        <v>5.5</v>
      </c>
      <c r="L64" s="48">
        <v>4.25</v>
      </c>
      <c r="M64" s="48">
        <v>26</v>
      </c>
      <c r="N64" s="48">
        <v>34</v>
      </c>
      <c r="Q64" s="9">
        <f t="shared" si="0"/>
        <v>0.55717592592592591</v>
      </c>
      <c r="R64" s="10">
        <f>E64-'1. Rapport'!$C$23</f>
        <v>5.78</v>
      </c>
      <c r="S64" s="10">
        <f>F64-'1. Rapport'!$C$24</f>
        <v>5.48</v>
      </c>
      <c r="T64" s="10">
        <f>H64-'1. Rapport'!$C$26</f>
        <v>4.72</v>
      </c>
      <c r="U64" s="10">
        <f>G64-'1. Rapport'!$C$25</f>
        <v>5.3299999999999992</v>
      </c>
      <c r="V64" s="10">
        <f>D64-'1. Rapport'!$C$22</f>
        <v>5.2700000000000005</v>
      </c>
      <c r="W64" s="10">
        <f>I64-'1. Rapport'!$C$27</f>
        <v>5.61</v>
      </c>
      <c r="X64" s="10">
        <f>J64-'1. Rapport'!$C$28</f>
        <v>5.16</v>
      </c>
      <c r="Y64" s="10">
        <f>L64-'1. Rapport'!$C$30</f>
        <v>4.57</v>
      </c>
      <c r="Z64" s="10">
        <f>K64-'1. Rapport'!$C$29</f>
        <v>5.34</v>
      </c>
      <c r="AA64" s="8">
        <f t="shared" si="2"/>
        <v>2</v>
      </c>
      <c r="AB64" s="8">
        <f t="shared" si="3"/>
        <v>8</v>
      </c>
    </row>
    <row r="65" spans="1:28" x14ac:dyDescent="0.25">
      <c r="A65" s="8">
        <f t="shared" si="1"/>
        <v>61</v>
      </c>
      <c r="B65" s="46">
        <v>43606</v>
      </c>
      <c r="C65" s="47">
        <v>0.55787037037037035</v>
      </c>
      <c r="D65" s="48">
        <v>5.38</v>
      </c>
      <c r="E65" s="48">
        <v>5.81</v>
      </c>
      <c r="F65" s="48">
        <v>5.63</v>
      </c>
      <c r="G65" s="48">
        <v>5.44</v>
      </c>
      <c r="H65" s="48">
        <v>4.6900000000000004</v>
      </c>
      <c r="I65" s="48">
        <v>5.56</v>
      </c>
      <c r="J65" s="48">
        <v>5.56</v>
      </c>
      <c r="K65" s="48">
        <v>5.63</v>
      </c>
      <c r="L65" s="48">
        <v>4.5</v>
      </c>
      <c r="M65" s="48">
        <v>26</v>
      </c>
      <c r="N65" s="48">
        <v>34</v>
      </c>
      <c r="Q65" s="9">
        <f t="shared" si="0"/>
        <v>0.55787037037037035</v>
      </c>
      <c r="R65" s="10">
        <f>E65-'1. Rapport'!$C$23</f>
        <v>5.8999999999999995</v>
      </c>
      <c r="S65" s="10">
        <f>F65-'1. Rapport'!$C$24</f>
        <v>5.61</v>
      </c>
      <c r="T65" s="10">
        <f>H65-'1. Rapport'!$C$26</f>
        <v>4.8500000000000005</v>
      </c>
      <c r="U65" s="10">
        <f>G65-'1. Rapport'!$C$25</f>
        <v>5.46</v>
      </c>
      <c r="V65" s="10">
        <f>D65-'1. Rapport'!$C$22</f>
        <v>5.46</v>
      </c>
      <c r="W65" s="10">
        <f>I65-'1. Rapport'!$C$27</f>
        <v>5.7299999999999995</v>
      </c>
      <c r="X65" s="10">
        <f>J65-'1. Rapport'!$C$28</f>
        <v>5.34</v>
      </c>
      <c r="Y65" s="10">
        <f>L65-'1. Rapport'!$C$30</f>
        <v>4.82</v>
      </c>
      <c r="Z65" s="10">
        <f>K65-'1. Rapport'!$C$29</f>
        <v>5.47</v>
      </c>
      <c r="AA65" s="8">
        <f t="shared" si="2"/>
        <v>2</v>
      </c>
      <c r="AB65" s="8">
        <f t="shared" si="3"/>
        <v>8</v>
      </c>
    </row>
    <row r="66" spans="1:28" x14ac:dyDescent="0.25">
      <c r="A66" s="8">
        <f t="shared" si="1"/>
        <v>62</v>
      </c>
      <c r="B66" s="46">
        <v>43606</v>
      </c>
      <c r="C66" s="47">
        <v>0.55856481481481479</v>
      </c>
      <c r="D66" s="48">
        <v>5.56</v>
      </c>
      <c r="E66" s="48">
        <v>5.88</v>
      </c>
      <c r="F66" s="48">
        <v>5.69</v>
      </c>
      <c r="G66" s="48">
        <v>5.56</v>
      </c>
      <c r="H66" s="48">
        <v>4.8099999999999996</v>
      </c>
      <c r="I66" s="48">
        <v>5.69</v>
      </c>
      <c r="J66" s="48">
        <v>5.75</v>
      </c>
      <c r="K66" s="48">
        <v>5.75</v>
      </c>
      <c r="L66" s="48">
        <v>4.6900000000000004</v>
      </c>
      <c r="M66" s="48">
        <v>25.9</v>
      </c>
      <c r="N66" s="48">
        <v>33</v>
      </c>
      <c r="Q66" s="9">
        <f t="shared" si="0"/>
        <v>0.55856481481481479</v>
      </c>
      <c r="R66" s="10">
        <f>E66-'1. Rapport'!$C$23</f>
        <v>5.97</v>
      </c>
      <c r="S66" s="10">
        <f>F66-'1. Rapport'!$C$24</f>
        <v>5.6700000000000008</v>
      </c>
      <c r="T66" s="10">
        <f>H66-'1. Rapport'!$C$26</f>
        <v>4.97</v>
      </c>
      <c r="U66" s="10">
        <f>G66-'1. Rapport'!$C$25</f>
        <v>5.5799999999999992</v>
      </c>
      <c r="V66" s="10">
        <f>D66-'1. Rapport'!$C$22</f>
        <v>5.64</v>
      </c>
      <c r="W66" s="10">
        <f>I66-'1. Rapport'!$C$27</f>
        <v>5.86</v>
      </c>
      <c r="X66" s="10">
        <f>J66-'1. Rapport'!$C$28</f>
        <v>5.53</v>
      </c>
      <c r="Y66" s="10">
        <f>L66-'1. Rapport'!$C$30</f>
        <v>5.0100000000000007</v>
      </c>
      <c r="Z66" s="10">
        <f>K66-'1. Rapport'!$C$29</f>
        <v>5.59</v>
      </c>
      <c r="AA66" s="8">
        <f t="shared" si="2"/>
        <v>2</v>
      </c>
      <c r="AB66" s="8">
        <f t="shared" si="3"/>
        <v>8</v>
      </c>
    </row>
    <row r="67" spans="1:28" x14ac:dyDescent="0.25">
      <c r="A67" s="8">
        <f t="shared" si="1"/>
        <v>63</v>
      </c>
      <c r="B67" s="46">
        <v>43606</v>
      </c>
      <c r="C67" s="47">
        <v>0.55925925925925923</v>
      </c>
      <c r="D67" s="48">
        <v>5.44</v>
      </c>
      <c r="E67" s="48">
        <v>5.88</v>
      </c>
      <c r="F67" s="48">
        <v>5.69</v>
      </c>
      <c r="G67" s="48">
        <v>5.25</v>
      </c>
      <c r="H67" s="48">
        <v>4.63</v>
      </c>
      <c r="I67" s="48">
        <v>5.63</v>
      </c>
      <c r="J67" s="48">
        <v>5.5</v>
      </c>
      <c r="K67" s="48">
        <v>5.63</v>
      </c>
      <c r="L67" s="48">
        <v>4</v>
      </c>
      <c r="M67" s="48">
        <v>25.9</v>
      </c>
      <c r="N67" s="48">
        <v>33</v>
      </c>
      <c r="Q67" s="9">
        <f t="shared" si="0"/>
        <v>0.55925925925925923</v>
      </c>
      <c r="R67" s="10">
        <f>E67-'1. Rapport'!$C$23</f>
        <v>5.97</v>
      </c>
      <c r="S67" s="10">
        <f>F67-'1. Rapport'!$C$24</f>
        <v>5.6700000000000008</v>
      </c>
      <c r="T67" s="10">
        <f>H67-'1. Rapport'!$C$26</f>
        <v>4.79</v>
      </c>
      <c r="U67" s="10">
        <f>G67-'1. Rapport'!$C$25</f>
        <v>5.27</v>
      </c>
      <c r="V67" s="10">
        <f>D67-'1. Rapport'!$C$22</f>
        <v>5.5200000000000005</v>
      </c>
      <c r="W67" s="10">
        <f>I67-'1. Rapport'!$C$27</f>
        <v>5.8</v>
      </c>
      <c r="X67" s="10">
        <f>J67-'1. Rapport'!$C$28</f>
        <v>5.28</v>
      </c>
      <c r="Y67" s="10">
        <f>L67-'1. Rapport'!$C$30</f>
        <v>4.32</v>
      </c>
      <c r="Z67" s="10">
        <f>K67-'1. Rapport'!$C$29</f>
        <v>5.47</v>
      </c>
      <c r="AA67" s="8">
        <f t="shared" si="2"/>
        <v>2</v>
      </c>
      <c r="AB67" s="8">
        <f t="shared" si="3"/>
        <v>8</v>
      </c>
    </row>
    <row r="68" spans="1:28" x14ac:dyDescent="0.25">
      <c r="A68" s="8">
        <f t="shared" si="1"/>
        <v>64</v>
      </c>
      <c r="B68" s="46">
        <v>43606</v>
      </c>
      <c r="C68" s="47">
        <v>0.55995370370370368</v>
      </c>
      <c r="D68" s="48">
        <v>4.9400000000000004</v>
      </c>
      <c r="E68" s="48">
        <v>5.69</v>
      </c>
      <c r="F68" s="48">
        <v>5.38</v>
      </c>
      <c r="G68" s="48">
        <v>4.88</v>
      </c>
      <c r="H68" s="48">
        <v>4.25</v>
      </c>
      <c r="I68" s="48">
        <v>5.31</v>
      </c>
      <c r="J68" s="48">
        <v>4.75</v>
      </c>
      <c r="K68" s="48">
        <v>5.38</v>
      </c>
      <c r="L68" s="48">
        <v>3.06</v>
      </c>
      <c r="M68" s="48">
        <v>26</v>
      </c>
      <c r="N68" s="48">
        <v>34</v>
      </c>
      <c r="Q68" s="9">
        <f t="shared" si="0"/>
        <v>0.55995370370370368</v>
      </c>
      <c r="R68" s="10">
        <f>E68-'1. Rapport'!$C$23</f>
        <v>5.78</v>
      </c>
      <c r="S68" s="10">
        <f>F68-'1. Rapport'!$C$24</f>
        <v>5.36</v>
      </c>
      <c r="T68" s="10">
        <f>H68-'1. Rapport'!$C$26</f>
        <v>4.41</v>
      </c>
      <c r="U68" s="10">
        <f>G68-'1. Rapport'!$C$25</f>
        <v>4.8999999999999995</v>
      </c>
      <c r="V68" s="10">
        <f>D68-'1. Rapport'!$C$22</f>
        <v>5.0200000000000005</v>
      </c>
      <c r="W68" s="10">
        <f>I68-'1. Rapport'!$C$27</f>
        <v>5.4799999999999995</v>
      </c>
      <c r="X68" s="10">
        <f>J68-'1. Rapport'!$C$28</f>
        <v>4.53</v>
      </c>
      <c r="Y68" s="10">
        <f>L68-'1. Rapport'!$C$30</f>
        <v>3.38</v>
      </c>
      <c r="Z68" s="10">
        <f>K68-'1. Rapport'!$C$29</f>
        <v>5.22</v>
      </c>
      <c r="AA68" s="8">
        <f t="shared" si="2"/>
        <v>2</v>
      </c>
      <c r="AB68" s="8">
        <f t="shared" si="3"/>
        <v>8</v>
      </c>
    </row>
    <row r="69" spans="1:28" x14ac:dyDescent="0.25">
      <c r="A69" s="8">
        <f t="shared" si="1"/>
        <v>65</v>
      </c>
      <c r="B69" s="46">
        <v>43606</v>
      </c>
      <c r="C69" s="47">
        <v>0.56064814814814812</v>
      </c>
      <c r="D69" s="48">
        <v>4.6900000000000004</v>
      </c>
      <c r="E69" s="48">
        <v>5.5</v>
      </c>
      <c r="F69" s="48">
        <v>5.19</v>
      </c>
      <c r="G69" s="48">
        <v>4.75</v>
      </c>
      <c r="H69" s="48">
        <v>4.13</v>
      </c>
      <c r="I69" s="48">
        <v>5.13</v>
      </c>
      <c r="J69" s="48">
        <v>4.4400000000000004</v>
      </c>
      <c r="K69" s="48">
        <v>5.13</v>
      </c>
      <c r="L69" s="48">
        <v>2.94</v>
      </c>
      <c r="M69" s="48">
        <v>26</v>
      </c>
      <c r="N69" s="48">
        <v>34</v>
      </c>
      <c r="Q69" s="9">
        <f t="shared" si="0"/>
        <v>0.56064814814814812</v>
      </c>
      <c r="R69" s="10">
        <f>E69-'1. Rapport'!$C$23</f>
        <v>5.59</v>
      </c>
      <c r="S69" s="10">
        <f>F69-'1. Rapport'!$C$24</f>
        <v>5.1700000000000008</v>
      </c>
      <c r="T69" s="10">
        <f>H69-'1. Rapport'!$C$26</f>
        <v>4.29</v>
      </c>
      <c r="U69" s="10">
        <f>G69-'1. Rapport'!$C$25</f>
        <v>4.7699999999999996</v>
      </c>
      <c r="V69" s="10">
        <f>D69-'1. Rapport'!$C$22</f>
        <v>4.7700000000000005</v>
      </c>
      <c r="W69" s="10">
        <f>I69-'1. Rapport'!$C$27</f>
        <v>5.3</v>
      </c>
      <c r="X69" s="10">
        <f>J69-'1. Rapport'!$C$28</f>
        <v>4.2200000000000006</v>
      </c>
      <c r="Y69" s="10">
        <f>L69-'1. Rapport'!$C$30</f>
        <v>3.26</v>
      </c>
      <c r="Z69" s="10">
        <f>K69-'1. Rapport'!$C$29</f>
        <v>4.97</v>
      </c>
      <c r="AA69" s="8">
        <f t="shared" si="2"/>
        <v>2</v>
      </c>
      <c r="AB69" s="8">
        <f t="shared" si="3"/>
        <v>8</v>
      </c>
    </row>
    <row r="70" spans="1:28" x14ac:dyDescent="0.25">
      <c r="A70" s="8">
        <f t="shared" si="1"/>
        <v>66</v>
      </c>
      <c r="B70" s="46">
        <v>43606</v>
      </c>
      <c r="C70" s="47">
        <v>0.56134259259259256</v>
      </c>
      <c r="D70" s="48">
        <v>4.6900000000000004</v>
      </c>
      <c r="E70" s="48">
        <v>5.5</v>
      </c>
      <c r="F70" s="48">
        <v>5.19</v>
      </c>
      <c r="G70" s="48">
        <v>4.88</v>
      </c>
      <c r="H70" s="48">
        <v>4.0599999999999996</v>
      </c>
      <c r="I70" s="48">
        <v>5.0599999999999996</v>
      </c>
      <c r="J70" s="48">
        <v>4.63</v>
      </c>
      <c r="K70" s="48">
        <v>5.13</v>
      </c>
      <c r="L70" s="48">
        <v>3.19</v>
      </c>
      <c r="M70" s="48">
        <v>26</v>
      </c>
      <c r="N70" s="48">
        <v>34</v>
      </c>
      <c r="Q70" s="9">
        <f t="shared" ref="Q70:Q133" si="4">C70</f>
        <v>0.56134259259259256</v>
      </c>
      <c r="R70" s="10">
        <f>E70-'1. Rapport'!$C$23</f>
        <v>5.59</v>
      </c>
      <c r="S70" s="10">
        <f>F70-'1. Rapport'!$C$24</f>
        <v>5.1700000000000008</v>
      </c>
      <c r="T70" s="10">
        <f>H70-'1. Rapport'!$C$26</f>
        <v>4.22</v>
      </c>
      <c r="U70" s="10">
        <f>G70-'1. Rapport'!$C$25</f>
        <v>4.8999999999999995</v>
      </c>
      <c r="V70" s="10">
        <f>D70-'1. Rapport'!$C$22</f>
        <v>4.7700000000000005</v>
      </c>
      <c r="W70" s="10">
        <f>I70-'1. Rapport'!$C$27</f>
        <v>5.2299999999999995</v>
      </c>
      <c r="X70" s="10">
        <f>J70-'1. Rapport'!$C$28</f>
        <v>4.41</v>
      </c>
      <c r="Y70" s="10">
        <f>L70-'1. Rapport'!$C$30</f>
        <v>3.51</v>
      </c>
      <c r="Z70" s="10">
        <f>K70-'1. Rapport'!$C$29</f>
        <v>4.97</v>
      </c>
      <c r="AA70" s="8">
        <f t="shared" si="2"/>
        <v>2</v>
      </c>
      <c r="AB70" s="8">
        <f t="shared" si="3"/>
        <v>8</v>
      </c>
    </row>
    <row r="71" spans="1:28" x14ac:dyDescent="0.25">
      <c r="A71" s="8">
        <f t="shared" ref="A71:A134" si="5">A70+1</f>
        <v>67</v>
      </c>
      <c r="B71" s="46">
        <v>43606</v>
      </c>
      <c r="C71" s="47">
        <v>0.562037037037037</v>
      </c>
      <c r="D71" s="48">
        <v>4.8099999999999996</v>
      </c>
      <c r="E71" s="48">
        <v>5.5</v>
      </c>
      <c r="F71" s="48">
        <v>5.19</v>
      </c>
      <c r="G71" s="48">
        <v>4.9400000000000004</v>
      </c>
      <c r="H71" s="48">
        <v>4.1900000000000004</v>
      </c>
      <c r="I71" s="48">
        <v>5.13</v>
      </c>
      <c r="J71" s="48">
        <v>4.8099999999999996</v>
      </c>
      <c r="K71" s="48">
        <v>5.19</v>
      </c>
      <c r="L71" s="48">
        <v>3.5</v>
      </c>
      <c r="M71" s="48">
        <v>26</v>
      </c>
      <c r="N71" s="48">
        <v>34</v>
      </c>
      <c r="Q71" s="9">
        <f t="shared" si="4"/>
        <v>0.562037037037037</v>
      </c>
      <c r="R71" s="10">
        <f>E71-'1. Rapport'!$C$23</f>
        <v>5.59</v>
      </c>
      <c r="S71" s="10">
        <f>F71-'1. Rapport'!$C$24</f>
        <v>5.1700000000000008</v>
      </c>
      <c r="T71" s="10">
        <f>H71-'1. Rapport'!$C$26</f>
        <v>4.3500000000000005</v>
      </c>
      <c r="U71" s="10">
        <f>G71-'1. Rapport'!$C$25</f>
        <v>4.96</v>
      </c>
      <c r="V71" s="10">
        <f>D71-'1. Rapport'!$C$22</f>
        <v>4.8899999999999997</v>
      </c>
      <c r="W71" s="10">
        <f>I71-'1. Rapport'!$C$27</f>
        <v>5.3</v>
      </c>
      <c r="X71" s="10">
        <f>J71-'1. Rapport'!$C$28</f>
        <v>4.59</v>
      </c>
      <c r="Y71" s="10">
        <f>L71-'1. Rapport'!$C$30</f>
        <v>3.82</v>
      </c>
      <c r="Z71" s="10">
        <f>K71-'1. Rapport'!$C$29</f>
        <v>5.03</v>
      </c>
      <c r="AA71" s="8">
        <f t="shared" ref="AA71:AA134" si="6">$AA$5</f>
        <v>2</v>
      </c>
      <c r="AB71" s="8">
        <f t="shared" ref="AB71:AB134" si="7">$AB$5</f>
        <v>8</v>
      </c>
    </row>
    <row r="72" spans="1:28" x14ac:dyDescent="0.25">
      <c r="A72" s="8">
        <f t="shared" si="5"/>
        <v>68</v>
      </c>
      <c r="B72" s="46">
        <v>43606</v>
      </c>
      <c r="C72" s="47">
        <v>0.56273148148148155</v>
      </c>
      <c r="D72" s="48">
        <v>4.9400000000000004</v>
      </c>
      <c r="E72" s="48">
        <v>5.56</v>
      </c>
      <c r="F72" s="48">
        <v>5.31</v>
      </c>
      <c r="G72" s="48">
        <v>5</v>
      </c>
      <c r="H72" s="48">
        <v>4.3099999999999996</v>
      </c>
      <c r="I72" s="48">
        <v>5.19</v>
      </c>
      <c r="J72" s="48">
        <v>5.0599999999999996</v>
      </c>
      <c r="K72" s="48">
        <v>5.25</v>
      </c>
      <c r="L72" s="48">
        <v>3.75</v>
      </c>
      <c r="M72" s="48">
        <v>25.9</v>
      </c>
      <c r="N72" s="48">
        <v>33</v>
      </c>
      <c r="Q72" s="9">
        <f t="shared" si="4"/>
        <v>0.56273148148148155</v>
      </c>
      <c r="R72" s="10">
        <f>E72-'1. Rapport'!$C$23</f>
        <v>5.6499999999999995</v>
      </c>
      <c r="S72" s="10">
        <f>F72-'1. Rapport'!$C$24</f>
        <v>5.29</v>
      </c>
      <c r="T72" s="10">
        <f>H72-'1. Rapport'!$C$26</f>
        <v>4.47</v>
      </c>
      <c r="U72" s="10">
        <f>G72-'1. Rapport'!$C$25</f>
        <v>5.0199999999999996</v>
      </c>
      <c r="V72" s="10">
        <f>D72-'1. Rapport'!$C$22</f>
        <v>5.0200000000000005</v>
      </c>
      <c r="W72" s="10">
        <f>I72-'1. Rapport'!$C$27</f>
        <v>5.36</v>
      </c>
      <c r="X72" s="10">
        <f>J72-'1. Rapport'!$C$28</f>
        <v>4.84</v>
      </c>
      <c r="Y72" s="10">
        <f>L72-'1. Rapport'!$C$30</f>
        <v>4.07</v>
      </c>
      <c r="Z72" s="10">
        <f>K72-'1. Rapport'!$C$29</f>
        <v>5.09</v>
      </c>
      <c r="AA72" s="8">
        <f t="shared" si="6"/>
        <v>2</v>
      </c>
      <c r="AB72" s="8">
        <f t="shared" si="7"/>
        <v>8</v>
      </c>
    </row>
    <row r="73" spans="1:28" x14ac:dyDescent="0.25">
      <c r="A73" s="8">
        <f t="shared" si="5"/>
        <v>69</v>
      </c>
      <c r="B73" s="46">
        <v>43606</v>
      </c>
      <c r="C73" s="47">
        <v>0.56342592592592589</v>
      </c>
      <c r="D73" s="48">
        <v>5.13</v>
      </c>
      <c r="E73" s="48">
        <v>5.63</v>
      </c>
      <c r="F73" s="48">
        <v>5.38</v>
      </c>
      <c r="G73" s="48">
        <v>5.19</v>
      </c>
      <c r="H73" s="48">
        <v>4.4400000000000004</v>
      </c>
      <c r="I73" s="48">
        <v>5.31</v>
      </c>
      <c r="J73" s="48">
        <v>5.25</v>
      </c>
      <c r="K73" s="48">
        <v>5.38</v>
      </c>
      <c r="L73" s="48">
        <v>4.0599999999999996</v>
      </c>
      <c r="M73" s="48">
        <v>26</v>
      </c>
      <c r="N73" s="48">
        <v>34</v>
      </c>
      <c r="Q73" s="9">
        <f t="shared" si="4"/>
        <v>0.56342592592592589</v>
      </c>
      <c r="R73" s="10">
        <f>E73-'1. Rapport'!$C$23</f>
        <v>5.72</v>
      </c>
      <c r="S73" s="10">
        <f>F73-'1. Rapport'!$C$24</f>
        <v>5.36</v>
      </c>
      <c r="T73" s="10">
        <f>H73-'1. Rapport'!$C$26</f>
        <v>4.6000000000000005</v>
      </c>
      <c r="U73" s="10">
        <f>G73-'1. Rapport'!$C$25</f>
        <v>5.21</v>
      </c>
      <c r="V73" s="10">
        <f>D73-'1. Rapport'!$C$22</f>
        <v>5.21</v>
      </c>
      <c r="W73" s="10">
        <f>I73-'1. Rapport'!$C$27</f>
        <v>5.4799999999999995</v>
      </c>
      <c r="X73" s="10">
        <f>J73-'1. Rapport'!$C$28</f>
        <v>5.03</v>
      </c>
      <c r="Y73" s="10">
        <f>L73-'1. Rapport'!$C$30</f>
        <v>4.38</v>
      </c>
      <c r="Z73" s="10">
        <f>K73-'1. Rapport'!$C$29</f>
        <v>5.22</v>
      </c>
      <c r="AA73" s="8">
        <f t="shared" si="6"/>
        <v>2</v>
      </c>
      <c r="AB73" s="8">
        <f t="shared" si="7"/>
        <v>8</v>
      </c>
    </row>
    <row r="74" spans="1:28" x14ac:dyDescent="0.25">
      <c r="A74" s="8">
        <f t="shared" si="5"/>
        <v>70</v>
      </c>
      <c r="B74" s="46">
        <v>43606</v>
      </c>
      <c r="C74" s="47">
        <v>0.56412037037037044</v>
      </c>
      <c r="D74" s="48">
        <v>5.25</v>
      </c>
      <c r="E74" s="48">
        <v>5.75</v>
      </c>
      <c r="F74" s="48">
        <v>5.5</v>
      </c>
      <c r="G74" s="48">
        <v>5.31</v>
      </c>
      <c r="H74" s="48">
        <v>4.5599999999999996</v>
      </c>
      <c r="I74" s="48">
        <v>5.5</v>
      </c>
      <c r="J74" s="48">
        <v>5.44</v>
      </c>
      <c r="K74" s="48">
        <v>5.5</v>
      </c>
      <c r="L74" s="48">
        <v>4.3099999999999996</v>
      </c>
      <c r="M74" s="48">
        <v>25.9</v>
      </c>
      <c r="N74" s="48">
        <v>33</v>
      </c>
      <c r="Q74" s="9">
        <f t="shared" si="4"/>
        <v>0.56412037037037044</v>
      </c>
      <c r="R74" s="10">
        <f>E74-'1. Rapport'!$C$23</f>
        <v>5.84</v>
      </c>
      <c r="S74" s="10">
        <f>F74-'1. Rapport'!$C$24</f>
        <v>5.48</v>
      </c>
      <c r="T74" s="10">
        <f>H74-'1. Rapport'!$C$26</f>
        <v>4.72</v>
      </c>
      <c r="U74" s="10">
        <f>G74-'1. Rapport'!$C$25</f>
        <v>5.3299999999999992</v>
      </c>
      <c r="V74" s="10">
        <f>D74-'1. Rapport'!$C$22</f>
        <v>5.33</v>
      </c>
      <c r="W74" s="10">
        <f>I74-'1. Rapport'!$C$27</f>
        <v>5.67</v>
      </c>
      <c r="X74" s="10">
        <f>J74-'1. Rapport'!$C$28</f>
        <v>5.2200000000000006</v>
      </c>
      <c r="Y74" s="10">
        <f>L74-'1. Rapport'!$C$30</f>
        <v>4.63</v>
      </c>
      <c r="Z74" s="10">
        <f>K74-'1. Rapport'!$C$29</f>
        <v>5.34</v>
      </c>
      <c r="AA74" s="8">
        <f t="shared" si="6"/>
        <v>2</v>
      </c>
      <c r="AB74" s="8">
        <f t="shared" si="7"/>
        <v>8</v>
      </c>
    </row>
    <row r="75" spans="1:28" x14ac:dyDescent="0.25">
      <c r="A75" s="8">
        <f t="shared" si="5"/>
        <v>71</v>
      </c>
      <c r="B75" s="46">
        <v>43606</v>
      </c>
      <c r="C75" s="47">
        <v>0.56481481481481477</v>
      </c>
      <c r="D75" s="48">
        <v>5.44</v>
      </c>
      <c r="E75" s="48">
        <v>5.81</v>
      </c>
      <c r="F75" s="48">
        <v>5.63</v>
      </c>
      <c r="G75" s="48">
        <v>5.5</v>
      </c>
      <c r="H75" s="48">
        <v>4.75</v>
      </c>
      <c r="I75" s="48">
        <v>5.63</v>
      </c>
      <c r="J75" s="48">
        <v>5.63</v>
      </c>
      <c r="K75" s="48">
        <v>5.63</v>
      </c>
      <c r="L75" s="48">
        <v>4.5599999999999996</v>
      </c>
      <c r="M75" s="48">
        <v>25.9</v>
      </c>
      <c r="N75" s="48">
        <v>33</v>
      </c>
      <c r="Q75" s="9">
        <f t="shared" si="4"/>
        <v>0.56481481481481477</v>
      </c>
      <c r="R75" s="10">
        <f>E75-'1. Rapport'!$C$23</f>
        <v>5.8999999999999995</v>
      </c>
      <c r="S75" s="10">
        <f>F75-'1. Rapport'!$C$24</f>
        <v>5.61</v>
      </c>
      <c r="T75" s="10">
        <f>H75-'1. Rapport'!$C$26</f>
        <v>4.91</v>
      </c>
      <c r="U75" s="10">
        <f>G75-'1. Rapport'!$C$25</f>
        <v>5.52</v>
      </c>
      <c r="V75" s="10">
        <f>D75-'1. Rapport'!$C$22</f>
        <v>5.5200000000000005</v>
      </c>
      <c r="W75" s="10">
        <f>I75-'1. Rapport'!$C$27</f>
        <v>5.8</v>
      </c>
      <c r="X75" s="10">
        <f>J75-'1. Rapport'!$C$28</f>
        <v>5.41</v>
      </c>
      <c r="Y75" s="10">
        <f>L75-'1. Rapport'!$C$30</f>
        <v>4.88</v>
      </c>
      <c r="Z75" s="10">
        <f>K75-'1. Rapport'!$C$29</f>
        <v>5.47</v>
      </c>
      <c r="AA75" s="8">
        <f t="shared" si="6"/>
        <v>2</v>
      </c>
      <c r="AB75" s="8">
        <f t="shared" si="7"/>
        <v>8</v>
      </c>
    </row>
    <row r="76" spans="1:28" x14ac:dyDescent="0.25">
      <c r="A76" s="8">
        <f t="shared" si="5"/>
        <v>72</v>
      </c>
      <c r="B76" s="46">
        <v>43606</v>
      </c>
      <c r="C76" s="47">
        <v>0.56550925925925932</v>
      </c>
      <c r="D76" s="48">
        <v>5.56</v>
      </c>
      <c r="E76" s="48">
        <v>5.88</v>
      </c>
      <c r="F76" s="48">
        <v>5.69</v>
      </c>
      <c r="G76" s="48">
        <v>5.56</v>
      </c>
      <c r="H76" s="48">
        <v>4.8099999999999996</v>
      </c>
      <c r="I76" s="48">
        <v>5.69</v>
      </c>
      <c r="J76" s="48">
        <v>5.69</v>
      </c>
      <c r="K76" s="48">
        <v>5.75</v>
      </c>
      <c r="L76" s="48">
        <v>4.63</v>
      </c>
      <c r="M76" s="48">
        <v>25.9</v>
      </c>
      <c r="N76" s="48">
        <v>33</v>
      </c>
      <c r="Q76" s="9">
        <f t="shared" si="4"/>
        <v>0.56550925925925932</v>
      </c>
      <c r="R76" s="10">
        <f>E76-'1. Rapport'!$C$23</f>
        <v>5.97</v>
      </c>
      <c r="S76" s="10">
        <f>F76-'1. Rapport'!$C$24</f>
        <v>5.6700000000000008</v>
      </c>
      <c r="T76" s="10">
        <f>H76-'1. Rapport'!$C$26</f>
        <v>4.97</v>
      </c>
      <c r="U76" s="10">
        <f>G76-'1. Rapport'!$C$25</f>
        <v>5.5799999999999992</v>
      </c>
      <c r="V76" s="10">
        <f>D76-'1. Rapport'!$C$22</f>
        <v>5.64</v>
      </c>
      <c r="W76" s="10">
        <f>I76-'1. Rapport'!$C$27</f>
        <v>5.86</v>
      </c>
      <c r="X76" s="10">
        <f>J76-'1. Rapport'!$C$28</f>
        <v>5.4700000000000006</v>
      </c>
      <c r="Y76" s="10">
        <f>L76-'1. Rapport'!$C$30</f>
        <v>4.95</v>
      </c>
      <c r="Z76" s="10">
        <f>K76-'1. Rapport'!$C$29</f>
        <v>5.59</v>
      </c>
      <c r="AA76" s="8">
        <f t="shared" si="6"/>
        <v>2</v>
      </c>
      <c r="AB76" s="8">
        <f t="shared" si="7"/>
        <v>8</v>
      </c>
    </row>
    <row r="77" spans="1:28" x14ac:dyDescent="0.25">
      <c r="A77" s="8">
        <f t="shared" si="5"/>
        <v>73</v>
      </c>
      <c r="B77" s="46">
        <v>43606</v>
      </c>
      <c r="C77" s="47">
        <v>0.56620370370370365</v>
      </c>
      <c r="D77" s="48">
        <v>5.31</v>
      </c>
      <c r="E77" s="48">
        <v>5.81</v>
      </c>
      <c r="F77" s="48">
        <v>5.63</v>
      </c>
      <c r="G77" s="48">
        <v>5.25</v>
      </c>
      <c r="H77" s="48">
        <v>4.5599999999999996</v>
      </c>
      <c r="I77" s="48">
        <v>5.56</v>
      </c>
      <c r="J77" s="48">
        <v>5.31</v>
      </c>
      <c r="K77" s="48">
        <v>5.56</v>
      </c>
      <c r="L77" s="48">
        <v>3.75</v>
      </c>
      <c r="M77" s="48">
        <v>25.9</v>
      </c>
      <c r="N77" s="48">
        <v>34</v>
      </c>
      <c r="Q77" s="9">
        <f t="shared" si="4"/>
        <v>0.56620370370370365</v>
      </c>
      <c r="R77" s="10">
        <f>E77-'1. Rapport'!$C$23</f>
        <v>5.8999999999999995</v>
      </c>
      <c r="S77" s="10">
        <f>F77-'1. Rapport'!$C$24</f>
        <v>5.61</v>
      </c>
      <c r="T77" s="10">
        <f>H77-'1. Rapport'!$C$26</f>
        <v>4.72</v>
      </c>
      <c r="U77" s="10">
        <f>G77-'1. Rapport'!$C$25</f>
        <v>5.27</v>
      </c>
      <c r="V77" s="10">
        <f>D77-'1. Rapport'!$C$22</f>
        <v>5.39</v>
      </c>
      <c r="W77" s="10">
        <f>I77-'1. Rapport'!$C$27</f>
        <v>5.7299999999999995</v>
      </c>
      <c r="X77" s="10">
        <f>J77-'1. Rapport'!$C$28</f>
        <v>5.09</v>
      </c>
      <c r="Y77" s="10">
        <f>L77-'1. Rapport'!$C$30</f>
        <v>4.07</v>
      </c>
      <c r="Z77" s="10">
        <f>K77-'1. Rapport'!$C$29</f>
        <v>5.3999999999999995</v>
      </c>
      <c r="AA77" s="8">
        <f t="shared" si="6"/>
        <v>2</v>
      </c>
      <c r="AB77" s="8">
        <f t="shared" si="7"/>
        <v>8</v>
      </c>
    </row>
    <row r="78" spans="1:28" x14ac:dyDescent="0.25">
      <c r="A78" s="8">
        <f t="shared" si="5"/>
        <v>74</v>
      </c>
      <c r="B78" s="46">
        <v>43606</v>
      </c>
      <c r="C78" s="47">
        <v>0.56689814814814821</v>
      </c>
      <c r="D78" s="48">
        <v>4.8099999999999996</v>
      </c>
      <c r="E78" s="48">
        <v>5.63</v>
      </c>
      <c r="F78" s="48">
        <v>5.25</v>
      </c>
      <c r="G78" s="48">
        <v>4.8099999999999996</v>
      </c>
      <c r="H78" s="48">
        <v>4.1900000000000004</v>
      </c>
      <c r="I78" s="48">
        <v>5.25</v>
      </c>
      <c r="J78" s="48">
        <v>4.5599999999999996</v>
      </c>
      <c r="K78" s="48">
        <v>5.19</v>
      </c>
      <c r="L78" s="48">
        <v>2.88</v>
      </c>
      <c r="M78" s="48">
        <v>25.9</v>
      </c>
      <c r="N78" s="48">
        <v>34</v>
      </c>
      <c r="Q78" s="9">
        <f t="shared" si="4"/>
        <v>0.56689814814814821</v>
      </c>
      <c r="R78" s="10">
        <f>E78-'1. Rapport'!$C$23</f>
        <v>5.72</v>
      </c>
      <c r="S78" s="10">
        <f>F78-'1. Rapport'!$C$24</f>
        <v>5.23</v>
      </c>
      <c r="T78" s="10">
        <f>H78-'1. Rapport'!$C$26</f>
        <v>4.3500000000000005</v>
      </c>
      <c r="U78" s="10">
        <f>G78-'1. Rapport'!$C$25</f>
        <v>4.8299999999999992</v>
      </c>
      <c r="V78" s="10">
        <f>D78-'1. Rapport'!$C$22</f>
        <v>4.8899999999999997</v>
      </c>
      <c r="W78" s="10">
        <f>I78-'1. Rapport'!$C$27</f>
        <v>5.42</v>
      </c>
      <c r="X78" s="10">
        <f>J78-'1. Rapport'!$C$28</f>
        <v>4.34</v>
      </c>
      <c r="Y78" s="10">
        <f>L78-'1. Rapport'!$C$30</f>
        <v>3.1999999999999997</v>
      </c>
      <c r="Z78" s="10">
        <f>K78-'1. Rapport'!$C$29</f>
        <v>5.03</v>
      </c>
      <c r="AA78" s="8">
        <f t="shared" si="6"/>
        <v>2</v>
      </c>
      <c r="AB78" s="8">
        <f t="shared" si="7"/>
        <v>8</v>
      </c>
    </row>
    <row r="79" spans="1:28" x14ac:dyDescent="0.25">
      <c r="A79" s="8">
        <f t="shared" si="5"/>
        <v>75</v>
      </c>
      <c r="B79" s="46">
        <v>43606</v>
      </c>
      <c r="C79" s="47">
        <v>0.56759259259259254</v>
      </c>
      <c r="D79" s="48">
        <v>4.63</v>
      </c>
      <c r="E79" s="48">
        <v>5.5</v>
      </c>
      <c r="F79" s="48">
        <v>5.13</v>
      </c>
      <c r="G79" s="48">
        <v>4.75</v>
      </c>
      <c r="H79" s="48">
        <v>4.0599999999999996</v>
      </c>
      <c r="I79" s="48">
        <v>5.0599999999999996</v>
      </c>
      <c r="J79" s="48">
        <v>4.4400000000000004</v>
      </c>
      <c r="K79" s="48">
        <v>5.0599999999999996</v>
      </c>
      <c r="L79" s="48">
        <v>2.94</v>
      </c>
      <c r="M79" s="48">
        <v>25.8</v>
      </c>
      <c r="N79" s="48">
        <v>34</v>
      </c>
      <c r="Q79" s="9">
        <f t="shared" si="4"/>
        <v>0.56759259259259254</v>
      </c>
      <c r="R79" s="10">
        <f>E79-'1. Rapport'!$C$23</f>
        <v>5.59</v>
      </c>
      <c r="S79" s="10">
        <f>F79-'1. Rapport'!$C$24</f>
        <v>5.1100000000000003</v>
      </c>
      <c r="T79" s="10">
        <f>H79-'1. Rapport'!$C$26</f>
        <v>4.22</v>
      </c>
      <c r="U79" s="10">
        <f>G79-'1. Rapport'!$C$25</f>
        <v>4.7699999999999996</v>
      </c>
      <c r="V79" s="10">
        <f>D79-'1. Rapport'!$C$22</f>
        <v>4.71</v>
      </c>
      <c r="W79" s="10">
        <f>I79-'1. Rapport'!$C$27</f>
        <v>5.2299999999999995</v>
      </c>
      <c r="X79" s="10">
        <f>J79-'1. Rapport'!$C$28</f>
        <v>4.2200000000000006</v>
      </c>
      <c r="Y79" s="10">
        <f>L79-'1. Rapport'!$C$30</f>
        <v>3.26</v>
      </c>
      <c r="Z79" s="10">
        <f>K79-'1. Rapport'!$C$29</f>
        <v>4.8999999999999995</v>
      </c>
      <c r="AA79" s="8">
        <f t="shared" si="6"/>
        <v>2</v>
      </c>
      <c r="AB79" s="8">
        <f t="shared" si="7"/>
        <v>8</v>
      </c>
    </row>
    <row r="80" spans="1:28" x14ac:dyDescent="0.25">
      <c r="A80" s="8">
        <f t="shared" si="5"/>
        <v>76</v>
      </c>
      <c r="B80" s="46">
        <v>43606</v>
      </c>
      <c r="C80" s="47">
        <v>0.56828703703703709</v>
      </c>
      <c r="D80" s="48">
        <v>4.6900000000000004</v>
      </c>
      <c r="E80" s="48">
        <v>5.44</v>
      </c>
      <c r="F80" s="48">
        <v>5.13</v>
      </c>
      <c r="G80" s="48">
        <v>4.8099999999999996</v>
      </c>
      <c r="H80" s="48">
        <v>4.13</v>
      </c>
      <c r="I80" s="48">
        <v>5.0599999999999996</v>
      </c>
      <c r="J80" s="48">
        <v>4.63</v>
      </c>
      <c r="K80" s="48">
        <v>5.0599999999999996</v>
      </c>
      <c r="L80" s="48">
        <v>3.19</v>
      </c>
      <c r="M80" s="48">
        <v>25.7</v>
      </c>
      <c r="N80" s="48">
        <v>34</v>
      </c>
      <c r="Q80" s="9">
        <f t="shared" si="4"/>
        <v>0.56828703703703709</v>
      </c>
      <c r="R80" s="10">
        <f>E80-'1. Rapport'!$C$23</f>
        <v>5.53</v>
      </c>
      <c r="S80" s="10">
        <f>F80-'1. Rapport'!$C$24</f>
        <v>5.1100000000000003</v>
      </c>
      <c r="T80" s="10">
        <f>H80-'1. Rapport'!$C$26</f>
        <v>4.29</v>
      </c>
      <c r="U80" s="10">
        <f>G80-'1. Rapport'!$C$25</f>
        <v>4.8299999999999992</v>
      </c>
      <c r="V80" s="10">
        <f>D80-'1. Rapport'!$C$22</f>
        <v>4.7700000000000005</v>
      </c>
      <c r="W80" s="10">
        <f>I80-'1. Rapport'!$C$27</f>
        <v>5.2299999999999995</v>
      </c>
      <c r="X80" s="10">
        <f>J80-'1. Rapport'!$C$28</f>
        <v>4.41</v>
      </c>
      <c r="Y80" s="10">
        <f>L80-'1. Rapport'!$C$30</f>
        <v>3.51</v>
      </c>
      <c r="Z80" s="10">
        <f>K80-'1. Rapport'!$C$29</f>
        <v>4.8999999999999995</v>
      </c>
      <c r="AA80" s="8">
        <f t="shared" si="6"/>
        <v>2</v>
      </c>
      <c r="AB80" s="8">
        <f t="shared" si="7"/>
        <v>8</v>
      </c>
    </row>
    <row r="81" spans="1:28" x14ac:dyDescent="0.25">
      <c r="A81" s="8">
        <f t="shared" si="5"/>
        <v>77</v>
      </c>
      <c r="B81" s="46">
        <v>43606</v>
      </c>
      <c r="C81" s="47">
        <v>0.56898148148148142</v>
      </c>
      <c r="D81" s="48">
        <v>4.8099999999999996</v>
      </c>
      <c r="E81" s="48">
        <v>5.5</v>
      </c>
      <c r="F81" s="48">
        <v>5.19</v>
      </c>
      <c r="G81" s="48">
        <v>4.88</v>
      </c>
      <c r="H81" s="48">
        <v>4.1900000000000004</v>
      </c>
      <c r="I81" s="48">
        <v>5.13</v>
      </c>
      <c r="J81" s="48">
        <v>4.8099999999999996</v>
      </c>
      <c r="K81" s="48">
        <v>5.13</v>
      </c>
      <c r="L81" s="48">
        <v>3.5</v>
      </c>
      <c r="M81" s="48">
        <v>25.7</v>
      </c>
      <c r="N81" s="48">
        <v>34</v>
      </c>
      <c r="Q81" s="9">
        <f t="shared" si="4"/>
        <v>0.56898148148148142</v>
      </c>
      <c r="R81" s="10">
        <f>E81-'1. Rapport'!$C$23</f>
        <v>5.59</v>
      </c>
      <c r="S81" s="10">
        <f>F81-'1. Rapport'!$C$24</f>
        <v>5.1700000000000008</v>
      </c>
      <c r="T81" s="10">
        <f>H81-'1. Rapport'!$C$26</f>
        <v>4.3500000000000005</v>
      </c>
      <c r="U81" s="10">
        <f>G81-'1. Rapport'!$C$25</f>
        <v>4.8999999999999995</v>
      </c>
      <c r="V81" s="10">
        <f>D81-'1. Rapport'!$C$22</f>
        <v>4.8899999999999997</v>
      </c>
      <c r="W81" s="10">
        <f>I81-'1. Rapport'!$C$27</f>
        <v>5.3</v>
      </c>
      <c r="X81" s="10">
        <f>J81-'1. Rapport'!$C$28</f>
        <v>4.59</v>
      </c>
      <c r="Y81" s="10">
        <f>L81-'1. Rapport'!$C$30</f>
        <v>3.82</v>
      </c>
      <c r="Z81" s="10">
        <f>K81-'1. Rapport'!$C$29</f>
        <v>4.97</v>
      </c>
      <c r="AA81" s="8">
        <f t="shared" si="6"/>
        <v>2</v>
      </c>
      <c r="AB81" s="8">
        <f t="shared" si="7"/>
        <v>8</v>
      </c>
    </row>
    <row r="82" spans="1:28" x14ac:dyDescent="0.25">
      <c r="A82" s="8">
        <f t="shared" si="5"/>
        <v>78</v>
      </c>
      <c r="B82" s="46">
        <v>43606</v>
      </c>
      <c r="C82" s="47">
        <v>0.56967592592592597</v>
      </c>
      <c r="D82" s="48">
        <v>4.9400000000000004</v>
      </c>
      <c r="E82" s="48">
        <v>5.56</v>
      </c>
      <c r="F82" s="48">
        <v>5.31</v>
      </c>
      <c r="G82" s="48">
        <v>5</v>
      </c>
      <c r="H82" s="48">
        <v>4.25</v>
      </c>
      <c r="I82" s="48">
        <v>5.25</v>
      </c>
      <c r="J82" s="48">
        <v>5.0599999999999996</v>
      </c>
      <c r="K82" s="48">
        <v>5.25</v>
      </c>
      <c r="L82" s="48">
        <v>3.81</v>
      </c>
      <c r="M82" s="48">
        <v>25.8</v>
      </c>
      <c r="N82" s="48">
        <v>34</v>
      </c>
      <c r="Q82" s="9">
        <f t="shared" si="4"/>
        <v>0.56967592592592597</v>
      </c>
      <c r="R82" s="10">
        <f>E82-'1. Rapport'!$C$23</f>
        <v>5.6499999999999995</v>
      </c>
      <c r="S82" s="10">
        <f>F82-'1. Rapport'!$C$24</f>
        <v>5.29</v>
      </c>
      <c r="T82" s="10">
        <f>H82-'1. Rapport'!$C$26</f>
        <v>4.41</v>
      </c>
      <c r="U82" s="10">
        <f>G82-'1. Rapport'!$C$25</f>
        <v>5.0199999999999996</v>
      </c>
      <c r="V82" s="10">
        <f>D82-'1. Rapport'!$C$22</f>
        <v>5.0200000000000005</v>
      </c>
      <c r="W82" s="10">
        <f>I82-'1. Rapport'!$C$27</f>
        <v>5.42</v>
      </c>
      <c r="X82" s="10">
        <f>J82-'1. Rapport'!$C$28</f>
        <v>4.84</v>
      </c>
      <c r="Y82" s="10">
        <f>L82-'1. Rapport'!$C$30</f>
        <v>4.13</v>
      </c>
      <c r="Z82" s="10">
        <f>K82-'1. Rapport'!$C$29</f>
        <v>5.09</v>
      </c>
      <c r="AA82" s="8">
        <f t="shared" si="6"/>
        <v>2</v>
      </c>
      <c r="AB82" s="8">
        <f t="shared" si="7"/>
        <v>8</v>
      </c>
    </row>
    <row r="83" spans="1:28" x14ac:dyDescent="0.25">
      <c r="A83" s="8">
        <f t="shared" si="5"/>
        <v>79</v>
      </c>
      <c r="B83" s="46">
        <v>43606</v>
      </c>
      <c r="C83" s="47">
        <v>0.57037037037037031</v>
      </c>
      <c r="D83" s="48">
        <v>5.13</v>
      </c>
      <c r="E83" s="48">
        <v>5.63</v>
      </c>
      <c r="F83" s="48">
        <v>5.38</v>
      </c>
      <c r="G83" s="48">
        <v>5.19</v>
      </c>
      <c r="H83" s="48">
        <v>4.4400000000000004</v>
      </c>
      <c r="I83" s="48">
        <v>5.38</v>
      </c>
      <c r="J83" s="48">
        <v>5.25</v>
      </c>
      <c r="K83" s="48">
        <v>5.38</v>
      </c>
      <c r="L83" s="48">
        <v>4.13</v>
      </c>
      <c r="M83" s="48">
        <v>25.8</v>
      </c>
      <c r="N83" s="48">
        <v>34</v>
      </c>
      <c r="Q83" s="9">
        <f t="shared" si="4"/>
        <v>0.57037037037037031</v>
      </c>
      <c r="R83" s="10">
        <f>E83-'1. Rapport'!$C$23</f>
        <v>5.72</v>
      </c>
      <c r="S83" s="10">
        <f>F83-'1. Rapport'!$C$24</f>
        <v>5.36</v>
      </c>
      <c r="T83" s="10">
        <f>H83-'1. Rapport'!$C$26</f>
        <v>4.6000000000000005</v>
      </c>
      <c r="U83" s="10">
        <f>G83-'1. Rapport'!$C$25</f>
        <v>5.21</v>
      </c>
      <c r="V83" s="10">
        <f>D83-'1. Rapport'!$C$22</f>
        <v>5.21</v>
      </c>
      <c r="W83" s="10">
        <f>I83-'1. Rapport'!$C$27</f>
        <v>5.55</v>
      </c>
      <c r="X83" s="10">
        <f>J83-'1. Rapport'!$C$28</f>
        <v>5.03</v>
      </c>
      <c r="Y83" s="10">
        <f>L83-'1. Rapport'!$C$30</f>
        <v>4.45</v>
      </c>
      <c r="Z83" s="10">
        <f>K83-'1. Rapport'!$C$29</f>
        <v>5.22</v>
      </c>
      <c r="AA83" s="8">
        <f t="shared" si="6"/>
        <v>2</v>
      </c>
      <c r="AB83" s="8">
        <f t="shared" si="7"/>
        <v>8</v>
      </c>
    </row>
    <row r="84" spans="1:28" x14ac:dyDescent="0.25">
      <c r="A84" s="8">
        <f t="shared" si="5"/>
        <v>80</v>
      </c>
      <c r="B84" s="46">
        <v>43606</v>
      </c>
      <c r="C84" s="47">
        <v>0.57106481481481486</v>
      </c>
      <c r="D84" s="48">
        <v>5.25</v>
      </c>
      <c r="E84" s="48">
        <v>5.75</v>
      </c>
      <c r="F84" s="48">
        <v>5.5</v>
      </c>
      <c r="G84" s="48">
        <v>5.31</v>
      </c>
      <c r="H84" s="48">
        <v>4.5599999999999996</v>
      </c>
      <c r="I84" s="48">
        <v>5.5</v>
      </c>
      <c r="J84" s="48">
        <v>5.44</v>
      </c>
      <c r="K84" s="48">
        <v>5.5</v>
      </c>
      <c r="L84" s="48">
        <v>4.38</v>
      </c>
      <c r="M84" s="48">
        <v>25.8</v>
      </c>
      <c r="N84" s="48">
        <v>34</v>
      </c>
      <c r="Q84" s="9">
        <f t="shared" si="4"/>
        <v>0.57106481481481486</v>
      </c>
      <c r="R84" s="10">
        <f>E84-'1. Rapport'!$C$23</f>
        <v>5.84</v>
      </c>
      <c r="S84" s="10">
        <f>F84-'1. Rapport'!$C$24</f>
        <v>5.48</v>
      </c>
      <c r="T84" s="10">
        <f>H84-'1. Rapport'!$C$26</f>
        <v>4.72</v>
      </c>
      <c r="U84" s="10">
        <f>G84-'1. Rapport'!$C$25</f>
        <v>5.3299999999999992</v>
      </c>
      <c r="V84" s="10">
        <f>D84-'1. Rapport'!$C$22</f>
        <v>5.33</v>
      </c>
      <c r="W84" s="10">
        <f>I84-'1. Rapport'!$C$27</f>
        <v>5.67</v>
      </c>
      <c r="X84" s="10">
        <f>J84-'1. Rapport'!$C$28</f>
        <v>5.2200000000000006</v>
      </c>
      <c r="Y84" s="10">
        <f>L84-'1. Rapport'!$C$30</f>
        <v>4.7</v>
      </c>
      <c r="Z84" s="10">
        <f>K84-'1. Rapport'!$C$29</f>
        <v>5.34</v>
      </c>
      <c r="AA84" s="8">
        <f t="shared" si="6"/>
        <v>2</v>
      </c>
      <c r="AB84" s="8">
        <f t="shared" si="7"/>
        <v>8</v>
      </c>
    </row>
    <row r="85" spans="1:28" x14ac:dyDescent="0.25">
      <c r="A85" s="8">
        <f t="shared" si="5"/>
        <v>81</v>
      </c>
      <c r="B85" s="46">
        <v>43606</v>
      </c>
      <c r="C85" s="47">
        <v>0.57175925925925919</v>
      </c>
      <c r="D85" s="48">
        <v>5.44</v>
      </c>
      <c r="E85" s="48">
        <v>5.81</v>
      </c>
      <c r="F85" s="48">
        <v>5.69</v>
      </c>
      <c r="G85" s="48">
        <v>5.5</v>
      </c>
      <c r="H85" s="48">
        <v>4.75</v>
      </c>
      <c r="I85" s="48">
        <v>5.63</v>
      </c>
      <c r="J85" s="48">
        <v>5.63</v>
      </c>
      <c r="K85" s="48">
        <v>5.63</v>
      </c>
      <c r="L85" s="48">
        <v>4.63</v>
      </c>
      <c r="M85" s="48">
        <v>25.9</v>
      </c>
      <c r="N85" s="48">
        <v>34</v>
      </c>
      <c r="Q85" s="9">
        <f t="shared" si="4"/>
        <v>0.57175925925925919</v>
      </c>
      <c r="R85" s="10">
        <f>E85-'1. Rapport'!$C$23</f>
        <v>5.8999999999999995</v>
      </c>
      <c r="S85" s="10">
        <f>F85-'1. Rapport'!$C$24</f>
        <v>5.6700000000000008</v>
      </c>
      <c r="T85" s="10">
        <f>H85-'1. Rapport'!$C$26</f>
        <v>4.91</v>
      </c>
      <c r="U85" s="10">
        <f>G85-'1. Rapport'!$C$25</f>
        <v>5.52</v>
      </c>
      <c r="V85" s="10">
        <f>D85-'1. Rapport'!$C$22</f>
        <v>5.5200000000000005</v>
      </c>
      <c r="W85" s="10">
        <f>I85-'1. Rapport'!$C$27</f>
        <v>5.8</v>
      </c>
      <c r="X85" s="10">
        <f>J85-'1. Rapport'!$C$28</f>
        <v>5.41</v>
      </c>
      <c r="Y85" s="10">
        <f>L85-'1. Rapport'!$C$30</f>
        <v>4.95</v>
      </c>
      <c r="Z85" s="10">
        <f>K85-'1. Rapport'!$C$29</f>
        <v>5.47</v>
      </c>
      <c r="AA85" s="8">
        <f t="shared" si="6"/>
        <v>2</v>
      </c>
      <c r="AB85" s="8">
        <f t="shared" si="7"/>
        <v>8</v>
      </c>
    </row>
    <row r="86" spans="1:28" x14ac:dyDescent="0.25">
      <c r="A86" s="8">
        <f t="shared" si="5"/>
        <v>82</v>
      </c>
      <c r="B86" s="46">
        <v>43606</v>
      </c>
      <c r="C86" s="47">
        <v>0.57245370370370374</v>
      </c>
      <c r="D86" s="48">
        <v>5.56</v>
      </c>
      <c r="E86" s="48">
        <v>5.88</v>
      </c>
      <c r="F86" s="48">
        <v>5.75</v>
      </c>
      <c r="G86" s="48">
        <v>5.5</v>
      </c>
      <c r="H86" s="48">
        <v>4.75</v>
      </c>
      <c r="I86" s="48">
        <v>5.69</v>
      </c>
      <c r="J86" s="48">
        <v>5.69</v>
      </c>
      <c r="K86" s="48">
        <v>5.75</v>
      </c>
      <c r="L86" s="48">
        <v>4.5599999999999996</v>
      </c>
      <c r="M86" s="48">
        <v>25.8</v>
      </c>
      <c r="N86" s="48">
        <v>34</v>
      </c>
      <c r="Q86" s="9">
        <f t="shared" si="4"/>
        <v>0.57245370370370374</v>
      </c>
      <c r="R86" s="10">
        <f>E86-'1. Rapport'!$C$23</f>
        <v>5.97</v>
      </c>
      <c r="S86" s="10">
        <f>F86-'1. Rapport'!$C$24</f>
        <v>5.73</v>
      </c>
      <c r="T86" s="10">
        <f>H86-'1. Rapport'!$C$26</f>
        <v>4.91</v>
      </c>
      <c r="U86" s="10">
        <f>G86-'1. Rapport'!$C$25</f>
        <v>5.52</v>
      </c>
      <c r="V86" s="10">
        <f>D86-'1. Rapport'!$C$22</f>
        <v>5.64</v>
      </c>
      <c r="W86" s="10">
        <f>I86-'1. Rapport'!$C$27</f>
        <v>5.86</v>
      </c>
      <c r="X86" s="10">
        <f>J86-'1. Rapport'!$C$28</f>
        <v>5.4700000000000006</v>
      </c>
      <c r="Y86" s="10">
        <f>L86-'1. Rapport'!$C$30</f>
        <v>4.88</v>
      </c>
      <c r="Z86" s="10">
        <f>K86-'1. Rapport'!$C$29</f>
        <v>5.59</v>
      </c>
      <c r="AA86" s="8">
        <f t="shared" si="6"/>
        <v>2</v>
      </c>
      <c r="AB86" s="8">
        <f t="shared" si="7"/>
        <v>8</v>
      </c>
    </row>
    <row r="87" spans="1:28" x14ac:dyDescent="0.25">
      <c r="A87" s="8">
        <f t="shared" si="5"/>
        <v>83</v>
      </c>
      <c r="B87" s="46">
        <v>43606</v>
      </c>
      <c r="C87" s="47">
        <v>0.57314814814814818</v>
      </c>
      <c r="D87" s="48">
        <v>5.31</v>
      </c>
      <c r="E87" s="48">
        <v>5.81</v>
      </c>
      <c r="F87" s="48">
        <v>5.56</v>
      </c>
      <c r="G87" s="48">
        <v>5.13</v>
      </c>
      <c r="H87" s="48">
        <v>4.5</v>
      </c>
      <c r="I87" s="48">
        <v>5.56</v>
      </c>
      <c r="J87" s="48">
        <v>5.25</v>
      </c>
      <c r="K87" s="48">
        <v>5.5</v>
      </c>
      <c r="L87" s="48">
        <v>3.69</v>
      </c>
      <c r="M87" s="48">
        <v>25.9</v>
      </c>
      <c r="N87" s="48">
        <v>34</v>
      </c>
      <c r="Q87" s="9">
        <f t="shared" si="4"/>
        <v>0.57314814814814818</v>
      </c>
      <c r="R87" s="10">
        <f>E87-'1. Rapport'!$C$23</f>
        <v>5.8999999999999995</v>
      </c>
      <c r="S87" s="10">
        <f>F87-'1. Rapport'!$C$24</f>
        <v>5.54</v>
      </c>
      <c r="T87" s="10">
        <f>H87-'1. Rapport'!$C$26</f>
        <v>4.66</v>
      </c>
      <c r="U87" s="10">
        <f>G87-'1. Rapport'!$C$25</f>
        <v>5.1499999999999995</v>
      </c>
      <c r="V87" s="10">
        <f>D87-'1. Rapport'!$C$22</f>
        <v>5.39</v>
      </c>
      <c r="W87" s="10">
        <f>I87-'1. Rapport'!$C$27</f>
        <v>5.7299999999999995</v>
      </c>
      <c r="X87" s="10">
        <f>J87-'1. Rapport'!$C$28</f>
        <v>5.03</v>
      </c>
      <c r="Y87" s="10">
        <f>L87-'1. Rapport'!$C$30</f>
        <v>4.01</v>
      </c>
      <c r="Z87" s="10">
        <f>K87-'1. Rapport'!$C$29</f>
        <v>5.34</v>
      </c>
      <c r="AA87" s="8">
        <f t="shared" si="6"/>
        <v>2</v>
      </c>
      <c r="AB87" s="8">
        <f t="shared" si="7"/>
        <v>8</v>
      </c>
    </row>
    <row r="88" spans="1:28" x14ac:dyDescent="0.25">
      <c r="A88" s="8">
        <f t="shared" si="5"/>
        <v>84</v>
      </c>
      <c r="B88" s="46">
        <v>43606</v>
      </c>
      <c r="C88" s="47">
        <v>0.57384259259259263</v>
      </c>
      <c r="D88" s="48">
        <v>4.8099999999999996</v>
      </c>
      <c r="E88" s="48">
        <v>5.63</v>
      </c>
      <c r="F88" s="48">
        <v>5.31</v>
      </c>
      <c r="G88" s="48">
        <v>4.8099999999999996</v>
      </c>
      <c r="H88" s="48">
        <v>4.1900000000000004</v>
      </c>
      <c r="I88" s="48">
        <v>5.25</v>
      </c>
      <c r="J88" s="48">
        <v>4.5599999999999996</v>
      </c>
      <c r="K88" s="48">
        <v>5.19</v>
      </c>
      <c r="L88" s="48">
        <v>2.88</v>
      </c>
      <c r="M88" s="48">
        <v>25.8</v>
      </c>
      <c r="N88" s="48">
        <v>34</v>
      </c>
      <c r="Q88" s="9">
        <f t="shared" si="4"/>
        <v>0.57384259259259263</v>
      </c>
      <c r="R88" s="10">
        <f>E88-'1. Rapport'!$C$23</f>
        <v>5.72</v>
      </c>
      <c r="S88" s="10">
        <f>F88-'1. Rapport'!$C$24</f>
        <v>5.29</v>
      </c>
      <c r="T88" s="10">
        <f>H88-'1. Rapport'!$C$26</f>
        <v>4.3500000000000005</v>
      </c>
      <c r="U88" s="10">
        <f>G88-'1. Rapport'!$C$25</f>
        <v>4.8299999999999992</v>
      </c>
      <c r="V88" s="10">
        <f>D88-'1. Rapport'!$C$22</f>
        <v>4.8899999999999997</v>
      </c>
      <c r="W88" s="10">
        <f>I88-'1. Rapport'!$C$27</f>
        <v>5.42</v>
      </c>
      <c r="X88" s="10">
        <f>J88-'1. Rapport'!$C$28</f>
        <v>4.34</v>
      </c>
      <c r="Y88" s="10">
        <f>L88-'1. Rapport'!$C$30</f>
        <v>3.1999999999999997</v>
      </c>
      <c r="Z88" s="10">
        <f>K88-'1. Rapport'!$C$29</f>
        <v>5.03</v>
      </c>
      <c r="AA88" s="8">
        <f t="shared" si="6"/>
        <v>2</v>
      </c>
      <c r="AB88" s="8">
        <f t="shared" si="7"/>
        <v>8</v>
      </c>
    </row>
    <row r="89" spans="1:28" x14ac:dyDescent="0.25">
      <c r="A89" s="8">
        <f t="shared" si="5"/>
        <v>85</v>
      </c>
      <c r="B89" s="46">
        <v>43606</v>
      </c>
      <c r="C89" s="47">
        <v>0.57453703703703707</v>
      </c>
      <c r="D89" s="48">
        <v>4.6900000000000004</v>
      </c>
      <c r="E89" s="48">
        <v>5.5</v>
      </c>
      <c r="F89" s="48">
        <v>5.19</v>
      </c>
      <c r="G89" s="48">
        <v>4.75</v>
      </c>
      <c r="H89" s="48">
        <v>4.0599999999999996</v>
      </c>
      <c r="I89" s="48">
        <v>5.0599999999999996</v>
      </c>
      <c r="J89" s="48">
        <v>4.5</v>
      </c>
      <c r="K89" s="48">
        <v>5.13</v>
      </c>
      <c r="L89" s="48">
        <v>2.94</v>
      </c>
      <c r="M89" s="48">
        <v>25.9</v>
      </c>
      <c r="N89" s="48">
        <v>34</v>
      </c>
      <c r="Q89" s="9">
        <f t="shared" si="4"/>
        <v>0.57453703703703707</v>
      </c>
      <c r="R89" s="10">
        <f>E89-'1. Rapport'!$C$23</f>
        <v>5.59</v>
      </c>
      <c r="S89" s="10">
        <f>F89-'1. Rapport'!$C$24</f>
        <v>5.1700000000000008</v>
      </c>
      <c r="T89" s="10">
        <f>H89-'1. Rapport'!$C$26</f>
        <v>4.22</v>
      </c>
      <c r="U89" s="10">
        <f>G89-'1. Rapport'!$C$25</f>
        <v>4.7699999999999996</v>
      </c>
      <c r="V89" s="10">
        <f>D89-'1. Rapport'!$C$22</f>
        <v>4.7700000000000005</v>
      </c>
      <c r="W89" s="10">
        <f>I89-'1. Rapport'!$C$27</f>
        <v>5.2299999999999995</v>
      </c>
      <c r="X89" s="10">
        <f>J89-'1. Rapport'!$C$28</f>
        <v>4.28</v>
      </c>
      <c r="Y89" s="10">
        <f>L89-'1. Rapport'!$C$30</f>
        <v>3.26</v>
      </c>
      <c r="Z89" s="10">
        <f>K89-'1. Rapport'!$C$29</f>
        <v>4.97</v>
      </c>
      <c r="AA89" s="8">
        <f t="shared" si="6"/>
        <v>2</v>
      </c>
      <c r="AB89" s="8">
        <f t="shared" si="7"/>
        <v>8</v>
      </c>
    </row>
    <row r="90" spans="1:28" x14ac:dyDescent="0.25">
      <c r="A90" s="8">
        <f t="shared" si="5"/>
        <v>86</v>
      </c>
      <c r="B90" s="46">
        <v>43606</v>
      </c>
      <c r="C90" s="47">
        <v>0.57523148148148151</v>
      </c>
      <c r="D90" s="48">
        <v>4.75</v>
      </c>
      <c r="E90" s="48">
        <v>5.5</v>
      </c>
      <c r="F90" s="48">
        <v>5.19</v>
      </c>
      <c r="G90" s="48">
        <v>4.8099999999999996</v>
      </c>
      <c r="H90" s="48">
        <v>4.13</v>
      </c>
      <c r="I90" s="48">
        <v>5.0599999999999996</v>
      </c>
      <c r="J90" s="48">
        <v>4.63</v>
      </c>
      <c r="K90" s="48">
        <v>5.13</v>
      </c>
      <c r="L90" s="48">
        <v>3.25</v>
      </c>
      <c r="M90" s="48">
        <v>25.9</v>
      </c>
      <c r="N90" s="48">
        <v>34</v>
      </c>
      <c r="Q90" s="9">
        <f t="shared" si="4"/>
        <v>0.57523148148148151</v>
      </c>
      <c r="R90" s="10">
        <f>E90-'1. Rapport'!$C$23</f>
        <v>5.59</v>
      </c>
      <c r="S90" s="10">
        <f>F90-'1. Rapport'!$C$24</f>
        <v>5.1700000000000008</v>
      </c>
      <c r="T90" s="10">
        <f>H90-'1. Rapport'!$C$26</f>
        <v>4.29</v>
      </c>
      <c r="U90" s="10">
        <f>G90-'1. Rapport'!$C$25</f>
        <v>4.8299999999999992</v>
      </c>
      <c r="V90" s="10">
        <f>D90-'1. Rapport'!$C$22</f>
        <v>4.83</v>
      </c>
      <c r="W90" s="10">
        <f>I90-'1. Rapport'!$C$27</f>
        <v>5.2299999999999995</v>
      </c>
      <c r="X90" s="10">
        <f>J90-'1. Rapport'!$C$28</f>
        <v>4.41</v>
      </c>
      <c r="Y90" s="10">
        <f>L90-'1. Rapport'!$C$30</f>
        <v>3.57</v>
      </c>
      <c r="Z90" s="10">
        <f>K90-'1. Rapport'!$C$29</f>
        <v>4.97</v>
      </c>
      <c r="AA90" s="8">
        <f t="shared" si="6"/>
        <v>2</v>
      </c>
      <c r="AB90" s="8">
        <f t="shared" si="7"/>
        <v>8</v>
      </c>
    </row>
    <row r="91" spans="1:28" x14ac:dyDescent="0.25">
      <c r="A91" s="8">
        <f t="shared" si="5"/>
        <v>87</v>
      </c>
      <c r="B91" s="46">
        <v>43606</v>
      </c>
      <c r="C91" s="47">
        <v>0.57592592592592595</v>
      </c>
      <c r="D91" s="48">
        <v>4.88</v>
      </c>
      <c r="E91" s="48">
        <v>5.5</v>
      </c>
      <c r="F91" s="48">
        <v>5.19</v>
      </c>
      <c r="G91" s="48">
        <v>4.9400000000000004</v>
      </c>
      <c r="H91" s="48">
        <v>4.1900000000000004</v>
      </c>
      <c r="I91" s="48">
        <v>5.19</v>
      </c>
      <c r="J91" s="48">
        <v>4.88</v>
      </c>
      <c r="K91" s="48">
        <v>5.19</v>
      </c>
      <c r="L91" s="48">
        <v>3.5</v>
      </c>
      <c r="M91" s="48">
        <v>25.9</v>
      </c>
      <c r="N91" s="48">
        <v>34</v>
      </c>
      <c r="Q91" s="9">
        <f t="shared" si="4"/>
        <v>0.57592592592592595</v>
      </c>
      <c r="R91" s="10">
        <f>E91-'1. Rapport'!$C$23</f>
        <v>5.59</v>
      </c>
      <c r="S91" s="10">
        <f>F91-'1. Rapport'!$C$24</f>
        <v>5.1700000000000008</v>
      </c>
      <c r="T91" s="10">
        <f>H91-'1. Rapport'!$C$26</f>
        <v>4.3500000000000005</v>
      </c>
      <c r="U91" s="10">
        <f>G91-'1. Rapport'!$C$25</f>
        <v>4.96</v>
      </c>
      <c r="V91" s="10">
        <f>D91-'1. Rapport'!$C$22</f>
        <v>4.96</v>
      </c>
      <c r="W91" s="10">
        <f>I91-'1. Rapport'!$C$27</f>
        <v>5.36</v>
      </c>
      <c r="X91" s="10">
        <f>J91-'1. Rapport'!$C$28</f>
        <v>4.66</v>
      </c>
      <c r="Y91" s="10">
        <f>L91-'1. Rapport'!$C$30</f>
        <v>3.82</v>
      </c>
      <c r="Z91" s="10">
        <f>K91-'1. Rapport'!$C$29</f>
        <v>5.03</v>
      </c>
      <c r="AA91" s="8">
        <f t="shared" si="6"/>
        <v>2</v>
      </c>
      <c r="AB91" s="8">
        <f t="shared" si="7"/>
        <v>8</v>
      </c>
    </row>
    <row r="92" spans="1:28" x14ac:dyDescent="0.25">
      <c r="A92" s="8">
        <f t="shared" si="5"/>
        <v>88</v>
      </c>
      <c r="B92" s="46">
        <v>43606</v>
      </c>
      <c r="C92" s="47">
        <v>0.57662037037037039</v>
      </c>
      <c r="D92" s="48">
        <v>5</v>
      </c>
      <c r="E92" s="48">
        <v>5.56</v>
      </c>
      <c r="F92" s="48">
        <v>5.31</v>
      </c>
      <c r="G92" s="48">
        <v>5.0599999999999996</v>
      </c>
      <c r="H92" s="48">
        <v>4.3099999999999996</v>
      </c>
      <c r="I92" s="48">
        <v>5.25</v>
      </c>
      <c r="J92" s="48">
        <v>5.0599999999999996</v>
      </c>
      <c r="K92" s="48">
        <v>5.25</v>
      </c>
      <c r="L92" s="48">
        <v>3.81</v>
      </c>
      <c r="M92" s="48">
        <v>25.9</v>
      </c>
      <c r="N92" s="48">
        <v>34</v>
      </c>
      <c r="Q92" s="9">
        <f t="shared" si="4"/>
        <v>0.57662037037037039</v>
      </c>
      <c r="R92" s="10">
        <f>E92-'1. Rapport'!$C$23</f>
        <v>5.6499999999999995</v>
      </c>
      <c r="S92" s="10">
        <f>F92-'1. Rapport'!$C$24</f>
        <v>5.29</v>
      </c>
      <c r="T92" s="10">
        <f>H92-'1. Rapport'!$C$26</f>
        <v>4.47</v>
      </c>
      <c r="U92" s="10">
        <f>G92-'1. Rapport'!$C$25</f>
        <v>5.0799999999999992</v>
      </c>
      <c r="V92" s="10">
        <f>D92-'1. Rapport'!$C$22</f>
        <v>5.08</v>
      </c>
      <c r="W92" s="10">
        <f>I92-'1. Rapport'!$C$27</f>
        <v>5.42</v>
      </c>
      <c r="X92" s="10">
        <f>J92-'1. Rapport'!$C$28</f>
        <v>4.84</v>
      </c>
      <c r="Y92" s="10">
        <f>L92-'1. Rapport'!$C$30</f>
        <v>4.13</v>
      </c>
      <c r="Z92" s="10">
        <f>K92-'1. Rapport'!$C$29</f>
        <v>5.09</v>
      </c>
      <c r="AA92" s="8">
        <f t="shared" si="6"/>
        <v>2</v>
      </c>
      <c r="AB92" s="8">
        <f t="shared" si="7"/>
        <v>8</v>
      </c>
    </row>
    <row r="93" spans="1:28" x14ac:dyDescent="0.25">
      <c r="A93" s="8">
        <f t="shared" si="5"/>
        <v>89</v>
      </c>
      <c r="B93" s="46">
        <v>43606</v>
      </c>
      <c r="C93" s="47">
        <v>0.57731481481481484</v>
      </c>
      <c r="D93" s="48">
        <v>5.13</v>
      </c>
      <c r="E93" s="48">
        <v>5.63</v>
      </c>
      <c r="F93" s="48">
        <v>5.38</v>
      </c>
      <c r="G93" s="48">
        <v>5.19</v>
      </c>
      <c r="H93" s="48">
        <v>4.4400000000000004</v>
      </c>
      <c r="I93" s="48">
        <v>5.38</v>
      </c>
      <c r="J93" s="48">
        <v>5.25</v>
      </c>
      <c r="K93" s="48">
        <v>5.38</v>
      </c>
      <c r="L93" s="48">
        <v>4.13</v>
      </c>
      <c r="M93" s="48">
        <v>25.9</v>
      </c>
      <c r="N93" s="48">
        <v>34</v>
      </c>
      <c r="Q93" s="9">
        <f t="shared" si="4"/>
        <v>0.57731481481481484</v>
      </c>
      <c r="R93" s="10">
        <f>E93-'1. Rapport'!$C$23</f>
        <v>5.72</v>
      </c>
      <c r="S93" s="10">
        <f>F93-'1. Rapport'!$C$24</f>
        <v>5.36</v>
      </c>
      <c r="T93" s="10">
        <f>H93-'1. Rapport'!$C$26</f>
        <v>4.6000000000000005</v>
      </c>
      <c r="U93" s="10">
        <f>G93-'1. Rapport'!$C$25</f>
        <v>5.21</v>
      </c>
      <c r="V93" s="10">
        <f>D93-'1. Rapport'!$C$22</f>
        <v>5.21</v>
      </c>
      <c r="W93" s="10">
        <f>I93-'1. Rapport'!$C$27</f>
        <v>5.55</v>
      </c>
      <c r="X93" s="10">
        <f>J93-'1. Rapport'!$C$28</f>
        <v>5.03</v>
      </c>
      <c r="Y93" s="10">
        <f>L93-'1. Rapport'!$C$30</f>
        <v>4.45</v>
      </c>
      <c r="Z93" s="10">
        <f>K93-'1. Rapport'!$C$29</f>
        <v>5.22</v>
      </c>
      <c r="AA93" s="8">
        <f t="shared" si="6"/>
        <v>2</v>
      </c>
      <c r="AB93" s="8">
        <f t="shared" si="7"/>
        <v>8</v>
      </c>
    </row>
    <row r="94" spans="1:28" x14ac:dyDescent="0.25">
      <c r="A94" s="8">
        <f t="shared" si="5"/>
        <v>90</v>
      </c>
      <c r="B94" s="46">
        <v>43606</v>
      </c>
      <c r="C94" s="47">
        <v>0.57800925925925928</v>
      </c>
      <c r="D94" s="48">
        <v>5.31</v>
      </c>
      <c r="E94" s="48">
        <v>5.75</v>
      </c>
      <c r="F94" s="48">
        <v>5.5</v>
      </c>
      <c r="G94" s="48">
        <v>5.38</v>
      </c>
      <c r="H94" s="48">
        <v>4.5599999999999996</v>
      </c>
      <c r="I94" s="48">
        <v>5.5</v>
      </c>
      <c r="J94" s="48">
        <v>5.44</v>
      </c>
      <c r="K94" s="48">
        <v>5.5</v>
      </c>
      <c r="L94" s="48">
        <v>4.38</v>
      </c>
      <c r="M94" s="48">
        <v>25.9</v>
      </c>
      <c r="N94" s="48">
        <v>34</v>
      </c>
      <c r="Q94" s="9">
        <f t="shared" si="4"/>
        <v>0.57800925925925928</v>
      </c>
      <c r="R94" s="10">
        <f>E94-'1. Rapport'!$C$23</f>
        <v>5.84</v>
      </c>
      <c r="S94" s="10">
        <f>F94-'1. Rapport'!$C$24</f>
        <v>5.48</v>
      </c>
      <c r="T94" s="10">
        <f>H94-'1. Rapport'!$C$26</f>
        <v>4.72</v>
      </c>
      <c r="U94" s="10">
        <f>G94-'1. Rapport'!$C$25</f>
        <v>5.3999999999999995</v>
      </c>
      <c r="V94" s="10">
        <f>D94-'1. Rapport'!$C$22</f>
        <v>5.39</v>
      </c>
      <c r="W94" s="10">
        <f>I94-'1. Rapport'!$C$27</f>
        <v>5.67</v>
      </c>
      <c r="X94" s="10">
        <f>J94-'1. Rapport'!$C$28</f>
        <v>5.2200000000000006</v>
      </c>
      <c r="Y94" s="10">
        <f>L94-'1. Rapport'!$C$30</f>
        <v>4.7</v>
      </c>
      <c r="Z94" s="10">
        <f>K94-'1. Rapport'!$C$29</f>
        <v>5.34</v>
      </c>
      <c r="AA94" s="8">
        <f t="shared" si="6"/>
        <v>2</v>
      </c>
      <c r="AB94" s="8">
        <f t="shared" si="7"/>
        <v>8</v>
      </c>
    </row>
    <row r="95" spans="1:28" x14ac:dyDescent="0.25">
      <c r="A95" s="8">
        <f t="shared" si="5"/>
        <v>91</v>
      </c>
      <c r="B95" s="46">
        <v>43606</v>
      </c>
      <c r="C95" s="47">
        <v>0.57870370370370372</v>
      </c>
      <c r="D95" s="48">
        <v>5.44</v>
      </c>
      <c r="E95" s="48">
        <v>5.81</v>
      </c>
      <c r="F95" s="48">
        <v>5.63</v>
      </c>
      <c r="G95" s="48">
        <v>5.5</v>
      </c>
      <c r="H95" s="48">
        <v>4.75</v>
      </c>
      <c r="I95" s="48">
        <v>5.63</v>
      </c>
      <c r="J95" s="48">
        <v>5.69</v>
      </c>
      <c r="K95" s="48">
        <v>5.69</v>
      </c>
      <c r="L95" s="48">
        <v>4.63</v>
      </c>
      <c r="M95" s="48">
        <v>25.9</v>
      </c>
      <c r="N95" s="48">
        <v>34</v>
      </c>
      <c r="Q95" s="9">
        <f t="shared" si="4"/>
        <v>0.57870370370370372</v>
      </c>
      <c r="R95" s="10">
        <f>E95-'1. Rapport'!$C$23</f>
        <v>5.8999999999999995</v>
      </c>
      <c r="S95" s="10">
        <f>F95-'1. Rapport'!$C$24</f>
        <v>5.61</v>
      </c>
      <c r="T95" s="10">
        <f>H95-'1. Rapport'!$C$26</f>
        <v>4.91</v>
      </c>
      <c r="U95" s="10">
        <f>G95-'1. Rapport'!$C$25</f>
        <v>5.52</v>
      </c>
      <c r="V95" s="10">
        <f>D95-'1. Rapport'!$C$22</f>
        <v>5.5200000000000005</v>
      </c>
      <c r="W95" s="10">
        <f>I95-'1. Rapport'!$C$27</f>
        <v>5.8</v>
      </c>
      <c r="X95" s="10">
        <f>J95-'1. Rapport'!$C$28</f>
        <v>5.4700000000000006</v>
      </c>
      <c r="Y95" s="10">
        <f>L95-'1. Rapport'!$C$30</f>
        <v>4.95</v>
      </c>
      <c r="Z95" s="10">
        <f>K95-'1. Rapport'!$C$29</f>
        <v>5.53</v>
      </c>
      <c r="AA95" s="8">
        <f t="shared" si="6"/>
        <v>2</v>
      </c>
      <c r="AB95" s="8">
        <f t="shared" si="7"/>
        <v>8</v>
      </c>
    </row>
    <row r="96" spans="1:28" x14ac:dyDescent="0.25">
      <c r="A96" s="8">
        <f t="shared" si="5"/>
        <v>92</v>
      </c>
      <c r="B96" s="46">
        <v>43606</v>
      </c>
      <c r="C96" s="47">
        <v>0.57938657407407412</v>
      </c>
      <c r="D96" s="48">
        <v>5.56</v>
      </c>
      <c r="E96" s="48">
        <v>5.88</v>
      </c>
      <c r="F96" s="48">
        <v>5.75</v>
      </c>
      <c r="G96" s="48">
        <v>5.5</v>
      </c>
      <c r="H96" s="48">
        <v>4.75</v>
      </c>
      <c r="I96" s="48">
        <v>5.69</v>
      </c>
      <c r="J96" s="48">
        <v>5.69</v>
      </c>
      <c r="K96" s="48">
        <v>5.75</v>
      </c>
      <c r="L96" s="48">
        <v>4.5599999999999996</v>
      </c>
      <c r="M96" s="48">
        <v>25.9</v>
      </c>
      <c r="N96" s="48">
        <v>34</v>
      </c>
      <c r="Q96" s="9">
        <f t="shared" si="4"/>
        <v>0.57938657407407412</v>
      </c>
      <c r="R96" s="10">
        <f>E96-'1. Rapport'!$C$23</f>
        <v>5.97</v>
      </c>
      <c r="S96" s="10">
        <f>F96-'1. Rapport'!$C$24</f>
        <v>5.73</v>
      </c>
      <c r="T96" s="10">
        <f>H96-'1. Rapport'!$C$26</f>
        <v>4.91</v>
      </c>
      <c r="U96" s="10">
        <f>G96-'1. Rapport'!$C$25</f>
        <v>5.52</v>
      </c>
      <c r="V96" s="10">
        <f>D96-'1. Rapport'!$C$22</f>
        <v>5.64</v>
      </c>
      <c r="W96" s="10">
        <f>I96-'1. Rapport'!$C$27</f>
        <v>5.86</v>
      </c>
      <c r="X96" s="10">
        <f>J96-'1. Rapport'!$C$28</f>
        <v>5.4700000000000006</v>
      </c>
      <c r="Y96" s="10">
        <f>L96-'1. Rapport'!$C$30</f>
        <v>4.88</v>
      </c>
      <c r="Z96" s="10">
        <f>K96-'1. Rapport'!$C$29</f>
        <v>5.59</v>
      </c>
      <c r="AA96" s="8">
        <f t="shared" si="6"/>
        <v>2</v>
      </c>
      <c r="AB96" s="8">
        <f t="shared" si="7"/>
        <v>8</v>
      </c>
    </row>
    <row r="97" spans="1:28" x14ac:dyDescent="0.25">
      <c r="A97" s="8">
        <f t="shared" si="5"/>
        <v>93</v>
      </c>
      <c r="B97" s="46">
        <v>43606</v>
      </c>
      <c r="C97" s="47">
        <v>0.5800925925925926</v>
      </c>
      <c r="D97" s="48">
        <v>5.25</v>
      </c>
      <c r="E97" s="48">
        <v>5.81</v>
      </c>
      <c r="F97" s="48">
        <v>5.56</v>
      </c>
      <c r="G97" s="48">
        <v>5.19</v>
      </c>
      <c r="H97" s="48">
        <v>4.5</v>
      </c>
      <c r="I97" s="48">
        <v>5.56</v>
      </c>
      <c r="J97" s="48">
        <v>5.25</v>
      </c>
      <c r="K97" s="48">
        <v>5.5</v>
      </c>
      <c r="L97" s="48">
        <v>3.63</v>
      </c>
      <c r="M97" s="48">
        <v>26</v>
      </c>
      <c r="N97" s="48">
        <v>35</v>
      </c>
      <c r="Q97" s="9">
        <f t="shared" si="4"/>
        <v>0.5800925925925926</v>
      </c>
      <c r="R97" s="10">
        <f>E97-'1. Rapport'!$C$23</f>
        <v>5.8999999999999995</v>
      </c>
      <c r="S97" s="10">
        <f>F97-'1. Rapport'!$C$24</f>
        <v>5.54</v>
      </c>
      <c r="T97" s="10">
        <f>H97-'1. Rapport'!$C$26</f>
        <v>4.66</v>
      </c>
      <c r="U97" s="10">
        <f>G97-'1. Rapport'!$C$25</f>
        <v>5.21</v>
      </c>
      <c r="V97" s="10">
        <f>D97-'1. Rapport'!$C$22</f>
        <v>5.33</v>
      </c>
      <c r="W97" s="10">
        <f>I97-'1. Rapport'!$C$27</f>
        <v>5.7299999999999995</v>
      </c>
      <c r="X97" s="10">
        <f>J97-'1. Rapport'!$C$28</f>
        <v>5.03</v>
      </c>
      <c r="Y97" s="10">
        <f>L97-'1. Rapport'!$C$30</f>
        <v>3.9499999999999997</v>
      </c>
      <c r="Z97" s="10">
        <f>K97-'1. Rapport'!$C$29</f>
        <v>5.34</v>
      </c>
      <c r="AA97" s="8">
        <f t="shared" si="6"/>
        <v>2</v>
      </c>
      <c r="AB97" s="8">
        <f t="shared" si="7"/>
        <v>8</v>
      </c>
    </row>
    <row r="98" spans="1:28" x14ac:dyDescent="0.25">
      <c r="A98" s="8">
        <f t="shared" si="5"/>
        <v>94</v>
      </c>
      <c r="B98" s="46">
        <v>43606</v>
      </c>
      <c r="C98" s="47">
        <v>0.58078703703703705</v>
      </c>
      <c r="D98" s="48">
        <v>4.8099999999999996</v>
      </c>
      <c r="E98" s="48">
        <v>5.56</v>
      </c>
      <c r="F98" s="48">
        <v>5.25</v>
      </c>
      <c r="G98" s="48">
        <v>4.75</v>
      </c>
      <c r="H98" s="48">
        <v>4.1900000000000004</v>
      </c>
      <c r="I98" s="48">
        <v>5.25</v>
      </c>
      <c r="J98" s="48">
        <v>4.5</v>
      </c>
      <c r="K98" s="48">
        <v>5.25</v>
      </c>
      <c r="L98" s="48">
        <v>2.88</v>
      </c>
      <c r="M98" s="48">
        <v>26</v>
      </c>
      <c r="N98" s="48">
        <v>35</v>
      </c>
      <c r="Q98" s="9">
        <f t="shared" si="4"/>
        <v>0.58078703703703705</v>
      </c>
      <c r="R98" s="10">
        <f>E98-'1. Rapport'!$C$23</f>
        <v>5.6499999999999995</v>
      </c>
      <c r="S98" s="10">
        <f>F98-'1. Rapport'!$C$24</f>
        <v>5.23</v>
      </c>
      <c r="T98" s="10">
        <f>H98-'1. Rapport'!$C$26</f>
        <v>4.3500000000000005</v>
      </c>
      <c r="U98" s="10">
        <f>G98-'1. Rapport'!$C$25</f>
        <v>4.7699999999999996</v>
      </c>
      <c r="V98" s="10">
        <f>D98-'1. Rapport'!$C$22</f>
        <v>4.8899999999999997</v>
      </c>
      <c r="W98" s="10">
        <f>I98-'1. Rapport'!$C$27</f>
        <v>5.42</v>
      </c>
      <c r="X98" s="10">
        <f>J98-'1. Rapport'!$C$28</f>
        <v>4.28</v>
      </c>
      <c r="Y98" s="10">
        <f>L98-'1. Rapport'!$C$30</f>
        <v>3.1999999999999997</v>
      </c>
      <c r="Z98" s="10">
        <f>K98-'1. Rapport'!$C$29</f>
        <v>5.09</v>
      </c>
      <c r="AA98" s="8">
        <f t="shared" si="6"/>
        <v>2</v>
      </c>
      <c r="AB98" s="8">
        <f t="shared" si="7"/>
        <v>8</v>
      </c>
    </row>
    <row r="99" spans="1:28" x14ac:dyDescent="0.25">
      <c r="A99" s="8">
        <f t="shared" si="5"/>
        <v>95</v>
      </c>
      <c r="B99" s="46">
        <v>43606</v>
      </c>
      <c r="C99" s="47">
        <v>0.58148148148148149</v>
      </c>
      <c r="D99" s="48">
        <v>4.63</v>
      </c>
      <c r="E99" s="48">
        <v>5.5</v>
      </c>
      <c r="F99" s="48">
        <v>5.13</v>
      </c>
      <c r="G99" s="48">
        <v>4.8099999999999996</v>
      </c>
      <c r="H99" s="48">
        <v>4.0599999999999996</v>
      </c>
      <c r="I99" s="48">
        <v>5.0599999999999996</v>
      </c>
      <c r="J99" s="48">
        <v>4.4400000000000004</v>
      </c>
      <c r="K99" s="48">
        <v>5.13</v>
      </c>
      <c r="L99" s="48">
        <v>3</v>
      </c>
      <c r="M99" s="48">
        <v>26</v>
      </c>
      <c r="N99" s="48">
        <v>35</v>
      </c>
      <c r="Q99" s="9">
        <f t="shared" si="4"/>
        <v>0.58148148148148149</v>
      </c>
      <c r="R99" s="10">
        <f>E99-'1. Rapport'!$C$23</f>
        <v>5.59</v>
      </c>
      <c r="S99" s="10">
        <f>F99-'1. Rapport'!$C$24</f>
        <v>5.1100000000000003</v>
      </c>
      <c r="T99" s="10">
        <f>H99-'1. Rapport'!$C$26</f>
        <v>4.22</v>
      </c>
      <c r="U99" s="10">
        <f>G99-'1. Rapport'!$C$25</f>
        <v>4.8299999999999992</v>
      </c>
      <c r="V99" s="10">
        <f>D99-'1. Rapport'!$C$22</f>
        <v>4.71</v>
      </c>
      <c r="W99" s="10">
        <f>I99-'1. Rapport'!$C$27</f>
        <v>5.2299999999999995</v>
      </c>
      <c r="X99" s="10">
        <f>J99-'1. Rapport'!$C$28</f>
        <v>4.2200000000000006</v>
      </c>
      <c r="Y99" s="10">
        <f>L99-'1. Rapport'!$C$30</f>
        <v>3.32</v>
      </c>
      <c r="Z99" s="10">
        <f>K99-'1. Rapport'!$C$29</f>
        <v>4.97</v>
      </c>
      <c r="AA99" s="8">
        <f t="shared" si="6"/>
        <v>2</v>
      </c>
      <c r="AB99" s="8">
        <f t="shared" si="7"/>
        <v>8</v>
      </c>
    </row>
    <row r="100" spans="1:28" x14ac:dyDescent="0.25">
      <c r="A100" s="8">
        <f t="shared" si="5"/>
        <v>96</v>
      </c>
      <c r="B100" s="46">
        <v>43606</v>
      </c>
      <c r="C100" s="47">
        <v>0.58217592592592593</v>
      </c>
      <c r="D100" s="48">
        <v>4.75</v>
      </c>
      <c r="E100" s="48">
        <v>5.5</v>
      </c>
      <c r="F100" s="48">
        <v>5.19</v>
      </c>
      <c r="G100" s="48">
        <v>4.88</v>
      </c>
      <c r="H100" s="48">
        <v>4.13</v>
      </c>
      <c r="I100" s="48">
        <v>5.13</v>
      </c>
      <c r="J100" s="48">
        <v>4.63</v>
      </c>
      <c r="K100" s="48">
        <v>5.13</v>
      </c>
      <c r="L100" s="48">
        <v>3.25</v>
      </c>
      <c r="M100" s="48">
        <v>26</v>
      </c>
      <c r="N100" s="48">
        <v>35</v>
      </c>
      <c r="Q100" s="9">
        <f t="shared" si="4"/>
        <v>0.58217592592592593</v>
      </c>
      <c r="R100" s="10">
        <f>E100-'1. Rapport'!$C$23</f>
        <v>5.59</v>
      </c>
      <c r="S100" s="10">
        <f>F100-'1. Rapport'!$C$24</f>
        <v>5.1700000000000008</v>
      </c>
      <c r="T100" s="10">
        <f>H100-'1. Rapport'!$C$26</f>
        <v>4.29</v>
      </c>
      <c r="U100" s="10">
        <f>G100-'1. Rapport'!$C$25</f>
        <v>4.8999999999999995</v>
      </c>
      <c r="V100" s="10">
        <f>D100-'1. Rapport'!$C$22</f>
        <v>4.83</v>
      </c>
      <c r="W100" s="10">
        <f>I100-'1. Rapport'!$C$27</f>
        <v>5.3</v>
      </c>
      <c r="X100" s="10">
        <f>J100-'1. Rapport'!$C$28</f>
        <v>4.41</v>
      </c>
      <c r="Y100" s="10">
        <f>L100-'1. Rapport'!$C$30</f>
        <v>3.57</v>
      </c>
      <c r="Z100" s="10">
        <f>K100-'1. Rapport'!$C$29</f>
        <v>4.97</v>
      </c>
      <c r="AA100" s="8">
        <f t="shared" si="6"/>
        <v>2</v>
      </c>
      <c r="AB100" s="8">
        <f t="shared" si="7"/>
        <v>8</v>
      </c>
    </row>
    <row r="101" spans="1:28" x14ac:dyDescent="0.25">
      <c r="A101" s="8">
        <f t="shared" si="5"/>
        <v>97</v>
      </c>
      <c r="B101" s="46">
        <v>43606</v>
      </c>
      <c r="C101" s="47">
        <v>0.58287037037037037</v>
      </c>
      <c r="D101" s="48">
        <v>4.88</v>
      </c>
      <c r="E101" s="48">
        <v>5.5</v>
      </c>
      <c r="F101" s="48">
        <v>5.25</v>
      </c>
      <c r="G101" s="48">
        <v>5</v>
      </c>
      <c r="H101" s="48">
        <v>4.1900000000000004</v>
      </c>
      <c r="I101" s="48">
        <v>5.19</v>
      </c>
      <c r="J101" s="48">
        <v>4.88</v>
      </c>
      <c r="K101" s="48">
        <v>5.19</v>
      </c>
      <c r="L101" s="48">
        <v>3.56</v>
      </c>
      <c r="M101" s="48">
        <v>26</v>
      </c>
      <c r="N101" s="48">
        <v>35</v>
      </c>
      <c r="Q101" s="9">
        <f t="shared" si="4"/>
        <v>0.58287037037037037</v>
      </c>
      <c r="R101" s="10">
        <f>E101-'1. Rapport'!$C$23</f>
        <v>5.59</v>
      </c>
      <c r="S101" s="10">
        <f>F101-'1. Rapport'!$C$24</f>
        <v>5.23</v>
      </c>
      <c r="T101" s="10">
        <f>H101-'1. Rapport'!$C$26</f>
        <v>4.3500000000000005</v>
      </c>
      <c r="U101" s="10">
        <f>G101-'1. Rapport'!$C$25</f>
        <v>5.0199999999999996</v>
      </c>
      <c r="V101" s="10">
        <f>D101-'1. Rapport'!$C$22</f>
        <v>4.96</v>
      </c>
      <c r="W101" s="10">
        <f>I101-'1. Rapport'!$C$27</f>
        <v>5.36</v>
      </c>
      <c r="X101" s="10">
        <f>J101-'1. Rapport'!$C$28</f>
        <v>4.66</v>
      </c>
      <c r="Y101" s="10">
        <f>L101-'1. Rapport'!$C$30</f>
        <v>3.88</v>
      </c>
      <c r="Z101" s="10">
        <f>K101-'1. Rapport'!$C$29</f>
        <v>5.03</v>
      </c>
      <c r="AA101" s="8">
        <f t="shared" si="6"/>
        <v>2</v>
      </c>
      <c r="AB101" s="8">
        <f t="shared" si="7"/>
        <v>8</v>
      </c>
    </row>
    <row r="102" spans="1:28" x14ac:dyDescent="0.25">
      <c r="A102" s="8">
        <f t="shared" si="5"/>
        <v>98</v>
      </c>
      <c r="B102" s="46">
        <v>43606</v>
      </c>
      <c r="C102" s="47">
        <v>0.58356481481481481</v>
      </c>
      <c r="D102" s="48">
        <v>5</v>
      </c>
      <c r="E102" s="48">
        <v>5.56</v>
      </c>
      <c r="F102" s="48">
        <v>5.31</v>
      </c>
      <c r="G102" s="48">
        <v>5.0599999999999996</v>
      </c>
      <c r="H102" s="48">
        <v>4.3099999999999996</v>
      </c>
      <c r="I102" s="48">
        <v>5.25</v>
      </c>
      <c r="J102" s="48">
        <v>5.0599999999999996</v>
      </c>
      <c r="K102" s="48">
        <v>5.31</v>
      </c>
      <c r="L102" s="48">
        <v>3.88</v>
      </c>
      <c r="M102" s="48">
        <v>26</v>
      </c>
      <c r="N102" s="48">
        <v>35</v>
      </c>
      <c r="Q102" s="9">
        <f t="shared" si="4"/>
        <v>0.58356481481481481</v>
      </c>
      <c r="R102" s="10">
        <f>E102-'1. Rapport'!$C$23</f>
        <v>5.6499999999999995</v>
      </c>
      <c r="S102" s="10">
        <f>F102-'1. Rapport'!$C$24</f>
        <v>5.29</v>
      </c>
      <c r="T102" s="10">
        <f>H102-'1. Rapport'!$C$26</f>
        <v>4.47</v>
      </c>
      <c r="U102" s="10">
        <f>G102-'1. Rapport'!$C$25</f>
        <v>5.0799999999999992</v>
      </c>
      <c r="V102" s="10">
        <f>D102-'1. Rapport'!$C$22</f>
        <v>5.08</v>
      </c>
      <c r="W102" s="10">
        <f>I102-'1. Rapport'!$C$27</f>
        <v>5.42</v>
      </c>
      <c r="X102" s="10">
        <f>J102-'1. Rapport'!$C$28</f>
        <v>4.84</v>
      </c>
      <c r="Y102" s="10">
        <f>L102-'1. Rapport'!$C$30</f>
        <v>4.2</v>
      </c>
      <c r="Z102" s="10">
        <f>K102-'1. Rapport'!$C$29</f>
        <v>5.1499999999999995</v>
      </c>
      <c r="AA102" s="8">
        <f t="shared" si="6"/>
        <v>2</v>
      </c>
      <c r="AB102" s="8">
        <f t="shared" si="7"/>
        <v>8</v>
      </c>
    </row>
    <row r="103" spans="1:28" x14ac:dyDescent="0.25">
      <c r="A103" s="8">
        <f t="shared" si="5"/>
        <v>99</v>
      </c>
      <c r="B103" s="46">
        <v>43606</v>
      </c>
      <c r="C103" s="47">
        <v>0.58425925925925926</v>
      </c>
      <c r="D103" s="48">
        <v>5.13</v>
      </c>
      <c r="E103" s="48">
        <v>5.63</v>
      </c>
      <c r="F103" s="48">
        <v>5.44</v>
      </c>
      <c r="G103" s="48">
        <v>5.25</v>
      </c>
      <c r="H103" s="48">
        <v>4.4400000000000004</v>
      </c>
      <c r="I103" s="48">
        <v>5.38</v>
      </c>
      <c r="J103" s="48">
        <v>5.31</v>
      </c>
      <c r="K103" s="48">
        <v>5.44</v>
      </c>
      <c r="L103" s="48">
        <v>4.13</v>
      </c>
      <c r="M103" s="48">
        <v>26</v>
      </c>
      <c r="N103" s="48">
        <v>35</v>
      </c>
      <c r="Q103" s="9">
        <f t="shared" si="4"/>
        <v>0.58425925925925926</v>
      </c>
      <c r="R103" s="10">
        <f>E103-'1. Rapport'!$C$23</f>
        <v>5.72</v>
      </c>
      <c r="S103" s="10">
        <f>F103-'1. Rapport'!$C$24</f>
        <v>5.4200000000000008</v>
      </c>
      <c r="T103" s="10">
        <f>H103-'1. Rapport'!$C$26</f>
        <v>4.6000000000000005</v>
      </c>
      <c r="U103" s="10">
        <f>G103-'1. Rapport'!$C$25</f>
        <v>5.27</v>
      </c>
      <c r="V103" s="10">
        <f>D103-'1. Rapport'!$C$22</f>
        <v>5.21</v>
      </c>
      <c r="W103" s="10">
        <f>I103-'1. Rapport'!$C$27</f>
        <v>5.55</v>
      </c>
      <c r="X103" s="10">
        <f>J103-'1. Rapport'!$C$28</f>
        <v>5.09</v>
      </c>
      <c r="Y103" s="10">
        <f>L103-'1. Rapport'!$C$30</f>
        <v>4.45</v>
      </c>
      <c r="Z103" s="10">
        <f>K103-'1. Rapport'!$C$29</f>
        <v>5.28</v>
      </c>
      <c r="AA103" s="8">
        <f t="shared" si="6"/>
        <v>2</v>
      </c>
      <c r="AB103" s="8">
        <f t="shared" si="7"/>
        <v>8</v>
      </c>
    </row>
    <row r="104" spans="1:28" x14ac:dyDescent="0.25">
      <c r="A104" s="8">
        <f t="shared" si="5"/>
        <v>100</v>
      </c>
      <c r="B104" s="46">
        <v>43606</v>
      </c>
      <c r="C104" s="47">
        <v>0.5849537037037037</v>
      </c>
      <c r="D104" s="48">
        <v>5.31</v>
      </c>
      <c r="E104" s="48">
        <v>5.75</v>
      </c>
      <c r="F104" s="48">
        <v>5.56</v>
      </c>
      <c r="G104" s="48">
        <v>5.38</v>
      </c>
      <c r="H104" s="48">
        <v>4.63</v>
      </c>
      <c r="I104" s="48">
        <v>5.5</v>
      </c>
      <c r="J104" s="48">
        <v>5.5</v>
      </c>
      <c r="K104" s="48">
        <v>5.56</v>
      </c>
      <c r="L104" s="48">
        <v>4.4400000000000004</v>
      </c>
      <c r="M104" s="48">
        <v>26</v>
      </c>
      <c r="N104" s="48">
        <v>35</v>
      </c>
      <c r="Q104" s="9">
        <f t="shared" si="4"/>
        <v>0.5849537037037037</v>
      </c>
      <c r="R104" s="10">
        <f>E104-'1. Rapport'!$C$23</f>
        <v>5.84</v>
      </c>
      <c r="S104" s="10">
        <f>F104-'1. Rapport'!$C$24</f>
        <v>5.54</v>
      </c>
      <c r="T104" s="10">
        <f>H104-'1. Rapport'!$C$26</f>
        <v>4.79</v>
      </c>
      <c r="U104" s="10">
        <f>G104-'1. Rapport'!$C$25</f>
        <v>5.3999999999999995</v>
      </c>
      <c r="V104" s="10">
        <f>D104-'1. Rapport'!$C$22</f>
        <v>5.39</v>
      </c>
      <c r="W104" s="10">
        <f>I104-'1. Rapport'!$C$27</f>
        <v>5.67</v>
      </c>
      <c r="X104" s="10">
        <f>J104-'1. Rapport'!$C$28</f>
        <v>5.28</v>
      </c>
      <c r="Y104" s="10">
        <f>L104-'1. Rapport'!$C$30</f>
        <v>4.7600000000000007</v>
      </c>
      <c r="Z104" s="10">
        <f>K104-'1. Rapport'!$C$29</f>
        <v>5.3999999999999995</v>
      </c>
      <c r="AA104" s="8">
        <f t="shared" si="6"/>
        <v>2</v>
      </c>
      <c r="AB104" s="8">
        <f t="shared" si="7"/>
        <v>8</v>
      </c>
    </row>
    <row r="105" spans="1:28" x14ac:dyDescent="0.25">
      <c r="A105" s="8">
        <f t="shared" si="5"/>
        <v>101</v>
      </c>
      <c r="B105" s="46">
        <v>43606</v>
      </c>
      <c r="C105" s="47">
        <v>0.58564814814814814</v>
      </c>
      <c r="D105" s="48">
        <v>5.44</v>
      </c>
      <c r="E105" s="48">
        <v>5.81</v>
      </c>
      <c r="F105" s="48">
        <v>5.63</v>
      </c>
      <c r="G105" s="48">
        <v>5.5</v>
      </c>
      <c r="H105" s="48">
        <v>4.75</v>
      </c>
      <c r="I105" s="48">
        <v>5.63</v>
      </c>
      <c r="J105" s="48">
        <v>5.69</v>
      </c>
      <c r="K105" s="48">
        <v>5.69</v>
      </c>
      <c r="L105" s="48">
        <v>4.63</v>
      </c>
      <c r="M105" s="48">
        <v>26</v>
      </c>
      <c r="N105" s="48">
        <v>35</v>
      </c>
      <c r="Q105" s="9">
        <f t="shared" si="4"/>
        <v>0.58564814814814814</v>
      </c>
      <c r="R105" s="10">
        <f>E105-'1. Rapport'!$C$23</f>
        <v>5.8999999999999995</v>
      </c>
      <c r="S105" s="10">
        <f>F105-'1. Rapport'!$C$24</f>
        <v>5.61</v>
      </c>
      <c r="T105" s="10">
        <f>H105-'1. Rapport'!$C$26</f>
        <v>4.91</v>
      </c>
      <c r="U105" s="10">
        <f>G105-'1. Rapport'!$C$25</f>
        <v>5.52</v>
      </c>
      <c r="V105" s="10">
        <f>D105-'1. Rapport'!$C$22</f>
        <v>5.5200000000000005</v>
      </c>
      <c r="W105" s="10">
        <f>I105-'1. Rapport'!$C$27</f>
        <v>5.8</v>
      </c>
      <c r="X105" s="10">
        <f>J105-'1. Rapport'!$C$28</f>
        <v>5.4700000000000006</v>
      </c>
      <c r="Y105" s="10">
        <f>L105-'1. Rapport'!$C$30</f>
        <v>4.95</v>
      </c>
      <c r="Z105" s="10">
        <f>K105-'1. Rapport'!$C$29</f>
        <v>5.53</v>
      </c>
      <c r="AA105" s="8">
        <f t="shared" si="6"/>
        <v>2</v>
      </c>
      <c r="AB105" s="8">
        <f t="shared" si="7"/>
        <v>8</v>
      </c>
    </row>
    <row r="106" spans="1:28" x14ac:dyDescent="0.25">
      <c r="A106" s="8">
        <f t="shared" si="5"/>
        <v>102</v>
      </c>
      <c r="B106" s="46">
        <v>43606</v>
      </c>
      <c r="C106" s="47">
        <v>0.58634259259259258</v>
      </c>
      <c r="D106" s="48">
        <v>5.5</v>
      </c>
      <c r="E106" s="48">
        <v>5.88</v>
      </c>
      <c r="F106" s="48">
        <v>5.69</v>
      </c>
      <c r="G106" s="48">
        <v>5.5</v>
      </c>
      <c r="H106" s="48">
        <v>4.75</v>
      </c>
      <c r="I106" s="48">
        <v>5.69</v>
      </c>
      <c r="J106" s="48">
        <v>5.69</v>
      </c>
      <c r="K106" s="48">
        <v>5.75</v>
      </c>
      <c r="L106" s="48">
        <v>4.4400000000000004</v>
      </c>
      <c r="M106" s="48">
        <v>26</v>
      </c>
      <c r="N106" s="48">
        <v>35</v>
      </c>
      <c r="Q106" s="9">
        <f t="shared" si="4"/>
        <v>0.58634259259259258</v>
      </c>
      <c r="R106" s="10">
        <f>E106-'1. Rapport'!$C$23</f>
        <v>5.97</v>
      </c>
      <c r="S106" s="10">
        <f>F106-'1. Rapport'!$C$24</f>
        <v>5.6700000000000008</v>
      </c>
      <c r="T106" s="10">
        <f>H106-'1. Rapport'!$C$26</f>
        <v>4.91</v>
      </c>
      <c r="U106" s="10">
        <f>G106-'1. Rapport'!$C$25</f>
        <v>5.52</v>
      </c>
      <c r="V106" s="10">
        <f>D106-'1. Rapport'!$C$22</f>
        <v>5.58</v>
      </c>
      <c r="W106" s="10">
        <f>I106-'1. Rapport'!$C$27</f>
        <v>5.86</v>
      </c>
      <c r="X106" s="10">
        <f>J106-'1. Rapport'!$C$28</f>
        <v>5.4700000000000006</v>
      </c>
      <c r="Y106" s="10">
        <f>L106-'1. Rapport'!$C$30</f>
        <v>4.7600000000000007</v>
      </c>
      <c r="Z106" s="10">
        <f>K106-'1. Rapport'!$C$29</f>
        <v>5.59</v>
      </c>
      <c r="AA106" s="8">
        <f t="shared" si="6"/>
        <v>2</v>
      </c>
      <c r="AB106" s="8">
        <f t="shared" si="7"/>
        <v>8</v>
      </c>
    </row>
    <row r="107" spans="1:28" x14ac:dyDescent="0.25">
      <c r="A107" s="8">
        <f t="shared" si="5"/>
        <v>103</v>
      </c>
      <c r="B107" s="46">
        <v>43606</v>
      </c>
      <c r="C107" s="47">
        <v>0.58703703703703702</v>
      </c>
      <c r="D107" s="48">
        <v>5.19</v>
      </c>
      <c r="E107" s="48">
        <v>5.75</v>
      </c>
      <c r="F107" s="48">
        <v>5.5</v>
      </c>
      <c r="G107" s="48">
        <v>5.19</v>
      </c>
      <c r="H107" s="48">
        <v>4.4400000000000004</v>
      </c>
      <c r="I107" s="48">
        <v>5.5</v>
      </c>
      <c r="J107" s="48">
        <v>5.13</v>
      </c>
      <c r="K107" s="48">
        <v>5.44</v>
      </c>
      <c r="L107" s="48">
        <v>3.5</v>
      </c>
      <c r="M107" s="48">
        <v>26</v>
      </c>
      <c r="N107" s="48">
        <v>35</v>
      </c>
      <c r="Q107" s="9">
        <f t="shared" si="4"/>
        <v>0.58703703703703702</v>
      </c>
      <c r="R107" s="10">
        <f>E107-'1. Rapport'!$C$23</f>
        <v>5.84</v>
      </c>
      <c r="S107" s="10">
        <f>F107-'1. Rapport'!$C$24</f>
        <v>5.48</v>
      </c>
      <c r="T107" s="10">
        <f>H107-'1. Rapport'!$C$26</f>
        <v>4.6000000000000005</v>
      </c>
      <c r="U107" s="10">
        <f>G107-'1. Rapport'!$C$25</f>
        <v>5.21</v>
      </c>
      <c r="V107" s="10">
        <f>D107-'1. Rapport'!$C$22</f>
        <v>5.2700000000000005</v>
      </c>
      <c r="W107" s="10">
        <f>I107-'1. Rapport'!$C$27</f>
        <v>5.67</v>
      </c>
      <c r="X107" s="10">
        <f>J107-'1. Rapport'!$C$28</f>
        <v>4.91</v>
      </c>
      <c r="Y107" s="10">
        <f>L107-'1. Rapport'!$C$30</f>
        <v>3.82</v>
      </c>
      <c r="Z107" s="10">
        <f>K107-'1. Rapport'!$C$29</f>
        <v>5.28</v>
      </c>
      <c r="AA107" s="8">
        <f t="shared" si="6"/>
        <v>2</v>
      </c>
      <c r="AB107" s="8">
        <f t="shared" si="7"/>
        <v>8</v>
      </c>
    </row>
    <row r="108" spans="1:28" x14ac:dyDescent="0.25">
      <c r="A108" s="8">
        <f t="shared" si="5"/>
        <v>104</v>
      </c>
      <c r="B108" s="46">
        <v>43606</v>
      </c>
      <c r="C108" s="47">
        <v>0.58773148148148147</v>
      </c>
      <c r="D108" s="48">
        <v>4.75</v>
      </c>
      <c r="E108" s="48">
        <v>5.56</v>
      </c>
      <c r="F108" s="48">
        <v>5.25</v>
      </c>
      <c r="G108" s="48">
        <v>4.8099999999999996</v>
      </c>
      <c r="H108" s="48">
        <v>4.13</v>
      </c>
      <c r="I108" s="48">
        <v>5.19</v>
      </c>
      <c r="J108" s="48">
        <v>4.5</v>
      </c>
      <c r="K108" s="48">
        <v>5.13</v>
      </c>
      <c r="L108" s="48">
        <v>2.81</v>
      </c>
      <c r="M108" s="48">
        <v>26</v>
      </c>
      <c r="N108" s="48">
        <v>35</v>
      </c>
      <c r="Q108" s="9">
        <f t="shared" si="4"/>
        <v>0.58773148148148147</v>
      </c>
      <c r="R108" s="10">
        <f>E108-'1. Rapport'!$C$23</f>
        <v>5.6499999999999995</v>
      </c>
      <c r="S108" s="10">
        <f>F108-'1. Rapport'!$C$24</f>
        <v>5.23</v>
      </c>
      <c r="T108" s="10">
        <f>H108-'1. Rapport'!$C$26</f>
        <v>4.29</v>
      </c>
      <c r="U108" s="10">
        <f>G108-'1. Rapport'!$C$25</f>
        <v>4.8299999999999992</v>
      </c>
      <c r="V108" s="10">
        <f>D108-'1. Rapport'!$C$22</f>
        <v>4.83</v>
      </c>
      <c r="W108" s="10">
        <f>I108-'1. Rapport'!$C$27</f>
        <v>5.36</v>
      </c>
      <c r="X108" s="10">
        <f>J108-'1. Rapport'!$C$28</f>
        <v>4.28</v>
      </c>
      <c r="Y108" s="10">
        <f>L108-'1. Rapport'!$C$30</f>
        <v>3.13</v>
      </c>
      <c r="Z108" s="10">
        <f>K108-'1. Rapport'!$C$29</f>
        <v>4.97</v>
      </c>
      <c r="AA108" s="8">
        <f t="shared" si="6"/>
        <v>2</v>
      </c>
      <c r="AB108" s="8">
        <f t="shared" si="7"/>
        <v>8</v>
      </c>
    </row>
    <row r="109" spans="1:28" x14ac:dyDescent="0.25">
      <c r="A109" s="8">
        <f t="shared" si="5"/>
        <v>105</v>
      </c>
      <c r="B109" s="46">
        <v>43606</v>
      </c>
      <c r="C109" s="47">
        <v>0.58842592592592591</v>
      </c>
      <c r="D109" s="48">
        <v>4.6900000000000004</v>
      </c>
      <c r="E109" s="48">
        <v>5.5</v>
      </c>
      <c r="F109" s="48">
        <v>5.13</v>
      </c>
      <c r="G109" s="48">
        <v>4.88</v>
      </c>
      <c r="H109" s="48">
        <v>4.0599999999999996</v>
      </c>
      <c r="I109" s="48">
        <v>5.0599999999999996</v>
      </c>
      <c r="J109" s="48">
        <v>4.5</v>
      </c>
      <c r="K109" s="48">
        <v>5.0599999999999996</v>
      </c>
      <c r="L109" s="48">
        <v>3</v>
      </c>
      <c r="M109" s="48">
        <v>25.9</v>
      </c>
      <c r="N109" s="48">
        <v>34</v>
      </c>
      <c r="Q109" s="9">
        <f t="shared" si="4"/>
        <v>0.58842592592592591</v>
      </c>
      <c r="R109" s="10">
        <f>E109-'1. Rapport'!$C$23</f>
        <v>5.59</v>
      </c>
      <c r="S109" s="10">
        <f>F109-'1. Rapport'!$C$24</f>
        <v>5.1100000000000003</v>
      </c>
      <c r="T109" s="10">
        <f>H109-'1. Rapport'!$C$26</f>
        <v>4.22</v>
      </c>
      <c r="U109" s="10">
        <f>G109-'1. Rapport'!$C$25</f>
        <v>4.8999999999999995</v>
      </c>
      <c r="V109" s="10">
        <f>D109-'1. Rapport'!$C$22</f>
        <v>4.7700000000000005</v>
      </c>
      <c r="W109" s="10">
        <f>I109-'1. Rapport'!$C$27</f>
        <v>5.2299999999999995</v>
      </c>
      <c r="X109" s="10">
        <f>J109-'1. Rapport'!$C$28</f>
        <v>4.28</v>
      </c>
      <c r="Y109" s="10">
        <f>L109-'1. Rapport'!$C$30</f>
        <v>3.32</v>
      </c>
      <c r="Z109" s="10">
        <f>K109-'1. Rapport'!$C$29</f>
        <v>4.8999999999999995</v>
      </c>
      <c r="AA109" s="8">
        <f t="shared" si="6"/>
        <v>2</v>
      </c>
      <c r="AB109" s="8">
        <f t="shared" si="7"/>
        <v>8</v>
      </c>
    </row>
    <row r="110" spans="1:28" x14ac:dyDescent="0.25">
      <c r="A110" s="8">
        <f t="shared" si="5"/>
        <v>106</v>
      </c>
      <c r="B110" s="46">
        <v>43606</v>
      </c>
      <c r="C110" s="47">
        <v>0.58912037037037035</v>
      </c>
      <c r="D110" s="48">
        <v>4.75</v>
      </c>
      <c r="E110" s="48">
        <v>5.5</v>
      </c>
      <c r="F110" s="48">
        <v>5.13</v>
      </c>
      <c r="G110" s="48">
        <v>4.9400000000000004</v>
      </c>
      <c r="H110" s="48">
        <v>4.13</v>
      </c>
      <c r="I110" s="48">
        <v>5.13</v>
      </c>
      <c r="J110" s="48">
        <v>4.6900000000000004</v>
      </c>
      <c r="K110" s="48">
        <v>5.13</v>
      </c>
      <c r="L110" s="48">
        <v>3.31</v>
      </c>
      <c r="M110" s="48">
        <v>25.9</v>
      </c>
      <c r="N110" s="48">
        <v>34</v>
      </c>
      <c r="Q110" s="9">
        <f t="shared" si="4"/>
        <v>0.58912037037037035</v>
      </c>
      <c r="R110" s="10">
        <f>E110-'1. Rapport'!$C$23</f>
        <v>5.59</v>
      </c>
      <c r="S110" s="10">
        <f>F110-'1. Rapport'!$C$24</f>
        <v>5.1100000000000003</v>
      </c>
      <c r="T110" s="10">
        <f>H110-'1. Rapport'!$C$26</f>
        <v>4.29</v>
      </c>
      <c r="U110" s="10">
        <f>G110-'1. Rapport'!$C$25</f>
        <v>4.96</v>
      </c>
      <c r="V110" s="10">
        <f>D110-'1. Rapport'!$C$22</f>
        <v>4.83</v>
      </c>
      <c r="W110" s="10">
        <f>I110-'1. Rapport'!$C$27</f>
        <v>5.3</v>
      </c>
      <c r="X110" s="10">
        <f>J110-'1. Rapport'!$C$28</f>
        <v>4.4700000000000006</v>
      </c>
      <c r="Y110" s="10">
        <f>L110-'1. Rapport'!$C$30</f>
        <v>3.63</v>
      </c>
      <c r="Z110" s="10">
        <f>K110-'1. Rapport'!$C$29</f>
        <v>4.97</v>
      </c>
      <c r="AA110" s="8">
        <f t="shared" si="6"/>
        <v>2</v>
      </c>
      <c r="AB110" s="8">
        <f t="shared" si="7"/>
        <v>8</v>
      </c>
    </row>
    <row r="111" spans="1:28" x14ac:dyDescent="0.25">
      <c r="A111" s="8">
        <f t="shared" si="5"/>
        <v>107</v>
      </c>
      <c r="B111" s="46">
        <v>43606</v>
      </c>
      <c r="C111" s="47">
        <v>0.58980324074074075</v>
      </c>
      <c r="D111" s="48">
        <v>4.88</v>
      </c>
      <c r="E111" s="48">
        <v>5.5</v>
      </c>
      <c r="F111" s="48">
        <v>5.19</v>
      </c>
      <c r="G111" s="48">
        <v>5</v>
      </c>
      <c r="H111" s="48">
        <v>4.1900000000000004</v>
      </c>
      <c r="I111" s="48">
        <v>5.19</v>
      </c>
      <c r="J111" s="48">
        <v>4.88</v>
      </c>
      <c r="K111" s="48">
        <v>5.19</v>
      </c>
      <c r="L111" s="48">
        <v>3.56</v>
      </c>
      <c r="M111" s="48">
        <v>25.9</v>
      </c>
      <c r="N111" s="48">
        <v>34</v>
      </c>
      <c r="Q111" s="9">
        <f t="shared" si="4"/>
        <v>0.58980324074074075</v>
      </c>
      <c r="R111" s="10">
        <f>E111-'1. Rapport'!$C$23</f>
        <v>5.59</v>
      </c>
      <c r="S111" s="10">
        <f>F111-'1. Rapport'!$C$24</f>
        <v>5.1700000000000008</v>
      </c>
      <c r="T111" s="10">
        <f>H111-'1. Rapport'!$C$26</f>
        <v>4.3500000000000005</v>
      </c>
      <c r="U111" s="10">
        <f>G111-'1. Rapport'!$C$25</f>
        <v>5.0199999999999996</v>
      </c>
      <c r="V111" s="10">
        <f>D111-'1. Rapport'!$C$22</f>
        <v>4.96</v>
      </c>
      <c r="W111" s="10">
        <f>I111-'1. Rapport'!$C$27</f>
        <v>5.36</v>
      </c>
      <c r="X111" s="10">
        <f>J111-'1. Rapport'!$C$28</f>
        <v>4.66</v>
      </c>
      <c r="Y111" s="10">
        <f>L111-'1. Rapport'!$C$30</f>
        <v>3.88</v>
      </c>
      <c r="Z111" s="10">
        <f>K111-'1. Rapport'!$C$29</f>
        <v>5.03</v>
      </c>
      <c r="AA111" s="8">
        <f t="shared" si="6"/>
        <v>2</v>
      </c>
      <c r="AB111" s="8">
        <f t="shared" si="7"/>
        <v>8</v>
      </c>
    </row>
    <row r="112" spans="1:28" x14ac:dyDescent="0.25">
      <c r="A112" s="8">
        <f t="shared" si="5"/>
        <v>108</v>
      </c>
      <c r="B112" s="46">
        <v>43606</v>
      </c>
      <c r="C112" s="47">
        <v>0.59050925925925923</v>
      </c>
      <c r="D112" s="48">
        <v>5</v>
      </c>
      <c r="E112" s="48">
        <v>5.56</v>
      </c>
      <c r="F112" s="48">
        <v>5.31</v>
      </c>
      <c r="G112" s="48">
        <v>5.13</v>
      </c>
      <c r="H112" s="48">
        <v>4.3099999999999996</v>
      </c>
      <c r="I112" s="48">
        <v>5.25</v>
      </c>
      <c r="J112" s="48">
        <v>5.0599999999999996</v>
      </c>
      <c r="K112" s="48">
        <v>5.31</v>
      </c>
      <c r="L112" s="48">
        <v>3.88</v>
      </c>
      <c r="M112" s="48">
        <v>25.9</v>
      </c>
      <c r="N112" s="48">
        <v>34</v>
      </c>
      <c r="Q112" s="9">
        <f t="shared" si="4"/>
        <v>0.59050925925925923</v>
      </c>
      <c r="R112" s="10">
        <f>E112-'1. Rapport'!$C$23</f>
        <v>5.6499999999999995</v>
      </c>
      <c r="S112" s="10">
        <f>F112-'1. Rapport'!$C$24</f>
        <v>5.29</v>
      </c>
      <c r="T112" s="10">
        <f>H112-'1. Rapport'!$C$26</f>
        <v>4.47</v>
      </c>
      <c r="U112" s="10">
        <f>G112-'1. Rapport'!$C$25</f>
        <v>5.1499999999999995</v>
      </c>
      <c r="V112" s="10">
        <f>D112-'1. Rapport'!$C$22</f>
        <v>5.08</v>
      </c>
      <c r="W112" s="10">
        <f>I112-'1. Rapport'!$C$27</f>
        <v>5.42</v>
      </c>
      <c r="X112" s="10">
        <f>J112-'1. Rapport'!$C$28</f>
        <v>4.84</v>
      </c>
      <c r="Y112" s="10">
        <f>L112-'1. Rapport'!$C$30</f>
        <v>4.2</v>
      </c>
      <c r="Z112" s="10">
        <f>K112-'1. Rapport'!$C$29</f>
        <v>5.1499999999999995</v>
      </c>
      <c r="AA112" s="8">
        <f t="shared" si="6"/>
        <v>2</v>
      </c>
      <c r="AB112" s="8">
        <f t="shared" si="7"/>
        <v>8</v>
      </c>
    </row>
    <row r="113" spans="1:28" x14ac:dyDescent="0.25">
      <c r="A113" s="8">
        <f t="shared" si="5"/>
        <v>109</v>
      </c>
      <c r="B113" s="46">
        <v>43606</v>
      </c>
      <c r="C113" s="47">
        <v>0.59119212962962964</v>
      </c>
      <c r="D113" s="48">
        <v>5.19</v>
      </c>
      <c r="E113" s="48">
        <v>5.63</v>
      </c>
      <c r="F113" s="48">
        <v>5.44</v>
      </c>
      <c r="G113" s="48">
        <v>5.25</v>
      </c>
      <c r="H113" s="48">
        <v>4.4400000000000004</v>
      </c>
      <c r="I113" s="48">
        <v>5.38</v>
      </c>
      <c r="J113" s="48">
        <v>5.31</v>
      </c>
      <c r="K113" s="48">
        <v>5.44</v>
      </c>
      <c r="L113" s="48">
        <v>4.1900000000000004</v>
      </c>
      <c r="M113" s="48">
        <v>26</v>
      </c>
      <c r="N113" s="48">
        <v>35</v>
      </c>
      <c r="Q113" s="9">
        <f t="shared" si="4"/>
        <v>0.59119212962962964</v>
      </c>
      <c r="R113" s="10">
        <f>E113-'1. Rapport'!$C$23</f>
        <v>5.72</v>
      </c>
      <c r="S113" s="10">
        <f>F113-'1. Rapport'!$C$24</f>
        <v>5.4200000000000008</v>
      </c>
      <c r="T113" s="10">
        <f>H113-'1. Rapport'!$C$26</f>
        <v>4.6000000000000005</v>
      </c>
      <c r="U113" s="10">
        <f>G113-'1. Rapport'!$C$25</f>
        <v>5.27</v>
      </c>
      <c r="V113" s="10">
        <f>D113-'1. Rapport'!$C$22</f>
        <v>5.2700000000000005</v>
      </c>
      <c r="W113" s="10">
        <f>I113-'1. Rapport'!$C$27</f>
        <v>5.55</v>
      </c>
      <c r="X113" s="10">
        <f>J113-'1. Rapport'!$C$28</f>
        <v>5.09</v>
      </c>
      <c r="Y113" s="10">
        <f>L113-'1. Rapport'!$C$30</f>
        <v>4.5100000000000007</v>
      </c>
      <c r="Z113" s="10">
        <f>K113-'1. Rapport'!$C$29</f>
        <v>5.28</v>
      </c>
      <c r="AA113" s="8">
        <f t="shared" si="6"/>
        <v>2</v>
      </c>
      <c r="AB113" s="8">
        <f t="shared" si="7"/>
        <v>8</v>
      </c>
    </row>
    <row r="114" spans="1:28" x14ac:dyDescent="0.25">
      <c r="A114" s="8">
        <f t="shared" si="5"/>
        <v>110</v>
      </c>
      <c r="B114" s="46">
        <v>43606</v>
      </c>
      <c r="C114" s="47">
        <v>0.59189814814814812</v>
      </c>
      <c r="D114" s="48">
        <v>5.31</v>
      </c>
      <c r="E114" s="48">
        <v>5.75</v>
      </c>
      <c r="F114" s="48">
        <v>5.56</v>
      </c>
      <c r="G114" s="48">
        <v>5.44</v>
      </c>
      <c r="H114" s="48">
        <v>4.63</v>
      </c>
      <c r="I114" s="48">
        <v>5.5</v>
      </c>
      <c r="J114" s="48">
        <v>5.5</v>
      </c>
      <c r="K114" s="48">
        <v>5.56</v>
      </c>
      <c r="L114" s="48">
        <v>4.4400000000000004</v>
      </c>
      <c r="M114" s="48">
        <v>26</v>
      </c>
      <c r="N114" s="48">
        <v>35</v>
      </c>
      <c r="Q114" s="9">
        <f t="shared" si="4"/>
        <v>0.59189814814814812</v>
      </c>
      <c r="R114" s="10">
        <f>E114-'1. Rapport'!$C$23</f>
        <v>5.84</v>
      </c>
      <c r="S114" s="10">
        <f>F114-'1. Rapport'!$C$24</f>
        <v>5.54</v>
      </c>
      <c r="T114" s="10">
        <f>H114-'1. Rapport'!$C$26</f>
        <v>4.79</v>
      </c>
      <c r="U114" s="10">
        <f>G114-'1. Rapport'!$C$25</f>
        <v>5.46</v>
      </c>
      <c r="V114" s="10">
        <f>D114-'1. Rapport'!$C$22</f>
        <v>5.39</v>
      </c>
      <c r="W114" s="10">
        <f>I114-'1. Rapport'!$C$27</f>
        <v>5.67</v>
      </c>
      <c r="X114" s="10">
        <f>J114-'1. Rapport'!$C$28</f>
        <v>5.28</v>
      </c>
      <c r="Y114" s="10">
        <f>L114-'1. Rapport'!$C$30</f>
        <v>4.7600000000000007</v>
      </c>
      <c r="Z114" s="10">
        <f>K114-'1. Rapport'!$C$29</f>
        <v>5.3999999999999995</v>
      </c>
      <c r="AA114" s="8">
        <f t="shared" si="6"/>
        <v>2</v>
      </c>
      <c r="AB114" s="8">
        <f t="shared" si="7"/>
        <v>8</v>
      </c>
    </row>
    <row r="115" spans="1:28" x14ac:dyDescent="0.25">
      <c r="A115" s="8">
        <f t="shared" si="5"/>
        <v>111</v>
      </c>
      <c r="B115" s="46">
        <v>43606</v>
      </c>
      <c r="C115" s="47">
        <v>0.59259259259259256</v>
      </c>
      <c r="D115" s="48">
        <v>5.5</v>
      </c>
      <c r="E115" s="48">
        <v>5.81</v>
      </c>
      <c r="F115" s="48">
        <v>5.69</v>
      </c>
      <c r="G115" s="48">
        <v>5.5</v>
      </c>
      <c r="H115" s="48">
        <v>4.75</v>
      </c>
      <c r="I115" s="48">
        <v>5.63</v>
      </c>
      <c r="J115" s="48">
        <v>5.69</v>
      </c>
      <c r="K115" s="48">
        <v>5.69</v>
      </c>
      <c r="L115" s="48">
        <v>4.6900000000000004</v>
      </c>
      <c r="M115" s="48">
        <v>26.1</v>
      </c>
      <c r="N115" s="48">
        <v>35</v>
      </c>
      <c r="Q115" s="9">
        <f t="shared" si="4"/>
        <v>0.59259259259259256</v>
      </c>
      <c r="R115" s="10">
        <f>E115-'1. Rapport'!$C$23</f>
        <v>5.8999999999999995</v>
      </c>
      <c r="S115" s="10">
        <f>F115-'1. Rapport'!$C$24</f>
        <v>5.6700000000000008</v>
      </c>
      <c r="T115" s="10">
        <f>H115-'1. Rapport'!$C$26</f>
        <v>4.91</v>
      </c>
      <c r="U115" s="10">
        <f>G115-'1. Rapport'!$C$25</f>
        <v>5.52</v>
      </c>
      <c r="V115" s="10">
        <f>D115-'1. Rapport'!$C$22</f>
        <v>5.58</v>
      </c>
      <c r="W115" s="10">
        <f>I115-'1. Rapport'!$C$27</f>
        <v>5.8</v>
      </c>
      <c r="X115" s="10">
        <f>J115-'1. Rapport'!$C$28</f>
        <v>5.4700000000000006</v>
      </c>
      <c r="Y115" s="10">
        <f>L115-'1. Rapport'!$C$30</f>
        <v>5.0100000000000007</v>
      </c>
      <c r="Z115" s="10">
        <f>K115-'1. Rapport'!$C$29</f>
        <v>5.53</v>
      </c>
      <c r="AA115" s="8">
        <f t="shared" si="6"/>
        <v>2</v>
      </c>
      <c r="AB115" s="8">
        <f t="shared" si="7"/>
        <v>8</v>
      </c>
    </row>
    <row r="116" spans="1:28" x14ac:dyDescent="0.25">
      <c r="A116" s="8">
        <f t="shared" si="5"/>
        <v>112</v>
      </c>
      <c r="B116" s="46">
        <v>43606</v>
      </c>
      <c r="C116" s="47">
        <v>0.59327546296296296</v>
      </c>
      <c r="D116" s="48">
        <v>5.56</v>
      </c>
      <c r="E116" s="48">
        <v>5.88</v>
      </c>
      <c r="F116" s="48">
        <v>5.69</v>
      </c>
      <c r="G116" s="48">
        <v>5.5</v>
      </c>
      <c r="H116" s="48">
        <v>4.75</v>
      </c>
      <c r="I116" s="48">
        <v>5.69</v>
      </c>
      <c r="J116" s="48">
        <v>5.69</v>
      </c>
      <c r="K116" s="48">
        <v>5.75</v>
      </c>
      <c r="L116" s="48">
        <v>4.4400000000000004</v>
      </c>
      <c r="M116" s="48">
        <v>26</v>
      </c>
      <c r="N116" s="48">
        <v>35</v>
      </c>
      <c r="Q116" s="9">
        <f t="shared" si="4"/>
        <v>0.59327546296296296</v>
      </c>
      <c r="R116" s="10">
        <f>E116-'1. Rapport'!$C$23</f>
        <v>5.97</v>
      </c>
      <c r="S116" s="10">
        <f>F116-'1. Rapport'!$C$24</f>
        <v>5.6700000000000008</v>
      </c>
      <c r="T116" s="10">
        <f>H116-'1. Rapport'!$C$26</f>
        <v>4.91</v>
      </c>
      <c r="U116" s="10">
        <f>G116-'1. Rapport'!$C$25</f>
        <v>5.52</v>
      </c>
      <c r="V116" s="10">
        <f>D116-'1. Rapport'!$C$22</f>
        <v>5.64</v>
      </c>
      <c r="W116" s="10">
        <f>I116-'1. Rapport'!$C$27</f>
        <v>5.86</v>
      </c>
      <c r="X116" s="10">
        <f>J116-'1. Rapport'!$C$28</f>
        <v>5.4700000000000006</v>
      </c>
      <c r="Y116" s="10">
        <f>L116-'1. Rapport'!$C$30</f>
        <v>4.7600000000000007</v>
      </c>
      <c r="Z116" s="10">
        <f>K116-'1. Rapport'!$C$29</f>
        <v>5.59</v>
      </c>
      <c r="AA116" s="8">
        <f t="shared" si="6"/>
        <v>2</v>
      </c>
      <c r="AB116" s="8">
        <f t="shared" si="7"/>
        <v>8</v>
      </c>
    </row>
    <row r="117" spans="1:28" x14ac:dyDescent="0.25">
      <c r="A117" s="8">
        <f t="shared" si="5"/>
        <v>113</v>
      </c>
      <c r="B117" s="46">
        <v>43606</v>
      </c>
      <c r="C117" s="47">
        <v>0.59398148148148155</v>
      </c>
      <c r="D117" s="48">
        <v>5.25</v>
      </c>
      <c r="E117" s="48">
        <v>5.75</v>
      </c>
      <c r="F117" s="48">
        <v>5.5</v>
      </c>
      <c r="G117" s="48">
        <v>5.25</v>
      </c>
      <c r="H117" s="48">
        <v>4.4400000000000004</v>
      </c>
      <c r="I117" s="48">
        <v>5.5</v>
      </c>
      <c r="J117" s="48">
        <v>5.13</v>
      </c>
      <c r="K117" s="48">
        <v>5.56</v>
      </c>
      <c r="L117" s="48">
        <v>3.5</v>
      </c>
      <c r="M117" s="48">
        <v>26.1</v>
      </c>
      <c r="N117" s="48">
        <v>35</v>
      </c>
      <c r="Q117" s="9">
        <f t="shared" si="4"/>
        <v>0.59398148148148155</v>
      </c>
      <c r="R117" s="10">
        <f>E117-'1. Rapport'!$C$23</f>
        <v>5.84</v>
      </c>
      <c r="S117" s="10">
        <f>F117-'1. Rapport'!$C$24</f>
        <v>5.48</v>
      </c>
      <c r="T117" s="10">
        <f>H117-'1. Rapport'!$C$26</f>
        <v>4.6000000000000005</v>
      </c>
      <c r="U117" s="10">
        <f>G117-'1. Rapport'!$C$25</f>
        <v>5.27</v>
      </c>
      <c r="V117" s="10">
        <f>D117-'1. Rapport'!$C$22</f>
        <v>5.33</v>
      </c>
      <c r="W117" s="10">
        <f>I117-'1. Rapport'!$C$27</f>
        <v>5.67</v>
      </c>
      <c r="X117" s="10">
        <f>J117-'1. Rapport'!$C$28</f>
        <v>4.91</v>
      </c>
      <c r="Y117" s="10">
        <f>L117-'1. Rapport'!$C$30</f>
        <v>3.82</v>
      </c>
      <c r="Z117" s="10">
        <f>K117-'1. Rapport'!$C$29</f>
        <v>5.3999999999999995</v>
      </c>
      <c r="AA117" s="8">
        <f t="shared" si="6"/>
        <v>2</v>
      </c>
      <c r="AB117" s="8">
        <f t="shared" si="7"/>
        <v>8</v>
      </c>
    </row>
    <row r="118" spans="1:28" x14ac:dyDescent="0.25">
      <c r="A118" s="8">
        <f t="shared" si="5"/>
        <v>114</v>
      </c>
      <c r="B118" s="46">
        <v>43606</v>
      </c>
      <c r="C118" s="47">
        <v>0.59467592592592589</v>
      </c>
      <c r="D118" s="48">
        <v>4.75</v>
      </c>
      <c r="E118" s="48">
        <v>5.56</v>
      </c>
      <c r="F118" s="48">
        <v>5.25</v>
      </c>
      <c r="G118" s="48">
        <v>4.88</v>
      </c>
      <c r="H118" s="48">
        <v>4.13</v>
      </c>
      <c r="I118" s="48">
        <v>5.19</v>
      </c>
      <c r="J118" s="48">
        <v>4.5</v>
      </c>
      <c r="K118" s="48">
        <v>5.25</v>
      </c>
      <c r="L118" s="48">
        <v>2.88</v>
      </c>
      <c r="M118" s="48">
        <v>26.1</v>
      </c>
      <c r="N118" s="48">
        <v>35</v>
      </c>
      <c r="Q118" s="9">
        <f t="shared" si="4"/>
        <v>0.59467592592592589</v>
      </c>
      <c r="R118" s="10">
        <f>E118-'1. Rapport'!$C$23</f>
        <v>5.6499999999999995</v>
      </c>
      <c r="S118" s="10">
        <f>F118-'1. Rapport'!$C$24</f>
        <v>5.23</v>
      </c>
      <c r="T118" s="10">
        <f>H118-'1. Rapport'!$C$26</f>
        <v>4.29</v>
      </c>
      <c r="U118" s="10">
        <f>G118-'1. Rapport'!$C$25</f>
        <v>4.8999999999999995</v>
      </c>
      <c r="V118" s="10">
        <f>D118-'1. Rapport'!$C$22</f>
        <v>4.83</v>
      </c>
      <c r="W118" s="10">
        <f>I118-'1. Rapport'!$C$27</f>
        <v>5.36</v>
      </c>
      <c r="X118" s="10">
        <f>J118-'1. Rapport'!$C$28</f>
        <v>4.28</v>
      </c>
      <c r="Y118" s="10">
        <f>L118-'1. Rapport'!$C$30</f>
        <v>3.1999999999999997</v>
      </c>
      <c r="Z118" s="10">
        <f>K118-'1. Rapport'!$C$29</f>
        <v>5.09</v>
      </c>
      <c r="AA118" s="8">
        <f t="shared" si="6"/>
        <v>2</v>
      </c>
      <c r="AB118" s="8">
        <f t="shared" si="7"/>
        <v>8</v>
      </c>
    </row>
    <row r="119" spans="1:28" x14ac:dyDescent="0.25">
      <c r="A119" s="8">
        <f t="shared" si="5"/>
        <v>115</v>
      </c>
      <c r="B119" s="46">
        <v>43606</v>
      </c>
      <c r="C119" s="47">
        <v>0.59535879629629629</v>
      </c>
      <c r="D119" s="48">
        <v>4.6900000000000004</v>
      </c>
      <c r="E119" s="48">
        <v>5.5</v>
      </c>
      <c r="F119" s="48">
        <v>5.13</v>
      </c>
      <c r="G119" s="48">
        <v>4.8099999999999996</v>
      </c>
      <c r="H119" s="48">
        <v>4.0599999999999996</v>
      </c>
      <c r="I119" s="48">
        <v>5.13</v>
      </c>
      <c r="J119" s="48">
        <v>4.5</v>
      </c>
      <c r="K119" s="48">
        <v>5.13</v>
      </c>
      <c r="L119" s="48">
        <v>3.06</v>
      </c>
      <c r="M119" s="48">
        <v>26.1</v>
      </c>
      <c r="N119" s="48">
        <v>35</v>
      </c>
      <c r="Q119" s="9">
        <f t="shared" si="4"/>
        <v>0.59535879629629629</v>
      </c>
      <c r="R119" s="10">
        <f>E119-'1. Rapport'!$C$23</f>
        <v>5.59</v>
      </c>
      <c r="S119" s="10">
        <f>F119-'1. Rapport'!$C$24</f>
        <v>5.1100000000000003</v>
      </c>
      <c r="T119" s="10">
        <f>H119-'1. Rapport'!$C$26</f>
        <v>4.22</v>
      </c>
      <c r="U119" s="10">
        <f>G119-'1. Rapport'!$C$25</f>
        <v>4.8299999999999992</v>
      </c>
      <c r="V119" s="10">
        <f>D119-'1. Rapport'!$C$22</f>
        <v>4.7700000000000005</v>
      </c>
      <c r="W119" s="10">
        <f>I119-'1. Rapport'!$C$27</f>
        <v>5.3</v>
      </c>
      <c r="X119" s="10">
        <f>J119-'1. Rapport'!$C$28</f>
        <v>4.28</v>
      </c>
      <c r="Y119" s="10">
        <f>L119-'1. Rapport'!$C$30</f>
        <v>3.38</v>
      </c>
      <c r="Z119" s="10">
        <f>K119-'1. Rapport'!$C$29</f>
        <v>4.97</v>
      </c>
      <c r="AA119" s="8">
        <f t="shared" si="6"/>
        <v>2</v>
      </c>
      <c r="AB119" s="8">
        <f t="shared" si="7"/>
        <v>8</v>
      </c>
    </row>
    <row r="120" spans="1:28" x14ac:dyDescent="0.25">
      <c r="A120" s="8">
        <f t="shared" si="5"/>
        <v>116</v>
      </c>
      <c r="B120" s="46">
        <v>43606</v>
      </c>
      <c r="C120" s="47">
        <v>0.59605324074074073</v>
      </c>
      <c r="D120" s="48">
        <v>4.75</v>
      </c>
      <c r="E120" s="48">
        <v>5.5</v>
      </c>
      <c r="F120" s="48">
        <v>5.19</v>
      </c>
      <c r="G120" s="48">
        <v>4.9400000000000004</v>
      </c>
      <c r="H120" s="48">
        <v>4.13</v>
      </c>
      <c r="I120" s="48">
        <v>5.13</v>
      </c>
      <c r="J120" s="48">
        <v>4.6900000000000004</v>
      </c>
      <c r="K120" s="48">
        <v>5.13</v>
      </c>
      <c r="L120" s="48">
        <v>3.31</v>
      </c>
      <c r="M120" s="48">
        <v>26.1</v>
      </c>
      <c r="N120" s="48">
        <v>35</v>
      </c>
      <c r="Q120" s="9">
        <f t="shared" si="4"/>
        <v>0.59605324074074073</v>
      </c>
      <c r="R120" s="10">
        <f>E120-'1. Rapport'!$C$23</f>
        <v>5.59</v>
      </c>
      <c r="S120" s="10">
        <f>F120-'1. Rapport'!$C$24</f>
        <v>5.1700000000000008</v>
      </c>
      <c r="T120" s="10">
        <f>H120-'1. Rapport'!$C$26</f>
        <v>4.29</v>
      </c>
      <c r="U120" s="10">
        <f>G120-'1. Rapport'!$C$25</f>
        <v>4.96</v>
      </c>
      <c r="V120" s="10">
        <f>D120-'1. Rapport'!$C$22</f>
        <v>4.83</v>
      </c>
      <c r="W120" s="10">
        <f>I120-'1. Rapport'!$C$27</f>
        <v>5.3</v>
      </c>
      <c r="X120" s="10">
        <f>J120-'1. Rapport'!$C$28</f>
        <v>4.4700000000000006</v>
      </c>
      <c r="Y120" s="10">
        <f>L120-'1. Rapport'!$C$30</f>
        <v>3.63</v>
      </c>
      <c r="Z120" s="10">
        <f>K120-'1. Rapport'!$C$29</f>
        <v>4.97</v>
      </c>
      <c r="AA120" s="8">
        <f t="shared" si="6"/>
        <v>2</v>
      </c>
      <c r="AB120" s="8">
        <f t="shared" si="7"/>
        <v>8</v>
      </c>
    </row>
    <row r="121" spans="1:28" x14ac:dyDescent="0.25">
      <c r="A121" s="8">
        <f t="shared" si="5"/>
        <v>117</v>
      </c>
      <c r="B121" s="46">
        <v>43606</v>
      </c>
      <c r="C121" s="47">
        <v>0.59674768518518517</v>
      </c>
      <c r="D121" s="48">
        <v>4.88</v>
      </c>
      <c r="E121" s="48">
        <v>5.5</v>
      </c>
      <c r="F121" s="48">
        <v>5.25</v>
      </c>
      <c r="G121" s="48">
        <v>5.0599999999999996</v>
      </c>
      <c r="H121" s="48">
        <v>4.1900000000000004</v>
      </c>
      <c r="I121" s="48">
        <v>5.19</v>
      </c>
      <c r="J121" s="48">
        <v>4.88</v>
      </c>
      <c r="K121" s="48">
        <v>5.19</v>
      </c>
      <c r="L121" s="48">
        <v>3.63</v>
      </c>
      <c r="M121" s="48">
        <v>26.1</v>
      </c>
      <c r="N121" s="48">
        <v>35</v>
      </c>
      <c r="Q121" s="9">
        <f t="shared" si="4"/>
        <v>0.59674768518518517</v>
      </c>
      <c r="R121" s="10">
        <f>E121-'1. Rapport'!$C$23</f>
        <v>5.59</v>
      </c>
      <c r="S121" s="10">
        <f>F121-'1. Rapport'!$C$24</f>
        <v>5.23</v>
      </c>
      <c r="T121" s="10">
        <f>H121-'1. Rapport'!$C$26</f>
        <v>4.3500000000000005</v>
      </c>
      <c r="U121" s="10">
        <f>G121-'1. Rapport'!$C$25</f>
        <v>5.0799999999999992</v>
      </c>
      <c r="V121" s="10">
        <f>D121-'1. Rapport'!$C$22</f>
        <v>4.96</v>
      </c>
      <c r="W121" s="10">
        <f>I121-'1. Rapport'!$C$27</f>
        <v>5.36</v>
      </c>
      <c r="X121" s="10">
        <f>J121-'1. Rapport'!$C$28</f>
        <v>4.66</v>
      </c>
      <c r="Y121" s="10">
        <f>L121-'1. Rapport'!$C$30</f>
        <v>3.9499999999999997</v>
      </c>
      <c r="Z121" s="10">
        <f>K121-'1. Rapport'!$C$29</f>
        <v>5.03</v>
      </c>
      <c r="AA121" s="8">
        <f t="shared" si="6"/>
        <v>2</v>
      </c>
      <c r="AB121" s="8">
        <f t="shared" si="7"/>
        <v>8</v>
      </c>
    </row>
    <row r="122" spans="1:28" x14ac:dyDescent="0.25">
      <c r="A122" s="8">
        <f t="shared" si="5"/>
        <v>118</v>
      </c>
      <c r="B122" s="46">
        <v>43606</v>
      </c>
      <c r="C122" s="47">
        <v>0.59744212962962961</v>
      </c>
      <c r="D122" s="48">
        <v>5</v>
      </c>
      <c r="E122" s="48">
        <v>5.56</v>
      </c>
      <c r="F122" s="48">
        <v>5.31</v>
      </c>
      <c r="G122" s="48">
        <v>5.13</v>
      </c>
      <c r="H122" s="48">
        <v>4.3099999999999996</v>
      </c>
      <c r="I122" s="48">
        <v>5.31</v>
      </c>
      <c r="J122" s="48">
        <v>5.13</v>
      </c>
      <c r="K122" s="48">
        <v>5.31</v>
      </c>
      <c r="L122" s="48">
        <v>3.88</v>
      </c>
      <c r="M122" s="48">
        <v>26.1</v>
      </c>
      <c r="N122" s="48">
        <v>35</v>
      </c>
      <c r="Q122" s="9">
        <f t="shared" si="4"/>
        <v>0.59744212962962961</v>
      </c>
      <c r="R122" s="10">
        <f>E122-'1. Rapport'!$C$23</f>
        <v>5.6499999999999995</v>
      </c>
      <c r="S122" s="10">
        <f>F122-'1. Rapport'!$C$24</f>
        <v>5.29</v>
      </c>
      <c r="T122" s="10">
        <f>H122-'1. Rapport'!$C$26</f>
        <v>4.47</v>
      </c>
      <c r="U122" s="10">
        <f>G122-'1. Rapport'!$C$25</f>
        <v>5.1499999999999995</v>
      </c>
      <c r="V122" s="10">
        <f>D122-'1. Rapport'!$C$22</f>
        <v>5.08</v>
      </c>
      <c r="W122" s="10">
        <f>I122-'1. Rapport'!$C$27</f>
        <v>5.4799999999999995</v>
      </c>
      <c r="X122" s="10">
        <f>J122-'1. Rapport'!$C$28</f>
        <v>4.91</v>
      </c>
      <c r="Y122" s="10">
        <f>L122-'1. Rapport'!$C$30</f>
        <v>4.2</v>
      </c>
      <c r="Z122" s="10">
        <f>K122-'1. Rapport'!$C$29</f>
        <v>5.1499999999999995</v>
      </c>
      <c r="AA122" s="8">
        <f t="shared" si="6"/>
        <v>2</v>
      </c>
      <c r="AB122" s="8">
        <f t="shared" si="7"/>
        <v>8</v>
      </c>
    </row>
    <row r="123" spans="1:28" x14ac:dyDescent="0.25">
      <c r="A123" s="8">
        <f t="shared" si="5"/>
        <v>119</v>
      </c>
      <c r="B123" s="46">
        <v>43606</v>
      </c>
      <c r="C123" s="47">
        <v>0.59813657407407406</v>
      </c>
      <c r="D123" s="48">
        <v>5.19</v>
      </c>
      <c r="E123" s="48">
        <v>5.69</v>
      </c>
      <c r="F123" s="48">
        <v>5.44</v>
      </c>
      <c r="G123" s="48">
        <v>5.31</v>
      </c>
      <c r="H123" s="48">
        <v>4.5</v>
      </c>
      <c r="I123" s="48">
        <v>5.38</v>
      </c>
      <c r="J123" s="48">
        <v>5.31</v>
      </c>
      <c r="K123" s="48">
        <v>5.44</v>
      </c>
      <c r="L123" s="48">
        <v>4.1900000000000004</v>
      </c>
      <c r="M123" s="48">
        <v>26.1</v>
      </c>
      <c r="N123" s="48">
        <v>35</v>
      </c>
      <c r="Q123" s="9">
        <f t="shared" si="4"/>
        <v>0.59813657407407406</v>
      </c>
      <c r="R123" s="10">
        <f>E123-'1. Rapport'!$C$23</f>
        <v>5.78</v>
      </c>
      <c r="S123" s="10">
        <f>F123-'1. Rapport'!$C$24</f>
        <v>5.4200000000000008</v>
      </c>
      <c r="T123" s="10">
        <f>H123-'1. Rapport'!$C$26</f>
        <v>4.66</v>
      </c>
      <c r="U123" s="10">
        <f>G123-'1. Rapport'!$C$25</f>
        <v>5.3299999999999992</v>
      </c>
      <c r="V123" s="10">
        <f>D123-'1. Rapport'!$C$22</f>
        <v>5.2700000000000005</v>
      </c>
      <c r="W123" s="10">
        <f>I123-'1. Rapport'!$C$27</f>
        <v>5.55</v>
      </c>
      <c r="X123" s="10">
        <f>J123-'1. Rapport'!$C$28</f>
        <v>5.09</v>
      </c>
      <c r="Y123" s="10">
        <f>L123-'1. Rapport'!$C$30</f>
        <v>4.5100000000000007</v>
      </c>
      <c r="Z123" s="10">
        <f>K123-'1. Rapport'!$C$29</f>
        <v>5.28</v>
      </c>
      <c r="AA123" s="8">
        <f t="shared" si="6"/>
        <v>2</v>
      </c>
      <c r="AB123" s="8">
        <f t="shared" si="7"/>
        <v>8</v>
      </c>
    </row>
    <row r="124" spans="1:28" x14ac:dyDescent="0.25">
      <c r="A124" s="8">
        <f t="shared" si="5"/>
        <v>120</v>
      </c>
      <c r="B124" s="46">
        <v>43606</v>
      </c>
      <c r="C124" s="47">
        <v>0.5988310185185185</v>
      </c>
      <c r="D124" s="48">
        <v>5.31</v>
      </c>
      <c r="E124" s="48">
        <v>5.75</v>
      </c>
      <c r="F124" s="48">
        <v>5.56</v>
      </c>
      <c r="G124" s="48">
        <v>5.44</v>
      </c>
      <c r="H124" s="48">
        <v>4.63</v>
      </c>
      <c r="I124" s="48">
        <v>5.56</v>
      </c>
      <c r="J124" s="48">
        <v>5.5</v>
      </c>
      <c r="K124" s="48">
        <v>5.56</v>
      </c>
      <c r="L124" s="48">
        <v>4.4400000000000004</v>
      </c>
      <c r="M124" s="48">
        <v>26.1</v>
      </c>
      <c r="N124" s="48">
        <v>35</v>
      </c>
      <c r="Q124" s="9">
        <f t="shared" si="4"/>
        <v>0.5988310185185185</v>
      </c>
      <c r="R124" s="10">
        <f>E124-'1. Rapport'!$C$23</f>
        <v>5.84</v>
      </c>
      <c r="S124" s="10">
        <f>F124-'1. Rapport'!$C$24</f>
        <v>5.54</v>
      </c>
      <c r="T124" s="10">
        <f>H124-'1. Rapport'!$C$26</f>
        <v>4.79</v>
      </c>
      <c r="U124" s="10">
        <f>G124-'1. Rapport'!$C$25</f>
        <v>5.46</v>
      </c>
      <c r="V124" s="10">
        <f>D124-'1. Rapport'!$C$22</f>
        <v>5.39</v>
      </c>
      <c r="W124" s="10">
        <f>I124-'1. Rapport'!$C$27</f>
        <v>5.7299999999999995</v>
      </c>
      <c r="X124" s="10">
        <f>J124-'1. Rapport'!$C$28</f>
        <v>5.28</v>
      </c>
      <c r="Y124" s="10">
        <f>L124-'1. Rapport'!$C$30</f>
        <v>4.7600000000000007</v>
      </c>
      <c r="Z124" s="10">
        <f>K124-'1. Rapport'!$C$29</f>
        <v>5.3999999999999995</v>
      </c>
      <c r="AA124" s="8">
        <f t="shared" si="6"/>
        <v>2</v>
      </c>
      <c r="AB124" s="8">
        <f t="shared" si="7"/>
        <v>8</v>
      </c>
    </row>
    <row r="125" spans="1:28" x14ac:dyDescent="0.25">
      <c r="A125" s="8">
        <f t="shared" si="5"/>
        <v>121</v>
      </c>
      <c r="B125" s="46">
        <v>43606</v>
      </c>
      <c r="C125" s="47">
        <v>0.59952546296296294</v>
      </c>
      <c r="D125" s="48">
        <v>5.5</v>
      </c>
      <c r="E125" s="48">
        <v>5.88</v>
      </c>
      <c r="F125" s="48">
        <v>5.69</v>
      </c>
      <c r="G125" s="48">
        <v>5.56</v>
      </c>
      <c r="H125" s="48">
        <v>4.8099999999999996</v>
      </c>
      <c r="I125" s="48">
        <v>5.69</v>
      </c>
      <c r="J125" s="48">
        <v>5.69</v>
      </c>
      <c r="K125" s="48">
        <v>5.69</v>
      </c>
      <c r="L125" s="48">
        <v>4.6900000000000004</v>
      </c>
      <c r="M125" s="48">
        <v>26.1</v>
      </c>
      <c r="N125" s="48">
        <v>35</v>
      </c>
      <c r="Q125" s="9">
        <f t="shared" si="4"/>
        <v>0.59952546296296294</v>
      </c>
      <c r="R125" s="10">
        <f>E125-'1. Rapport'!$C$23</f>
        <v>5.97</v>
      </c>
      <c r="S125" s="10">
        <f>F125-'1. Rapport'!$C$24</f>
        <v>5.6700000000000008</v>
      </c>
      <c r="T125" s="10">
        <f>H125-'1. Rapport'!$C$26</f>
        <v>4.97</v>
      </c>
      <c r="U125" s="10">
        <f>G125-'1. Rapport'!$C$25</f>
        <v>5.5799999999999992</v>
      </c>
      <c r="V125" s="10">
        <f>D125-'1. Rapport'!$C$22</f>
        <v>5.58</v>
      </c>
      <c r="W125" s="10">
        <f>I125-'1. Rapport'!$C$27</f>
        <v>5.86</v>
      </c>
      <c r="X125" s="10">
        <f>J125-'1. Rapport'!$C$28</f>
        <v>5.4700000000000006</v>
      </c>
      <c r="Y125" s="10">
        <f>L125-'1. Rapport'!$C$30</f>
        <v>5.0100000000000007</v>
      </c>
      <c r="Z125" s="10">
        <f>K125-'1. Rapport'!$C$29</f>
        <v>5.53</v>
      </c>
      <c r="AA125" s="8">
        <f t="shared" si="6"/>
        <v>2</v>
      </c>
      <c r="AB125" s="8">
        <f t="shared" si="7"/>
        <v>8</v>
      </c>
    </row>
    <row r="126" spans="1:28" x14ac:dyDescent="0.25">
      <c r="A126" s="8">
        <f t="shared" si="5"/>
        <v>122</v>
      </c>
      <c r="B126" s="46">
        <v>43606</v>
      </c>
      <c r="C126" s="47">
        <v>0.60021990740740738</v>
      </c>
      <c r="D126" s="48">
        <v>5.56</v>
      </c>
      <c r="E126" s="48">
        <v>5.88</v>
      </c>
      <c r="F126" s="48">
        <v>5.69</v>
      </c>
      <c r="G126" s="48">
        <v>5.5</v>
      </c>
      <c r="H126" s="48">
        <v>4.75</v>
      </c>
      <c r="I126" s="48">
        <v>5.69</v>
      </c>
      <c r="J126" s="48">
        <v>5.69</v>
      </c>
      <c r="K126" s="48">
        <v>5.75</v>
      </c>
      <c r="L126" s="48">
        <v>4.4400000000000004</v>
      </c>
      <c r="M126" s="48">
        <v>26</v>
      </c>
      <c r="N126" s="48">
        <v>35</v>
      </c>
      <c r="Q126" s="9">
        <f t="shared" si="4"/>
        <v>0.60021990740740738</v>
      </c>
      <c r="R126" s="10">
        <f>E126-'1. Rapport'!$C$23</f>
        <v>5.97</v>
      </c>
      <c r="S126" s="10">
        <f>F126-'1. Rapport'!$C$24</f>
        <v>5.6700000000000008</v>
      </c>
      <c r="T126" s="10">
        <f>H126-'1. Rapport'!$C$26</f>
        <v>4.91</v>
      </c>
      <c r="U126" s="10">
        <f>G126-'1. Rapport'!$C$25</f>
        <v>5.52</v>
      </c>
      <c r="V126" s="10">
        <f>D126-'1. Rapport'!$C$22</f>
        <v>5.64</v>
      </c>
      <c r="W126" s="10">
        <f>I126-'1. Rapport'!$C$27</f>
        <v>5.86</v>
      </c>
      <c r="X126" s="10">
        <f>J126-'1. Rapport'!$C$28</f>
        <v>5.4700000000000006</v>
      </c>
      <c r="Y126" s="10">
        <f>L126-'1. Rapport'!$C$30</f>
        <v>4.7600000000000007</v>
      </c>
      <c r="Z126" s="10">
        <f>K126-'1. Rapport'!$C$29</f>
        <v>5.59</v>
      </c>
      <c r="AA126" s="8">
        <f t="shared" si="6"/>
        <v>2</v>
      </c>
      <c r="AB126" s="8">
        <f t="shared" si="7"/>
        <v>8</v>
      </c>
    </row>
    <row r="127" spans="1:28" x14ac:dyDescent="0.25">
      <c r="A127" s="8">
        <f t="shared" si="5"/>
        <v>123</v>
      </c>
      <c r="B127" s="46">
        <v>43606</v>
      </c>
      <c r="C127" s="47">
        <v>0.60091435185185182</v>
      </c>
      <c r="D127" s="48">
        <v>5.19</v>
      </c>
      <c r="E127" s="48">
        <v>5.75</v>
      </c>
      <c r="F127" s="48">
        <v>5.5</v>
      </c>
      <c r="G127" s="48">
        <v>5.19</v>
      </c>
      <c r="H127" s="48">
        <v>4.4400000000000004</v>
      </c>
      <c r="I127" s="48">
        <v>5.5</v>
      </c>
      <c r="J127" s="48">
        <v>5.13</v>
      </c>
      <c r="K127" s="48">
        <v>5.5</v>
      </c>
      <c r="L127" s="48">
        <v>3.44</v>
      </c>
      <c r="M127" s="48">
        <v>26</v>
      </c>
      <c r="N127" s="48">
        <v>35</v>
      </c>
      <c r="Q127" s="9">
        <f t="shared" si="4"/>
        <v>0.60091435185185182</v>
      </c>
      <c r="R127" s="10">
        <f>E127-'1. Rapport'!$C$23</f>
        <v>5.84</v>
      </c>
      <c r="S127" s="10">
        <f>F127-'1. Rapport'!$C$24</f>
        <v>5.48</v>
      </c>
      <c r="T127" s="10">
        <f>H127-'1. Rapport'!$C$26</f>
        <v>4.6000000000000005</v>
      </c>
      <c r="U127" s="10">
        <f>G127-'1. Rapport'!$C$25</f>
        <v>5.21</v>
      </c>
      <c r="V127" s="10">
        <f>D127-'1. Rapport'!$C$22</f>
        <v>5.2700000000000005</v>
      </c>
      <c r="W127" s="10">
        <f>I127-'1. Rapport'!$C$27</f>
        <v>5.67</v>
      </c>
      <c r="X127" s="10">
        <f>J127-'1. Rapport'!$C$28</f>
        <v>4.91</v>
      </c>
      <c r="Y127" s="10">
        <f>L127-'1. Rapport'!$C$30</f>
        <v>3.76</v>
      </c>
      <c r="Z127" s="10">
        <f>K127-'1. Rapport'!$C$29</f>
        <v>5.34</v>
      </c>
      <c r="AA127" s="8">
        <f t="shared" si="6"/>
        <v>2</v>
      </c>
      <c r="AB127" s="8">
        <f t="shared" si="7"/>
        <v>8</v>
      </c>
    </row>
    <row r="128" spans="1:28" x14ac:dyDescent="0.25">
      <c r="A128" s="8">
        <f t="shared" si="5"/>
        <v>124</v>
      </c>
      <c r="B128" s="46">
        <v>43606</v>
      </c>
      <c r="C128" s="47">
        <v>0.60160879629629627</v>
      </c>
      <c r="D128" s="48">
        <v>4.75</v>
      </c>
      <c r="E128" s="48">
        <v>5.56</v>
      </c>
      <c r="F128" s="48">
        <v>5.25</v>
      </c>
      <c r="G128" s="48">
        <v>4.88</v>
      </c>
      <c r="H128" s="48">
        <v>4.13</v>
      </c>
      <c r="I128" s="48">
        <v>5.25</v>
      </c>
      <c r="J128" s="48">
        <v>4.5</v>
      </c>
      <c r="K128" s="48">
        <v>5.19</v>
      </c>
      <c r="L128" s="48">
        <v>2.88</v>
      </c>
      <c r="M128" s="48">
        <v>26</v>
      </c>
      <c r="N128" s="48">
        <v>34</v>
      </c>
      <c r="Q128" s="9">
        <f t="shared" si="4"/>
        <v>0.60160879629629627</v>
      </c>
      <c r="R128" s="10">
        <f>E128-'1. Rapport'!$C$23</f>
        <v>5.6499999999999995</v>
      </c>
      <c r="S128" s="10">
        <f>F128-'1. Rapport'!$C$24</f>
        <v>5.23</v>
      </c>
      <c r="T128" s="10">
        <f>H128-'1. Rapport'!$C$26</f>
        <v>4.29</v>
      </c>
      <c r="U128" s="10">
        <f>G128-'1. Rapport'!$C$25</f>
        <v>4.8999999999999995</v>
      </c>
      <c r="V128" s="10">
        <f>D128-'1. Rapport'!$C$22</f>
        <v>4.83</v>
      </c>
      <c r="W128" s="10">
        <f>I128-'1. Rapport'!$C$27</f>
        <v>5.42</v>
      </c>
      <c r="X128" s="10">
        <f>J128-'1. Rapport'!$C$28</f>
        <v>4.28</v>
      </c>
      <c r="Y128" s="10">
        <f>L128-'1. Rapport'!$C$30</f>
        <v>3.1999999999999997</v>
      </c>
      <c r="Z128" s="10">
        <f>K128-'1. Rapport'!$C$29</f>
        <v>5.03</v>
      </c>
      <c r="AA128" s="8">
        <f t="shared" si="6"/>
        <v>2</v>
      </c>
      <c r="AB128" s="8">
        <f t="shared" si="7"/>
        <v>8</v>
      </c>
    </row>
    <row r="129" spans="1:28" x14ac:dyDescent="0.25">
      <c r="A129" s="8">
        <f t="shared" si="5"/>
        <v>125</v>
      </c>
      <c r="B129" s="46">
        <v>43606</v>
      </c>
      <c r="C129" s="47">
        <v>0.60230324074074071</v>
      </c>
      <c r="D129" s="48">
        <v>4.6900000000000004</v>
      </c>
      <c r="E129" s="48">
        <v>5.5</v>
      </c>
      <c r="F129" s="48">
        <v>5.13</v>
      </c>
      <c r="G129" s="48">
        <v>4.9400000000000004</v>
      </c>
      <c r="H129" s="48">
        <v>4.0599999999999996</v>
      </c>
      <c r="I129" s="48">
        <v>5.13</v>
      </c>
      <c r="J129" s="48">
        <v>4.5</v>
      </c>
      <c r="K129" s="48">
        <v>5.13</v>
      </c>
      <c r="L129" s="48">
        <v>3.06</v>
      </c>
      <c r="M129" s="48">
        <v>26</v>
      </c>
      <c r="N129" s="48">
        <v>34</v>
      </c>
      <c r="Q129" s="9">
        <f t="shared" si="4"/>
        <v>0.60230324074074071</v>
      </c>
      <c r="R129" s="10">
        <f>E129-'1. Rapport'!$C$23</f>
        <v>5.59</v>
      </c>
      <c r="S129" s="10">
        <f>F129-'1. Rapport'!$C$24</f>
        <v>5.1100000000000003</v>
      </c>
      <c r="T129" s="10">
        <f>H129-'1. Rapport'!$C$26</f>
        <v>4.22</v>
      </c>
      <c r="U129" s="10">
        <f>G129-'1. Rapport'!$C$25</f>
        <v>4.96</v>
      </c>
      <c r="V129" s="10">
        <f>D129-'1. Rapport'!$C$22</f>
        <v>4.7700000000000005</v>
      </c>
      <c r="W129" s="10">
        <f>I129-'1. Rapport'!$C$27</f>
        <v>5.3</v>
      </c>
      <c r="X129" s="10">
        <f>J129-'1. Rapport'!$C$28</f>
        <v>4.28</v>
      </c>
      <c r="Y129" s="10">
        <f>L129-'1. Rapport'!$C$30</f>
        <v>3.38</v>
      </c>
      <c r="Z129" s="10">
        <f>K129-'1. Rapport'!$C$29</f>
        <v>4.97</v>
      </c>
      <c r="AA129" s="8">
        <f t="shared" si="6"/>
        <v>2</v>
      </c>
      <c r="AB129" s="8">
        <f t="shared" si="7"/>
        <v>8</v>
      </c>
    </row>
    <row r="130" spans="1:28" x14ac:dyDescent="0.25">
      <c r="A130" s="8">
        <f t="shared" si="5"/>
        <v>126</v>
      </c>
      <c r="B130" s="46">
        <v>43606</v>
      </c>
      <c r="C130" s="47">
        <v>0.60299768518518515</v>
      </c>
      <c r="D130" s="48">
        <v>4.75</v>
      </c>
      <c r="E130" s="48">
        <v>5.5</v>
      </c>
      <c r="F130" s="48">
        <v>5.19</v>
      </c>
      <c r="G130" s="48">
        <v>5.0599999999999996</v>
      </c>
      <c r="H130" s="48">
        <v>4.13</v>
      </c>
      <c r="I130" s="48">
        <v>5.13</v>
      </c>
      <c r="J130" s="48">
        <v>4.6900000000000004</v>
      </c>
      <c r="K130" s="48">
        <v>5.13</v>
      </c>
      <c r="L130" s="48">
        <v>3.31</v>
      </c>
      <c r="M130" s="48">
        <v>26</v>
      </c>
      <c r="N130" s="48">
        <v>35</v>
      </c>
      <c r="Q130" s="9">
        <f t="shared" si="4"/>
        <v>0.60299768518518515</v>
      </c>
      <c r="R130" s="10">
        <f>E130-'1. Rapport'!$C$23</f>
        <v>5.59</v>
      </c>
      <c r="S130" s="10">
        <f>F130-'1. Rapport'!$C$24</f>
        <v>5.1700000000000008</v>
      </c>
      <c r="T130" s="10">
        <f>H130-'1. Rapport'!$C$26</f>
        <v>4.29</v>
      </c>
      <c r="U130" s="10">
        <f>G130-'1. Rapport'!$C$25</f>
        <v>5.0799999999999992</v>
      </c>
      <c r="V130" s="10">
        <f>D130-'1. Rapport'!$C$22</f>
        <v>4.83</v>
      </c>
      <c r="W130" s="10">
        <f>I130-'1. Rapport'!$C$27</f>
        <v>5.3</v>
      </c>
      <c r="X130" s="10">
        <f>J130-'1. Rapport'!$C$28</f>
        <v>4.4700000000000006</v>
      </c>
      <c r="Y130" s="10">
        <f>L130-'1. Rapport'!$C$30</f>
        <v>3.63</v>
      </c>
      <c r="Z130" s="10">
        <f>K130-'1. Rapport'!$C$29</f>
        <v>4.97</v>
      </c>
      <c r="AA130" s="8">
        <f t="shared" si="6"/>
        <v>2</v>
      </c>
      <c r="AB130" s="8">
        <f t="shared" si="7"/>
        <v>8</v>
      </c>
    </row>
    <row r="131" spans="1:28" x14ac:dyDescent="0.25">
      <c r="A131" s="8">
        <f t="shared" si="5"/>
        <v>127</v>
      </c>
      <c r="B131" s="46">
        <v>43606</v>
      </c>
      <c r="C131" s="47">
        <v>0.6036921296296297</v>
      </c>
      <c r="D131" s="48">
        <v>4.88</v>
      </c>
      <c r="E131" s="48">
        <v>5.5</v>
      </c>
      <c r="F131" s="48">
        <v>5.19</v>
      </c>
      <c r="G131" s="48">
        <v>5.13</v>
      </c>
      <c r="H131" s="48">
        <v>4.1900000000000004</v>
      </c>
      <c r="I131" s="48">
        <v>5.19</v>
      </c>
      <c r="J131" s="48">
        <v>4.88</v>
      </c>
      <c r="K131" s="48">
        <v>5.19</v>
      </c>
      <c r="L131" s="48">
        <v>3.63</v>
      </c>
      <c r="M131" s="48">
        <v>26</v>
      </c>
      <c r="N131" s="48">
        <v>34</v>
      </c>
      <c r="Q131" s="9">
        <f t="shared" si="4"/>
        <v>0.6036921296296297</v>
      </c>
      <c r="R131" s="10">
        <f>E131-'1. Rapport'!$C$23</f>
        <v>5.59</v>
      </c>
      <c r="S131" s="10">
        <f>F131-'1. Rapport'!$C$24</f>
        <v>5.1700000000000008</v>
      </c>
      <c r="T131" s="10">
        <f>H131-'1. Rapport'!$C$26</f>
        <v>4.3500000000000005</v>
      </c>
      <c r="U131" s="10">
        <f>G131-'1. Rapport'!$C$25</f>
        <v>5.1499999999999995</v>
      </c>
      <c r="V131" s="10">
        <f>D131-'1. Rapport'!$C$22</f>
        <v>4.96</v>
      </c>
      <c r="W131" s="10">
        <f>I131-'1. Rapport'!$C$27</f>
        <v>5.36</v>
      </c>
      <c r="X131" s="10">
        <f>J131-'1. Rapport'!$C$28</f>
        <v>4.66</v>
      </c>
      <c r="Y131" s="10">
        <f>L131-'1. Rapport'!$C$30</f>
        <v>3.9499999999999997</v>
      </c>
      <c r="Z131" s="10">
        <f>K131-'1. Rapport'!$C$29</f>
        <v>5.03</v>
      </c>
      <c r="AA131" s="8">
        <f t="shared" si="6"/>
        <v>2</v>
      </c>
      <c r="AB131" s="8">
        <f t="shared" si="7"/>
        <v>8</v>
      </c>
    </row>
    <row r="132" spans="1:28" x14ac:dyDescent="0.25">
      <c r="A132" s="8">
        <f t="shared" si="5"/>
        <v>128</v>
      </c>
      <c r="B132" s="46">
        <v>43606</v>
      </c>
      <c r="C132" s="47">
        <v>0.60438657407407403</v>
      </c>
      <c r="D132" s="48">
        <v>5.0599999999999996</v>
      </c>
      <c r="E132" s="48">
        <v>5.56</v>
      </c>
      <c r="F132" s="48">
        <v>5.31</v>
      </c>
      <c r="G132" s="48">
        <v>5.25</v>
      </c>
      <c r="H132" s="48">
        <v>4.3099999999999996</v>
      </c>
      <c r="I132" s="48">
        <v>5.31</v>
      </c>
      <c r="J132" s="48">
        <v>5.13</v>
      </c>
      <c r="K132" s="48">
        <v>5.31</v>
      </c>
      <c r="L132" s="48">
        <v>3.88</v>
      </c>
      <c r="M132" s="48">
        <v>26</v>
      </c>
      <c r="N132" s="48">
        <v>34</v>
      </c>
      <c r="Q132" s="9">
        <f t="shared" si="4"/>
        <v>0.60438657407407403</v>
      </c>
      <c r="R132" s="10">
        <f>E132-'1. Rapport'!$C$23</f>
        <v>5.6499999999999995</v>
      </c>
      <c r="S132" s="10">
        <f>F132-'1. Rapport'!$C$24</f>
        <v>5.29</v>
      </c>
      <c r="T132" s="10">
        <f>H132-'1. Rapport'!$C$26</f>
        <v>4.47</v>
      </c>
      <c r="U132" s="10">
        <f>G132-'1. Rapport'!$C$25</f>
        <v>5.27</v>
      </c>
      <c r="V132" s="10">
        <f>D132-'1. Rapport'!$C$22</f>
        <v>5.14</v>
      </c>
      <c r="W132" s="10">
        <f>I132-'1. Rapport'!$C$27</f>
        <v>5.4799999999999995</v>
      </c>
      <c r="X132" s="10">
        <f>J132-'1. Rapport'!$C$28</f>
        <v>4.91</v>
      </c>
      <c r="Y132" s="10">
        <f>L132-'1. Rapport'!$C$30</f>
        <v>4.2</v>
      </c>
      <c r="Z132" s="10">
        <f>K132-'1. Rapport'!$C$29</f>
        <v>5.1499999999999995</v>
      </c>
      <c r="AA132" s="8">
        <f t="shared" si="6"/>
        <v>2</v>
      </c>
      <c r="AB132" s="8">
        <f t="shared" si="7"/>
        <v>8</v>
      </c>
    </row>
    <row r="133" spans="1:28" x14ac:dyDescent="0.25">
      <c r="A133" s="8">
        <f t="shared" si="5"/>
        <v>129</v>
      </c>
      <c r="B133" s="46">
        <v>43606</v>
      </c>
      <c r="C133" s="47">
        <v>0.60508101851851859</v>
      </c>
      <c r="D133" s="48">
        <v>5.19</v>
      </c>
      <c r="E133" s="48">
        <v>5.69</v>
      </c>
      <c r="F133" s="48">
        <v>5.44</v>
      </c>
      <c r="G133" s="48">
        <v>5.38</v>
      </c>
      <c r="H133" s="48">
        <v>4.5</v>
      </c>
      <c r="I133" s="48">
        <v>5.38</v>
      </c>
      <c r="J133" s="48">
        <v>5.31</v>
      </c>
      <c r="K133" s="48">
        <v>5.44</v>
      </c>
      <c r="L133" s="48">
        <v>4.1900000000000004</v>
      </c>
      <c r="M133" s="48">
        <v>26</v>
      </c>
      <c r="N133" s="48">
        <v>34</v>
      </c>
      <c r="Q133" s="9">
        <f t="shared" si="4"/>
        <v>0.60508101851851859</v>
      </c>
      <c r="R133" s="10">
        <f>E133-'1. Rapport'!$C$23</f>
        <v>5.78</v>
      </c>
      <c r="S133" s="10">
        <f>F133-'1. Rapport'!$C$24</f>
        <v>5.4200000000000008</v>
      </c>
      <c r="T133" s="10">
        <f>H133-'1. Rapport'!$C$26</f>
        <v>4.66</v>
      </c>
      <c r="U133" s="10">
        <f>G133-'1. Rapport'!$C$25</f>
        <v>5.3999999999999995</v>
      </c>
      <c r="V133" s="10">
        <f>D133-'1. Rapport'!$C$22</f>
        <v>5.2700000000000005</v>
      </c>
      <c r="W133" s="10">
        <f>I133-'1. Rapport'!$C$27</f>
        <v>5.55</v>
      </c>
      <c r="X133" s="10">
        <f>J133-'1. Rapport'!$C$28</f>
        <v>5.09</v>
      </c>
      <c r="Y133" s="10">
        <f>L133-'1. Rapport'!$C$30</f>
        <v>4.5100000000000007</v>
      </c>
      <c r="Z133" s="10">
        <f>K133-'1. Rapport'!$C$29</f>
        <v>5.28</v>
      </c>
      <c r="AA133" s="8">
        <f t="shared" si="6"/>
        <v>2</v>
      </c>
      <c r="AB133" s="8">
        <f t="shared" si="7"/>
        <v>8</v>
      </c>
    </row>
    <row r="134" spans="1:28" x14ac:dyDescent="0.25">
      <c r="A134" s="8">
        <f t="shared" si="5"/>
        <v>130</v>
      </c>
      <c r="B134" s="46">
        <v>43606</v>
      </c>
      <c r="C134" s="47">
        <v>0.60577546296296292</v>
      </c>
      <c r="D134" s="48">
        <v>5.38</v>
      </c>
      <c r="E134" s="48">
        <v>5.75</v>
      </c>
      <c r="F134" s="48">
        <v>5.56</v>
      </c>
      <c r="G134" s="48">
        <v>5.5</v>
      </c>
      <c r="H134" s="48">
        <v>4.63</v>
      </c>
      <c r="I134" s="48">
        <v>5.56</v>
      </c>
      <c r="J134" s="48">
        <v>5.5</v>
      </c>
      <c r="K134" s="48">
        <v>5.56</v>
      </c>
      <c r="L134" s="48">
        <v>4.4400000000000004</v>
      </c>
      <c r="M134" s="48">
        <v>26</v>
      </c>
      <c r="N134" s="48">
        <v>34</v>
      </c>
      <c r="Q134" s="9">
        <f t="shared" ref="Q134:Q154" si="8">C134</f>
        <v>0.60577546296296292</v>
      </c>
      <c r="R134" s="10">
        <f>E134-'1. Rapport'!$C$23</f>
        <v>5.84</v>
      </c>
      <c r="S134" s="10">
        <f>F134-'1. Rapport'!$C$24</f>
        <v>5.54</v>
      </c>
      <c r="T134" s="10">
        <f>H134-'1. Rapport'!$C$26</f>
        <v>4.79</v>
      </c>
      <c r="U134" s="10">
        <f>G134-'1. Rapport'!$C$25</f>
        <v>5.52</v>
      </c>
      <c r="V134" s="10">
        <f>D134-'1. Rapport'!$C$22</f>
        <v>5.46</v>
      </c>
      <c r="W134" s="10">
        <f>I134-'1. Rapport'!$C$27</f>
        <v>5.7299999999999995</v>
      </c>
      <c r="X134" s="10">
        <f>J134-'1. Rapport'!$C$28</f>
        <v>5.28</v>
      </c>
      <c r="Y134" s="10">
        <f>L134-'1. Rapport'!$C$30</f>
        <v>4.7600000000000007</v>
      </c>
      <c r="Z134" s="10">
        <f>K134-'1. Rapport'!$C$29</f>
        <v>5.3999999999999995</v>
      </c>
      <c r="AA134" s="8">
        <f t="shared" si="6"/>
        <v>2</v>
      </c>
      <c r="AB134" s="8">
        <f t="shared" si="7"/>
        <v>8</v>
      </c>
    </row>
    <row r="135" spans="1:28" x14ac:dyDescent="0.25">
      <c r="A135" s="8">
        <f t="shared" ref="A135:A154" si="9">A134+1</f>
        <v>131</v>
      </c>
      <c r="B135" s="46">
        <v>43606</v>
      </c>
      <c r="C135" s="47">
        <v>0.60646990740740747</v>
      </c>
      <c r="D135" s="48">
        <v>5.5</v>
      </c>
      <c r="E135" s="48">
        <v>5.88</v>
      </c>
      <c r="F135" s="48">
        <v>5.69</v>
      </c>
      <c r="G135" s="48">
        <v>5.56</v>
      </c>
      <c r="H135" s="48">
        <v>4.75</v>
      </c>
      <c r="I135" s="48">
        <v>5.69</v>
      </c>
      <c r="J135" s="48">
        <v>5.69</v>
      </c>
      <c r="K135" s="48">
        <v>5.75</v>
      </c>
      <c r="L135" s="48">
        <v>4.6900000000000004</v>
      </c>
      <c r="M135" s="48">
        <v>26</v>
      </c>
      <c r="N135" s="48">
        <v>35</v>
      </c>
      <c r="Q135" s="9">
        <f t="shared" si="8"/>
        <v>0.60646990740740747</v>
      </c>
      <c r="R135" s="10">
        <f>E135-'1. Rapport'!$C$23</f>
        <v>5.97</v>
      </c>
      <c r="S135" s="10">
        <f>F135-'1. Rapport'!$C$24</f>
        <v>5.6700000000000008</v>
      </c>
      <c r="T135" s="10">
        <f>H135-'1. Rapport'!$C$26</f>
        <v>4.91</v>
      </c>
      <c r="U135" s="10">
        <f>G135-'1. Rapport'!$C$25</f>
        <v>5.5799999999999992</v>
      </c>
      <c r="V135" s="10">
        <f>D135-'1. Rapport'!$C$22</f>
        <v>5.58</v>
      </c>
      <c r="W135" s="10">
        <f>I135-'1. Rapport'!$C$27</f>
        <v>5.86</v>
      </c>
      <c r="X135" s="10">
        <f>J135-'1. Rapport'!$C$28</f>
        <v>5.4700000000000006</v>
      </c>
      <c r="Y135" s="10">
        <f>L135-'1. Rapport'!$C$30</f>
        <v>5.0100000000000007</v>
      </c>
      <c r="Z135" s="10">
        <f>K135-'1. Rapport'!$C$29</f>
        <v>5.59</v>
      </c>
      <c r="AA135" s="8">
        <f t="shared" ref="AA135:AA154" si="10">$AA$5</f>
        <v>2</v>
      </c>
      <c r="AB135" s="8">
        <f t="shared" ref="AB135:AB154" si="11">$AB$5</f>
        <v>8</v>
      </c>
    </row>
    <row r="136" spans="1:28" x14ac:dyDescent="0.25">
      <c r="A136" s="8">
        <f t="shared" si="9"/>
        <v>132</v>
      </c>
      <c r="B136" s="46">
        <v>43606</v>
      </c>
      <c r="C136" s="47">
        <v>0.6071643518518518</v>
      </c>
      <c r="D136" s="48">
        <v>5.56</v>
      </c>
      <c r="E136" s="48">
        <v>5.88</v>
      </c>
      <c r="F136" s="48">
        <v>5.75</v>
      </c>
      <c r="G136" s="48">
        <v>5.56</v>
      </c>
      <c r="H136" s="48">
        <v>4.75</v>
      </c>
      <c r="I136" s="48">
        <v>5.69</v>
      </c>
      <c r="J136" s="48">
        <v>5.69</v>
      </c>
      <c r="K136" s="48">
        <v>5.75</v>
      </c>
      <c r="L136" s="48">
        <v>4.4400000000000004</v>
      </c>
      <c r="M136" s="48">
        <v>26</v>
      </c>
      <c r="N136" s="48">
        <v>34</v>
      </c>
      <c r="Q136" s="9">
        <f t="shared" si="8"/>
        <v>0.6071643518518518</v>
      </c>
      <c r="R136" s="10">
        <f>E136-'1. Rapport'!$C$23</f>
        <v>5.97</v>
      </c>
      <c r="S136" s="10">
        <f>F136-'1. Rapport'!$C$24</f>
        <v>5.73</v>
      </c>
      <c r="T136" s="10">
        <f>H136-'1. Rapport'!$C$26</f>
        <v>4.91</v>
      </c>
      <c r="U136" s="10">
        <f>G136-'1. Rapport'!$C$25</f>
        <v>5.5799999999999992</v>
      </c>
      <c r="V136" s="10">
        <f>D136-'1. Rapport'!$C$22</f>
        <v>5.64</v>
      </c>
      <c r="W136" s="10">
        <f>I136-'1. Rapport'!$C$27</f>
        <v>5.86</v>
      </c>
      <c r="X136" s="10">
        <f>J136-'1. Rapport'!$C$28</f>
        <v>5.4700000000000006</v>
      </c>
      <c r="Y136" s="10">
        <f>L136-'1. Rapport'!$C$30</f>
        <v>4.7600000000000007</v>
      </c>
      <c r="Z136" s="10">
        <f>K136-'1. Rapport'!$C$29</f>
        <v>5.59</v>
      </c>
      <c r="AA136" s="8">
        <f t="shared" si="10"/>
        <v>2</v>
      </c>
      <c r="AB136" s="8">
        <f t="shared" si="11"/>
        <v>8</v>
      </c>
    </row>
    <row r="137" spans="1:28" x14ac:dyDescent="0.25">
      <c r="A137" s="8">
        <f t="shared" si="9"/>
        <v>133</v>
      </c>
      <c r="B137" s="46">
        <v>43606</v>
      </c>
      <c r="C137" s="47">
        <v>0.60785879629629636</v>
      </c>
      <c r="D137" s="48">
        <v>5.19</v>
      </c>
      <c r="E137" s="48">
        <v>5.75</v>
      </c>
      <c r="F137" s="48">
        <v>5.5</v>
      </c>
      <c r="G137" s="48">
        <v>5.19</v>
      </c>
      <c r="H137" s="48">
        <v>4.4400000000000004</v>
      </c>
      <c r="I137" s="48">
        <v>5.5</v>
      </c>
      <c r="J137" s="48">
        <v>5.0599999999999996</v>
      </c>
      <c r="K137" s="48">
        <v>5.5</v>
      </c>
      <c r="L137" s="48">
        <v>3.44</v>
      </c>
      <c r="M137" s="48">
        <v>26.1</v>
      </c>
      <c r="N137" s="48">
        <v>34</v>
      </c>
      <c r="Q137" s="9">
        <f t="shared" si="8"/>
        <v>0.60785879629629636</v>
      </c>
      <c r="R137" s="10">
        <f>E137-'1. Rapport'!$C$23</f>
        <v>5.84</v>
      </c>
      <c r="S137" s="10">
        <f>F137-'1. Rapport'!$C$24</f>
        <v>5.48</v>
      </c>
      <c r="T137" s="10">
        <f>H137-'1. Rapport'!$C$26</f>
        <v>4.6000000000000005</v>
      </c>
      <c r="U137" s="10">
        <f>G137-'1. Rapport'!$C$25</f>
        <v>5.21</v>
      </c>
      <c r="V137" s="10">
        <f>D137-'1. Rapport'!$C$22</f>
        <v>5.2700000000000005</v>
      </c>
      <c r="W137" s="10">
        <f>I137-'1. Rapport'!$C$27</f>
        <v>5.67</v>
      </c>
      <c r="X137" s="10">
        <f>J137-'1. Rapport'!$C$28</f>
        <v>4.84</v>
      </c>
      <c r="Y137" s="10">
        <f>L137-'1. Rapport'!$C$30</f>
        <v>3.76</v>
      </c>
      <c r="Z137" s="10">
        <f>K137-'1. Rapport'!$C$29</f>
        <v>5.34</v>
      </c>
      <c r="AA137" s="8">
        <f t="shared" si="10"/>
        <v>2</v>
      </c>
      <c r="AB137" s="8">
        <f t="shared" si="11"/>
        <v>8</v>
      </c>
    </row>
    <row r="138" spans="1:28" x14ac:dyDescent="0.25">
      <c r="A138" s="8">
        <f t="shared" si="9"/>
        <v>134</v>
      </c>
      <c r="B138" s="46">
        <v>43606</v>
      </c>
      <c r="C138" s="47">
        <v>0.60855324074074069</v>
      </c>
      <c r="D138" s="48">
        <v>4.75</v>
      </c>
      <c r="E138" s="48">
        <v>5.56</v>
      </c>
      <c r="F138" s="48">
        <v>5.19</v>
      </c>
      <c r="G138" s="48">
        <v>4.9400000000000004</v>
      </c>
      <c r="H138" s="48">
        <v>4.13</v>
      </c>
      <c r="I138" s="48">
        <v>5.19</v>
      </c>
      <c r="J138" s="48">
        <v>4.5</v>
      </c>
      <c r="K138" s="48">
        <v>5.19</v>
      </c>
      <c r="L138" s="48">
        <v>2.88</v>
      </c>
      <c r="M138" s="48">
        <v>26.1</v>
      </c>
      <c r="N138" s="48">
        <v>34</v>
      </c>
      <c r="Q138" s="9">
        <f t="shared" si="8"/>
        <v>0.60855324074074069</v>
      </c>
      <c r="R138" s="10">
        <f>E138-'1. Rapport'!$C$23</f>
        <v>5.6499999999999995</v>
      </c>
      <c r="S138" s="10">
        <f>F138-'1. Rapport'!$C$24</f>
        <v>5.1700000000000008</v>
      </c>
      <c r="T138" s="10">
        <f>H138-'1. Rapport'!$C$26</f>
        <v>4.29</v>
      </c>
      <c r="U138" s="10">
        <f>G138-'1. Rapport'!$C$25</f>
        <v>4.96</v>
      </c>
      <c r="V138" s="10">
        <f>D138-'1. Rapport'!$C$22</f>
        <v>4.83</v>
      </c>
      <c r="W138" s="10">
        <f>I138-'1. Rapport'!$C$27</f>
        <v>5.36</v>
      </c>
      <c r="X138" s="10">
        <f>J138-'1. Rapport'!$C$28</f>
        <v>4.28</v>
      </c>
      <c r="Y138" s="10">
        <f>L138-'1. Rapport'!$C$30</f>
        <v>3.1999999999999997</v>
      </c>
      <c r="Z138" s="10">
        <f>K138-'1. Rapport'!$C$29</f>
        <v>5.03</v>
      </c>
      <c r="AA138" s="8">
        <f t="shared" si="10"/>
        <v>2</v>
      </c>
      <c r="AB138" s="8">
        <f t="shared" si="11"/>
        <v>8</v>
      </c>
    </row>
    <row r="139" spans="1:28" x14ac:dyDescent="0.25">
      <c r="A139" s="8">
        <f t="shared" si="9"/>
        <v>135</v>
      </c>
      <c r="B139" s="46">
        <v>43606</v>
      </c>
      <c r="C139" s="47">
        <v>0.60924768518518524</v>
      </c>
      <c r="D139" s="48">
        <v>4.6900000000000004</v>
      </c>
      <c r="E139" s="48">
        <v>5.5</v>
      </c>
      <c r="F139" s="48">
        <v>5.13</v>
      </c>
      <c r="G139" s="48">
        <v>4.9400000000000004</v>
      </c>
      <c r="H139" s="48">
        <v>4.0599999999999996</v>
      </c>
      <c r="I139" s="48">
        <v>5.13</v>
      </c>
      <c r="J139" s="48">
        <v>4.5</v>
      </c>
      <c r="K139" s="48">
        <v>5.13</v>
      </c>
      <c r="L139" s="48">
        <v>3.06</v>
      </c>
      <c r="M139" s="48">
        <v>26.1</v>
      </c>
      <c r="N139" s="48">
        <v>34</v>
      </c>
      <c r="Q139" s="9">
        <f t="shared" si="8"/>
        <v>0.60924768518518524</v>
      </c>
      <c r="R139" s="10">
        <f>E139-'1. Rapport'!$C$23</f>
        <v>5.59</v>
      </c>
      <c r="S139" s="10">
        <f>F139-'1. Rapport'!$C$24</f>
        <v>5.1100000000000003</v>
      </c>
      <c r="T139" s="10">
        <f>H139-'1. Rapport'!$C$26</f>
        <v>4.22</v>
      </c>
      <c r="U139" s="10">
        <f>G139-'1. Rapport'!$C$25</f>
        <v>4.96</v>
      </c>
      <c r="V139" s="10">
        <f>D139-'1. Rapport'!$C$22</f>
        <v>4.7700000000000005</v>
      </c>
      <c r="W139" s="10">
        <f>I139-'1. Rapport'!$C$27</f>
        <v>5.3</v>
      </c>
      <c r="X139" s="10">
        <f>J139-'1. Rapport'!$C$28</f>
        <v>4.28</v>
      </c>
      <c r="Y139" s="10">
        <f>L139-'1. Rapport'!$C$30</f>
        <v>3.38</v>
      </c>
      <c r="Z139" s="10">
        <f>K139-'1. Rapport'!$C$29</f>
        <v>4.97</v>
      </c>
      <c r="AA139" s="8">
        <f t="shared" si="10"/>
        <v>2</v>
      </c>
      <c r="AB139" s="8">
        <f t="shared" si="11"/>
        <v>8</v>
      </c>
    </row>
    <row r="140" spans="1:28" x14ac:dyDescent="0.25">
      <c r="A140" s="8">
        <f t="shared" si="9"/>
        <v>136</v>
      </c>
      <c r="B140" s="46">
        <v>43606</v>
      </c>
      <c r="C140" s="47">
        <v>0.60994212962962957</v>
      </c>
      <c r="D140" s="48">
        <v>4.75</v>
      </c>
      <c r="E140" s="48">
        <v>5.5</v>
      </c>
      <c r="F140" s="48">
        <v>5.19</v>
      </c>
      <c r="G140" s="48">
        <v>5</v>
      </c>
      <c r="H140" s="48">
        <v>4.0599999999999996</v>
      </c>
      <c r="I140" s="48">
        <v>5.13</v>
      </c>
      <c r="J140" s="48">
        <v>4.6900000000000004</v>
      </c>
      <c r="K140" s="48">
        <v>5.13</v>
      </c>
      <c r="L140" s="48">
        <v>3.31</v>
      </c>
      <c r="M140" s="48">
        <v>26.1</v>
      </c>
      <c r="N140" s="48">
        <v>34</v>
      </c>
      <c r="Q140" s="9">
        <f t="shared" si="8"/>
        <v>0.60994212962962957</v>
      </c>
      <c r="R140" s="10">
        <f>E140-'1. Rapport'!$C$23</f>
        <v>5.59</v>
      </c>
      <c r="S140" s="10">
        <f>F140-'1. Rapport'!$C$24</f>
        <v>5.1700000000000008</v>
      </c>
      <c r="T140" s="10">
        <f>H140-'1. Rapport'!$C$26</f>
        <v>4.22</v>
      </c>
      <c r="U140" s="10">
        <f>G140-'1. Rapport'!$C$25</f>
        <v>5.0199999999999996</v>
      </c>
      <c r="V140" s="10">
        <f>D140-'1. Rapport'!$C$22</f>
        <v>4.83</v>
      </c>
      <c r="W140" s="10">
        <f>I140-'1. Rapport'!$C$27</f>
        <v>5.3</v>
      </c>
      <c r="X140" s="10">
        <f>J140-'1. Rapport'!$C$28</f>
        <v>4.4700000000000006</v>
      </c>
      <c r="Y140" s="10">
        <f>L140-'1. Rapport'!$C$30</f>
        <v>3.63</v>
      </c>
      <c r="Z140" s="10">
        <f>K140-'1. Rapport'!$C$29</f>
        <v>4.97</v>
      </c>
      <c r="AA140" s="8">
        <f t="shared" si="10"/>
        <v>2</v>
      </c>
      <c r="AB140" s="8">
        <f t="shared" si="11"/>
        <v>8</v>
      </c>
    </row>
    <row r="141" spans="1:28" x14ac:dyDescent="0.25">
      <c r="A141" s="8">
        <f t="shared" si="9"/>
        <v>137</v>
      </c>
      <c r="B141" s="46">
        <v>43606</v>
      </c>
      <c r="C141" s="47">
        <v>0.61063657407407412</v>
      </c>
      <c r="D141" s="48">
        <v>4.88</v>
      </c>
      <c r="E141" s="48">
        <v>5.5</v>
      </c>
      <c r="F141" s="48">
        <v>5.19</v>
      </c>
      <c r="G141" s="48">
        <v>5.13</v>
      </c>
      <c r="H141" s="48">
        <v>4.1900000000000004</v>
      </c>
      <c r="I141" s="48">
        <v>5.19</v>
      </c>
      <c r="J141" s="48">
        <v>4.88</v>
      </c>
      <c r="K141" s="48">
        <v>5.19</v>
      </c>
      <c r="L141" s="48">
        <v>3.63</v>
      </c>
      <c r="M141" s="48">
        <v>26.1</v>
      </c>
      <c r="N141" s="48">
        <v>34</v>
      </c>
      <c r="Q141" s="9">
        <f t="shared" si="8"/>
        <v>0.61063657407407412</v>
      </c>
      <c r="R141" s="10">
        <f>E141-'1. Rapport'!$C$23</f>
        <v>5.59</v>
      </c>
      <c r="S141" s="10">
        <f>F141-'1. Rapport'!$C$24</f>
        <v>5.1700000000000008</v>
      </c>
      <c r="T141" s="10">
        <f>H141-'1. Rapport'!$C$26</f>
        <v>4.3500000000000005</v>
      </c>
      <c r="U141" s="10">
        <f>G141-'1. Rapport'!$C$25</f>
        <v>5.1499999999999995</v>
      </c>
      <c r="V141" s="10">
        <f>D141-'1. Rapport'!$C$22</f>
        <v>4.96</v>
      </c>
      <c r="W141" s="10">
        <f>I141-'1. Rapport'!$C$27</f>
        <v>5.36</v>
      </c>
      <c r="X141" s="10">
        <f>J141-'1. Rapport'!$C$28</f>
        <v>4.66</v>
      </c>
      <c r="Y141" s="10">
        <f>L141-'1. Rapport'!$C$30</f>
        <v>3.9499999999999997</v>
      </c>
      <c r="Z141" s="10">
        <f>K141-'1. Rapport'!$C$29</f>
        <v>5.03</v>
      </c>
      <c r="AA141" s="8">
        <f t="shared" si="10"/>
        <v>2</v>
      </c>
      <c r="AB141" s="8">
        <f t="shared" si="11"/>
        <v>8</v>
      </c>
    </row>
    <row r="142" spans="1:28" x14ac:dyDescent="0.25">
      <c r="A142" s="8">
        <f t="shared" si="9"/>
        <v>138</v>
      </c>
      <c r="B142" s="46">
        <v>43606</v>
      </c>
      <c r="C142" s="47">
        <v>0.61133101851851845</v>
      </c>
      <c r="D142" s="48">
        <v>5.0599999999999996</v>
      </c>
      <c r="E142" s="48">
        <v>5.56</v>
      </c>
      <c r="F142" s="48">
        <v>5.31</v>
      </c>
      <c r="G142" s="48">
        <v>5.25</v>
      </c>
      <c r="H142" s="48">
        <v>4.3099999999999996</v>
      </c>
      <c r="I142" s="48">
        <v>5.25</v>
      </c>
      <c r="J142" s="48">
        <v>5.13</v>
      </c>
      <c r="K142" s="48">
        <v>5.31</v>
      </c>
      <c r="L142" s="48">
        <v>3.88</v>
      </c>
      <c r="M142" s="48">
        <v>26.1</v>
      </c>
      <c r="N142" s="48">
        <v>34</v>
      </c>
      <c r="Q142" s="9">
        <f t="shared" si="8"/>
        <v>0.61133101851851845</v>
      </c>
      <c r="R142" s="10">
        <f>E142-'1. Rapport'!$C$23</f>
        <v>5.6499999999999995</v>
      </c>
      <c r="S142" s="10">
        <f>F142-'1. Rapport'!$C$24</f>
        <v>5.29</v>
      </c>
      <c r="T142" s="10">
        <f>H142-'1. Rapport'!$C$26</f>
        <v>4.47</v>
      </c>
      <c r="U142" s="10">
        <f>G142-'1. Rapport'!$C$25</f>
        <v>5.27</v>
      </c>
      <c r="V142" s="10">
        <f>D142-'1. Rapport'!$C$22</f>
        <v>5.14</v>
      </c>
      <c r="W142" s="10">
        <f>I142-'1. Rapport'!$C$27</f>
        <v>5.42</v>
      </c>
      <c r="X142" s="10">
        <f>J142-'1. Rapport'!$C$28</f>
        <v>4.91</v>
      </c>
      <c r="Y142" s="10">
        <f>L142-'1. Rapport'!$C$30</f>
        <v>4.2</v>
      </c>
      <c r="Z142" s="10">
        <f>K142-'1. Rapport'!$C$29</f>
        <v>5.1499999999999995</v>
      </c>
      <c r="AA142" s="8">
        <f t="shared" si="10"/>
        <v>2</v>
      </c>
      <c r="AB142" s="8">
        <f t="shared" si="11"/>
        <v>8</v>
      </c>
    </row>
    <row r="143" spans="1:28" x14ac:dyDescent="0.25">
      <c r="A143" s="8">
        <f t="shared" si="9"/>
        <v>139</v>
      </c>
      <c r="B143" s="46">
        <v>43606</v>
      </c>
      <c r="C143" s="47">
        <v>0.61202546296296301</v>
      </c>
      <c r="D143" s="48">
        <v>5.19</v>
      </c>
      <c r="E143" s="48">
        <v>5.63</v>
      </c>
      <c r="F143" s="48">
        <v>5.44</v>
      </c>
      <c r="G143" s="48">
        <v>5.31</v>
      </c>
      <c r="H143" s="48">
        <v>4.5</v>
      </c>
      <c r="I143" s="48">
        <v>5.38</v>
      </c>
      <c r="J143" s="48">
        <v>5.31</v>
      </c>
      <c r="K143" s="48">
        <v>5.44</v>
      </c>
      <c r="L143" s="48">
        <v>4.1900000000000004</v>
      </c>
      <c r="M143" s="48">
        <v>26.1</v>
      </c>
      <c r="N143" s="48">
        <v>34</v>
      </c>
      <c r="Q143" s="9">
        <f t="shared" si="8"/>
        <v>0.61202546296296301</v>
      </c>
      <c r="R143" s="10">
        <f>E143-'1. Rapport'!$C$23</f>
        <v>5.72</v>
      </c>
      <c r="S143" s="10">
        <f>F143-'1. Rapport'!$C$24</f>
        <v>5.4200000000000008</v>
      </c>
      <c r="T143" s="10">
        <f>H143-'1. Rapport'!$C$26</f>
        <v>4.66</v>
      </c>
      <c r="U143" s="10">
        <f>G143-'1. Rapport'!$C$25</f>
        <v>5.3299999999999992</v>
      </c>
      <c r="V143" s="10">
        <f>D143-'1. Rapport'!$C$22</f>
        <v>5.2700000000000005</v>
      </c>
      <c r="W143" s="10">
        <f>I143-'1. Rapport'!$C$27</f>
        <v>5.55</v>
      </c>
      <c r="X143" s="10">
        <f>J143-'1. Rapport'!$C$28</f>
        <v>5.09</v>
      </c>
      <c r="Y143" s="10">
        <f>L143-'1. Rapport'!$C$30</f>
        <v>4.5100000000000007</v>
      </c>
      <c r="Z143" s="10">
        <f>K143-'1. Rapport'!$C$29</f>
        <v>5.28</v>
      </c>
      <c r="AA143" s="8">
        <f t="shared" si="10"/>
        <v>2</v>
      </c>
      <c r="AB143" s="8">
        <f t="shared" si="11"/>
        <v>8</v>
      </c>
    </row>
    <row r="144" spans="1:28" x14ac:dyDescent="0.25">
      <c r="A144" s="8">
        <f t="shared" si="9"/>
        <v>140</v>
      </c>
      <c r="B144" s="46">
        <v>43606</v>
      </c>
      <c r="C144" s="47">
        <v>0.61271990740740734</v>
      </c>
      <c r="D144" s="48">
        <v>5.31</v>
      </c>
      <c r="E144" s="48">
        <v>5.75</v>
      </c>
      <c r="F144" s="48">
        <v>5.5</v>
      </c>
      <c r="G144" s="48">
        <v>5.44</v>
      </c>
      <c r="H144" s="48">
        <v>4.63</v>
      </c>
      <c r="I144" s="48">
        <v>5.5</v>
      </c>
      <c r="J144" s="48">
        <v>5.5</v>
      </c>
      <c r="K144" s="48">
        <v>5.56</v>
      </c>
      <c r="L144" s="48">
        <v>4.4400000000000004</v>
      </c>
      <c r="M144" s="48">
        <v>26.1</v>
      </c>
      <c r="N144" s="48">
        <v>34</v>
      </c>
      <c r="Q144" s="9">
        <f t="shared" si="8"/>
        <v>0.61271990740740734</v>
      </c>
      <c r="R144" s="10">
        <f>E144-'1. Rapport'!$C$23</f>
        <v>5.84</v>
      </c>
      <c r="S144" s="10">
        <f>F144-'1. Rapport'!$C$24</f>
        <v>5.48</v>
      </c>
      <c r="T144" s="10">
        <f>H144-'1. Rapport'!$C$26</f>
        <v>4.79</v>
      </c>
      <c r="U144" s="10">
        <f>G144-'1. Rapport'!$C$25</f>
        <v>5.46</v>
      </c>
      <c r="V144" s="10">
        <f>D144-'1. Rapport'!$C$22</f>
        <v>5.39</v>
      </c>
      <c r="W144" s="10">
        <f>I144-'1. Rapport'!$C$27</f>
        <v>5.67</v>
      </c>
      <c r="X144" s="10">
        <f>J144-'1. Rapport'!$C$28</f>
        <v>5.28</v>
      </c>
      <c r="Y144" s="10">
        <f>L144-'1. Rapport'!$C$30</f>
        <v>4.7600000000000007</v>
      </c>
      <c r="Z144" s="10">
        <f>K144-'1. Rapport'!$C$29</f>
        <v>5.3999999999999995</v>
      </c>
      <c r="AA144" s="8">
        <f t="shared" si="10"/>
        <v>2</v>
      </c>
      <c r="AB144" s="8">
        <f t="shared" si="11"/>
        <v>8</v>
      </c>
    </row>
    <row r="145" spans="1:28" x14ac:dyDescent="0.25">
      <c r="A145" s="8">
        <f t="shared" si="9"/>
        <v>141</v>
      </c>
      <c r="B145" s="46">
        <v>43606</v>
      </c>
      <c r="C145" s="47">
        <v>0.61341435185185189</v>
      </c>
      <c r="D145" s="48">
        <v>5.5</v>
      </c>
      <c r="E145" s="48">
        <v>5.81</v>
      </c>
      <c r="F145" s="48">
        <v>5.69</v>
      </c>
      <c r="G145" s="48">
        <v>5.56</v>
      </c>
      <c r="H145" s="48">
        <v>4.75</v>
      </c>
      <c r="I145" s="48">
        <v>5.63</v>
      </c>
      <c r="J145" s="48">
        <v>5.69</v>
      </c>
      <c r="K145" s="48">
        <v>5.69</v>
      </c>
      <c r="L145" s="48">
        <v>4.6900000000000004</v>
      </c>
      <c r="M145" s="48">
        <v>26.1</v>
      </c>
      <c r="N145" s="48">
        <v>34</v>
      </c>
      <c r="Q145" s="9">
        <f t="shared" si="8"/>
        <v>0.61341435185185189</v>
      </c>
      <c r="R145" s="10">
        <f>E145-'1. Rapport'!$C$23</f>
        <v>5.8999999999999995</v>
      </c>
      <c r="S145" s="10">
        <f>F145-'1. Rapport'!$C$24</f>
        <v>5.6700000000000008</v>
      </c>
      <c r="T145" s="10">
        <f>H145-'1. Rapport'!$C$26</f>
        <v>4.91</v>
      </c>
      <c r="U145" s="10">
        <f>G145-'1. Rapport'!$C$25</f>
        <v>5.5799999999999992</v>
      </c>
      <c r="V145" s="10">
        <f>D145-'1. Rapport'!$C$22</f>
        <v>5.58</v>
      </c>
      <c r="W145" s="10">
        <f>I145-'1. Rapport'!$C$27</f>
        <v>5.8</v>
      </c>
      <c r="X145" s="10">
        <f>J145-'1. Rapport'!$C$28</f>
        <v>5.4700000000000006</v>
      </c>
      <c r="Y145" s="10">
        <f>L145-'1. Rapport'!$C$30</f>
        <v>5.0100000000000007</v>
      </c>
      <c r="Z145" s="10">
        <f>K145-'1. Rapport'!$C$29</f>
        <v>5.53</v>
      </c>
      <c r="AA145" s="8">
        <f t="shared" si="10"/>
        <v>2</v>
      </c>
      <c r="AB145" s="8">
        <f t="shared" si="11"/>
        <v>8</v>
      </c>
    </row>
    <row r="146" spans="1:28" x14ac:dyDescent="0.25">
      <c r="A146" s="8">
        <f t="shared" si="9"/>
        <v>142</v>
      </c>
      <c r="B146" s="46">
        <v>43606</v>
      </c>
      <c r="C146" s="47">
        <v>0.61410879629629633</v>
      </c>
      <c r="D146" s="48">
        <v>5.56</v>
      </c>
      <c r="E146" s="48">
        <v>5.88</v>
      </c>
      <c r="F146" s="48">
        <v>5.69</v>
      </c>
      <c r="G146" s="48">
        <v>5.56</v>
      </c>
      <c r="H146" s="48">
        <v>4.75</v>
      </c>
      <c r="I146" s="48">
        <v>5.69</v>
      </c>
      <c r="J146" s="48">
        <v>5.69</v>
      </c>
      <c r="K146" s="48">
        <v>5.75</v>
      </c>
      <c r="L146" s="48">
        <v>4.5</v>
      </c>
      <c r="M146" s="48">
        <v>26.1</v>
      </c>
      <c r="N146" s="48">
        <v>34</v>
      </c>
      <c r="Q146" s="9">
        <f t="shared" si="8"/>
        <v>0.61410879629629633</v>
      </c>
      <c r="R146" s="10">
        <f>E146-'1. Rapport'!$C$23</f>
        <v>5.97</v>
      </c>
      <c r="S146" s="10">
        <f>F146-'1. Rapport'!$C$24</f>
        <v>5.6700000000000008</v>
      </c>
      <c r="T146" s="10">
        <f>H146-'1. Rapport'!$C$26</f>
        <v>4.91</v>
      </c>
      <c r="U146" s="10">
        <f>G146-'1. Rapport'!$C$25</f>
        <v>5.5799999999999992</v>
      </c>
      <c r="V146" s="10">
        <f>D146-'1. Rapport'!$C$22</f>
        <v>5.64</v>
      </c>
      <c r="W146" s="10">
        <f>I146-'1. Rapport'!$C$27</f>
        <v>5.86</v>
      </c>
      <c r="X146" s="10">
        <f>J146-'1. Rapport'!$C$28</f>
        <v>5.4700000000000006</v>
      </c>
      <c r="Y146" s="10">
        <f>L146-'1. Rapport'!$C$30</f>
        <v>4.82</v>
      </c>
      <c r="Z146" s="10">
        <f>K146-'1. Rapport'!$C$29</f>
        <v>5.59</v>
      </c>
      <c r="AA146" s="8">
        <f t="shared" si="10"/>
        <v>2</v>
      </c>
      <c r="AB146" s="8">
        <f t="shared" si="11"/>
        <v>8</v>
      </c>
    </row>
    <row r="147" spans="1:28" x14ac:dyDescent="0.25">
      <c r="A147" s="8">
        <f t="shared" si="9"/>
        <v>143</v>
      </c>
      <c r="B147" s="46">
        <v>43606</v>
      </c>
      <c r="C147" s="47">
        <v>0.61480324074074078</v>
      </c>
      <c r="D147" s="48">
        <v>5.25</v>
      </c>
      <c r="E147" s="48">
        <v>5.81</v>
      </c>
      <c r="F147" s="48">
        <v>5.5</v>
      </c>
      <c r="G147" s="48">
        <v>5.25</v>
      </c>
      <c r="H147" s="48">
        <v>4.4400000000000004</v>
      </c>
      <c r="I147" s="48">
        <v>5.56</v>
      </c>
      <c r="J147" s="48">
        <v>5.19</v>
      </c>
      <c r="K147" s="48">
        <v>5.5</v>
      </c>
      <c r="L147" s="48">
        <v>3.56</v>
      </c>
      <c r="M147" s="48">
        <v>26.1</v>
      </c>
      <c r="N147" s="48">
        <v>34</v>
      </c>
      <c r="Q147" s="9">
        <f t="shared" si="8"/>
        <v>0.61480324074074078</v>
      </c>
      <c r="R147" s="10">
        <f>E147-'1. Rapport'!$C$23</f>
        <v>5.8999999999999995</v>
      </c>
      <c r="S147" s="10">
        <f>F147-'1. Rapport'!$C$24</f>
        <v>5.48</v>
      </c>
      <c r="T147" s="10">
        <f>H147-'1. Rapport'!$C$26</f>
        <v>4.6000000000000005</v>
      </c>
      <c r="U147" s="10">
        <f>G147-'1. Rapport'!$C$25</f>
        <v>5.27</v>
      </c>
      <c r="V147" s="10">
        <f>D147-'1. Rapport'!$C$22</f>
        <v>5.33</v>
      </c>
      <c r="W147" s="10">
        <f>I147-'1. Rapport'!$C$27</f>
        <v>5.7299999999999995</v>
      </c>
      <c r="X147" s="10">
        <f>J147-'1. Rapport'!$C$28</f>
        <v>4.9700000000000006</v>
      </c>
      <c r="Y147" s="10">
        <f>L147-'1. Rapport'!$C$30</f>
        <v>3.88</v>
      </c>
      <c r="Z147" s="10">
        <f>K147-'1. Rapport'!$C$29</f>
        <v>5.34</v>
      </c>
      <c r="AA147" s="8">
        <f t="shared" si="10"/>
        <v>2</v>
      </c>
      <c r="AB147" s="8">
        <f t="shared" si="11"/>
        <v>8</v>
      </c>
    </row>
    <row r="148" spans="1:28" x14ac:dyDescent="0.25">
      <c r="A148" s="8">
        <f t="shared" si="9"/>
        <v>144</v>
      </c>
      <c r="B148" s="46">
        <v>43606</v>
      </c>
      <c r="C148" s="47">
        <v>0.61549768518518522</v>
      </c>
      <c r="D148" s="48">
        <v>4.8099999999999996</v>
      </c>
      <c r="E148" s="48">
        <v>5.56</v>
      </c>
      <c r="F148" s="48">
        <v>5.25</v>
      </c>
      <c r="G148" s="48">
        <v>4.88</v>
      </c>
      <c r="H148" s="48">
        <v>4.13</v>
      </c>
      <c r="I148" s="48">
        <v>5.25</v>
      </c>
      <c r="J148" s="48">
        <v>4.5</v>
      </c>
      <c r="K148" s="48">
        <v>5.25</v>
      </c>
      <c r="L148" s="48">
        <v>2.94</v>
      </c>
      <c r="M148" s="48">
        <v>26.1</v>
      </c>
      <c r="N148" s="48">
        <v>34</v>
      </c>
      <c r="Q148" s="9">
        <f t="shared" si="8"/>
        <v>0.61549768518518522</v>
      </c>
      <c r="R148" s="10">
        <f>E148-'1. Rapport'!$C$23</f>
        <v>5.6499999999999995</v>
      </c>
      <c r="S148" s="10">
        <f>F148-'1. Rapport'!$C$24</f>
        <v>5.23</v>
      </c>
      <c r="T148" s="10">
        <f>H148-'1. Rapport'!$C$26</f>
        <v>4.29</v>
      </c>
      <c r="U148" s="10">
        <f>G148-'1. Rapport'!$C$25</f>
        <v>4.8999999999999995</v>
      </c>
      <c r="V148" s="10">
        <f>D148-'1. Rapport'!$C$22</f>
        <v>4.8899999999999997</v>
      </c>
      <c r="W148" s="10">
        <f>I148-'1. Rapport'!$C$27</f>
        <v>5.42</v>
      </c>
      <c r="X148" s="10">
        <f>J148-'1. Rapport'!$C$28</f>
        <v>4.28</v>
      </c>
      <c r="Y148" s="10">
        <f>L148-'1. Rapport'!$C$30</f>
        <v>3.26</v>
      </c>
      <c r="Z148" s="10">
        <f>K148-'1. Rapport'!$C$29</f>
        <v>5.09</v>
      </c>
      <c r="AA148" s="8">
        <f t="shared" si="10"/>
        <v>2</v>
      </c>
      <c r="AB148" s="8">
        <f t="shared" si="11"/>
        <v>8</v>
      </c>
    </row>
    <row r="149" spans="1:28" x14ac:dyDescent="0.25">
      <c r="A149" s="8">
        <f t="shared" si="9"/>
        <v>145</v>
      </c>
      <c r="B149" s="46">
        <v>43606</v>
      </c>
      <c r="C149" s="47">
        <v>0.61619212962962966</v>
      </c>
      <c r="D149" s="48">
        <v>4.6900000000000004</v>
      </c>
      <c r="E149" s="48">
        <v>5.5</v>
      </c>
      <c r="F149" s="48">
        <v>5.13</v>
      </c>
      <c r="G149" s="48">
        <v>4.88</v>
      </c>
      <c r="H149" s="48">
        <v>4.0599999999999996</v>
      </c>
      <c r="I149" s="48">
        <v>5.13</v>
      </c>
      <c r="J149" s="48">
        <v>4.5</v>
      </c>
      <c r="K149" s="48">
        <v>5.13</v>
      </c>
      <c r="L149" s="48">
        <v>3.06</v>
      </c>
      <c r="M149" s="48">
        <v>26.1</v>
      </c>
      <c r="N149" s="48">
        <v>34</v>
      </c>
      <c r="Q149" s="9">
        <f t="shared" si="8"/>
        <v>0.61619212962962966</v>
      </c>
      <c r="R149" s="10">
        <f>E149-'1. Rapport'!$C$23</f>
        <v>5.59</v>
      </c>
      <c r="S149" s="10">
        <f>F149-'1. Rapport'!$C$24</f>
        <v>5.1100000000000003</v>
      </c>
      <c r="T149" s="10">
        <f>H149-'1. Rapport'!$C$26</f>
        <v>4.22</v>
      </c>
      <c r="U149" s="10">
        <f>G149-'1. Rapport'!$C$25</f>
        <v>4.8999999999999995</v>
      </c>
      <c r="V149" s="10">
        <f>D149-'1. Rapport'!$C$22</f>
        <v>4.7700000000000005</v>
      </c>
      <c r="W149" s="10">
        <f>I149-'1. Rapport'!$C$27</f>
        <v>5.3</v>
      </c>
      <c r="X149" s="10">
        <f>J149-'1. Rapport'!$C$28</f>
        <v>4.28</v>
      </c>
      <c r="Y149" s="10">
        <f>L149-'1. Rapport'!$C$30</f>
        <v>3.38</v>
      </c>
      <c r="Z149" s="10">
        <f>K149-'1. Rapport'!$C$29</f>
        <v>4.97</v>
      </c>
      <c r="AA149" s="8">
        <f t="shared" si="10"/>
        <v>2</v>
      </c>
      <c r="AB149" s="8">
        <f t="shared" si="11"/>
        <v>8</v>
      </c>
    </row>
    <row r="150" spans="1:28" x14ac:dyDescent="0.25">
      <c r="A150" s="8">
        <f t="shared" si="9"/>
        <v>146</v>
      </c>
      <c r="B150" s="46">
        <v>43606</v>
      </c>
      <c r="C150" s="47">
        <v>0.6168865740740741</v>
      </c>
      <c r="D150" s="48">
        <v>4.75</v>
      </c>
      <c r="E150" s="48">
        <v>5.5</v>
      </c>
      <c r="F150" s="48">
        <v>5.19</v>
      </c>
      <c r="G150" s="48">
        <v>4.9400000000000004</v>
      </c>
      <c r="H150" s="48">
        <v>4.13</v>
      </c>
      <c r="I150" s="48">
        <v>5.13</v>
      </c>
      <c r="J150" s="48">
        <v>4.6900000000000004</v>
      </c>
      <c r="K150" s="48">
        <v>5.13</v>
      </c>
      <c r="L150" s="48">
        <v>3.31</v>
      </c>
      <c r="M150" s="48">
        <v>26.1</v>
      </c>
      <c r="N150" s="48">
        <v>35</v>
      </c>
      <c r="Q150" s="9">
        <f t="shared" si="8"/>
        <v>0.6168865740740741</v>
      </c>
      <c r="R150" s="10">
        <f>E150-'1. Rapport'!$C$23</f>
        <v>5.59</v>
      </c>
      <c r="S150" s="10">
        <f>F150-'1. Rapport'!$C$24</f>
        <v>5.1700000000000008</v>
      </c>
      <c r="T150" s="10">
        <f>H150-'1. Rapport'!$C$26</f>
        <v>4.29</v>
      </c>
      <c r="U150" s="10">
        <f>G150-'1. Rapport'!$C$25</f>
        <v>4.96</v>
      </c>
      <c r="V150" s="10">
        <f>D150-'1. Rapport'!$C$22</f>
        <v>4.83</v>
      </c>
      <c r="W150" s="10">
        <f>I150-'1. Rapport'!$C$27</f>
        <v>5.3</v>
      </c>
      <c r="X150" s="10">
        <f>J150-'1. Rapport'!$C$28</f>
        <v>4.4700000000000006</v>
      </c>
      <c r="Y150" s="10">
        <f>L150-'1. Rapport'!$C$30</f>
        <v>3.63</v>
      </c>
      <c r="Z150" s="10">
        <f>K150-'1. Rapport'!$C$29</f>
        <v>4.97</v>
      </c>
      <c r="AA150" s="8">
        <f t="shared" si="10"/>
        <v>2</v>
      </c>
      <c r="AB150" s="8">
        <f t="shared" si="11"/>
        <v>8</v>
      </c>
    </row>
    <row r="151" spans="1:28" x14ac:dyDescent="0.25">
      <c r="A151" s="8">
        <f t="shared" si="9"/>
        <v>147</v>
      </c>
      <c r="B151" s="46">
        <v>43606</v>
      </c>
      <c r="C151" s="47">
        <v>0.61758101851851854</v>
      </c>
      <c r="D151" s="48">
        <v>4.88</v>
      </c>
      <c r="E151" s="48">
        <v>5.5</v>
      </c>
      <c r="F151" s="48">
        <v>5.25</v>
      </c>
      <c r="G151" s="48">
        <v>5.0599999999999996</v>
      </c>
      <c r="H151" s="48">
        <v>4.1900000000000004</v>
      </c>
      <c r="I151" s="48">
        <v>5.19</v>
      </c>
      <c r="J151" s="48">
        <v>4.88</v>
      </c>
      <c r="K151" s="48">
        <v>5.19</v>
      </c>
      <c r="L151" s="48">
        <v>3.63</v>
      </c>
      <c r="M151" s="48">
        <v>26.1</v>
      </c>
      <c r="N151" s="48">
        <v>35</v>
      </c>
      <c r="Q151" s="9">
        <f t="shared" si="8"/>
        <v>0.61758101851851854</v>
      </c>
      <c r="R151" s="10">
        <f>E151-'1. Rapport'!$C$23</f>
        <v>5.59</v>
      </c>
      <c r="S151" s="10">
        <f>F151-'1. Rapport'!$C$24</f>
        <v>5.23</v>
      </c>
      <c r="T151" s="10">
        <f>H151-'1. Rapport'!$C$26</f>
        <v>4.3500000000000005</v>
      </c>
      <c r="U151" s="10">
        <f>G151-'1. Rapport'!$C$25</f>
        <v>5.0799999999999992</v>
      </c>
      <c r="V151" s="10">
        <f>D151-'1. Rapport'!$C$22</f>
        <v>4.96</v>
      </c>
      <c r="W151" s="10">
        <f>I151-'1. Rapport'!$C$27</f>
        <v>5.36</v>
      </c>
      <c r="X151" s="10">
        <f>J151-'1. Rapport'!$C$28</f>
        <v>4.66</v>
      </c>
      <c r="Y151" s="10">
        <f>L151-'1. Rapport'!$C$30</f>
        <v>3.9499999999999997</v>
      </c>
      <c r="Z151" s="10">
        <f>K151-'1. Rapport'!$C$29</f>
        <v>5.03</v>
      </c>
      <c r="AA151" s="8">
        <f t="shared" si="10"/>
        <v>2</v>
      </c>
      <c r="AB151" s="8">
        <f t="shared" si="11"/>
        <v>8</v>
      </c>
    </row>
    <row r="152" spans="1:28" x14ac:dyDescent="0.25">
      <c r="A152" s="8">
        <f t="shared" si="9"/>
        <v>148</v>
      </c>
      <c r="B152" s="46">
        <v>43606</v>
      </c>
      <c r="C152" s="47">
        <v>0.61827546296296299</v>
      </c>
      <c r="D152" s="48">
        <v>5</v>
      </c>
      <c r="E152" s="48">
        <v>5.56</v>
      </c>
      <c r="F152" s="48">
        <v>5.31</v>
      </c>
      <c r="G152" s="48">
        <v>5.19</v>
      </c>
      <c r="H152" s="48">
        <v>4.3099999999999996</v>
      </c>
      <c r="I152" s="48">
        <v>5.31</v>
      </c>
      <c r="J152" s="48">
        <v>5.13</v>
      </c>
      <c r="K152" s="48">
        <v>5.31</v>
      </c>
      <c r="L152" s="48">
        <v>3.88</v>
      </c>
      <c r="M152" s="48">
        <v>26.1</v>
      </c>
      <c r="N152" s="48">
        <v>35</v>
      </c>
      <c r="Q152" s="9">
        <f t="shared" si="8"/>
        <v>0.61827546296296299</v>
      </c>
      <c r="R152" s="10">
        <f>E152-'1. Rapport'!$C$23</f>
        <v>5.6499999999999995</v>
      </c>
      <c r="S152" s="10">
        <f>F152-'1. Rapport'!$C$24</f>
        <v>5.29</v>
      </c>
      <c r="T152" s="10">
        <f>H152-'1. Rapport'!$C$26</f>
        <v>4.47</v>
      </c>
      <c r="U152" s="10">
        <f>G152-'1. Rapport'!$C$25</f>
        <v>5.21</v>
      </c>
      <c r="V152" s="10">
        <f>D152-'1. Rapport'!$C$22</f>
        <v>5.08</v>
      </c>
      <c r="W152" s="10">
        <f>I152-'1. Rapport'!$C$27</f>
        <v>5.4799999999999995</v>
      </c>
      <c r="X152" s="10">
        <f>J152-'1. Rapport'!$C$28</f>
        <v>4.91</v>
      </c>
      <c r="Y152" s="10">
        <f>L152-'1. Rapport'!$C$30</f>
        <v>4.2</v>
      </c>
      <c r="Z152" s="10">
        <f>K152-'1. Rapport'!$C$29</f>
        <v>5.1499999999999995</v>
      </c>
      <c r="AA152" s="8">
        <f t="shared" si="10"/>
        <v>2</v>
      </c>
      <c r="AB152" s="8">
        <f t="shared" si="11"/>
        <v>8</v>
      </c>
    </row>
    <row r="153" spans="1:28" x14ac:dyDescent="0.25">
      <c r="A153" s="8">
        <f t="shared" si="9"/>
        <v>149</v>
      </c>
      <c r="B153" s="46">
        <v>43606</v>
      </c>
      <c r="C153" s="47">
        <v>0.61896990740740743</v>
      </c>
      <c r="D153" s="48">
        <v>5.19</v>
      </c>
      <c r="E153" s="48">
        <v>5.69</v>
      </c>
      <c r="F153" s="48">
        <v>5.44</v>
      </c>
      <c r="G153" s="48">
        <v>5.31</v>
      </c>
      <c r="H153" s="48">
        <v>4.5</v>
      </c>
      <c r="I153" s="48">
        <v>5.38</v>
      </c>
      <c r="J153" s="48">
        <v>5.31</v>
      </c>
      <c r="K153" s="48">
        <v>5.44</v>
      </c>
      <c r="L153" s="48">
        <v>4.1900000000000004</v>
      </c>
      <c r="M153" s="48">
        <v>26.1</v>
      </c>
      <c r="N153" s="48">
        <v>35</v>
      </c>
      <c r="Q153" s="9">
        <f t="shared" si="8"/>
        <v>0.61896990740740743</v>
      </c>
      <c r="R153" s="10">
        <f>E153-'1. Rapport'!$C$23</f>
        <v>5.78</v>
      </c>
      <c r="S153" s="10">
        <f>F153-'1. Rapport'!$C$24</f>
        <v>5.4200000000000008</v>
      </c>
      <c r="T153" s="10">
        <f>H153-'1. Rapport'!$C$26</f>
        <v>4.66</v>
      </c>
      <c r="U153" s="10">
        <f>G153-'1. Rapport'!$C$25</f>
        <v>5.3299999999999992</v>
      </c>
      <c r="V153" s="10">
        <f>D153-'1. Rapport'!$C$22</f>
        <v>5.2700000000000005</v>
      </c>
      <c r="W153" s="10">
        <f>I153-'1. Rapport'!$C$27</f>
        <v>5.55</v>
      </c>
      <c r="X153" s="10">
        <f>J153-'1. Rapport'!$C$28</f>
        <v>5.09</v>
      </c>
      <c r="Y153" s="10">
        <f>L153-'1. Rapport'!$C$30</f>
        <v>4.5100000000000007</v>
      </c>
      <c r="Z153" s="10">
        <f>K153-'1. Rapport'!$C$29</f>
        <v>5.28</v>
      </c>
      <c r="AA153" s="8">
        <f t="shared" si="10"/>
        <v>2</v>
      </c>
      <c r="AB153" s="8">
        <f t="shared" si="11"/>
        <v>8</v>
      </c>
    </row>
    <row r="154" spans="1:28" x14ac:dyDescent="0.25">
      <c r="A154" s="8">
        <f t="shared" si="9"/>
        <v>150</v>
      </c>
      <c r="B154" s="46">
        <v>43606</v>
      </c>
      <c r="C154" s="47">
        <v>0.61966435185185187</v>
      </c>
      <c r="D154" s="48">
        <v>5.31</v>
      </c>
      <c r="E154" s="48">
        <v>5.75</v>
      </c>
      <c r="F154" s="48">
        <v>5.56</v>
      </c>
      <c r="G154" s="48">
        <v>5.44</v>
      </c>
      <c r="H154" s="48">
        <v>4.63</v>
      </c>
      <c r="I154" s="48">
        <v>5.5</v>
      </c>
      <c r="J154" s="48">
        <v>5.5</v>
      </c>
      <c r="K154" s="48">
        <v>5.56</v>
      </c>
      <c r="L154" s="48">
        <v>4.4400000000000004</v>
      </c>
      <c r="M154" s="48">
        <v>26.1</v>
      </c>
      <c r="N154" s="48">
        <v>35</v>
      </c>
      <c r="Q154" s="9">
        <f t="shared" si="8"/>
        <v>0.61966435185185187</v>
      </c>
      <c r="R154" s="10">
        <f>E154-'1. Rapport'!$C$23</f>
        <v>5.84</v>
      </c>
      <c r="S154" s="10">
        <f>F154-'1. Rapport'!$C$24</f>
        <v>5.54</v>
      </c>
      <c r="T154" s="10">
        <f>H154-'1. Rapport'!$C$26</f>
        <v>4.79</v>
      </c>
      <c r="U154" s="10">
        <f>G154-'1. Rapport'!$C$25</f>
        <v>5.46</v>
      </c>
      <c r="V154" s="10">
        <f>D154-'1. Rapport'!$C$22</f>
        <v>5.39</v>
      </c>
      <c r="W154" s="10">
        <f>I154-'1. Rapport'!$C$27</f>
        <v>5.67</v>
      </c>
      <c r="X154" s="10">
        <f>J154-'1. Rapport'!$C$28</f>
        <v>5.28</v>
      </c>
      <c r="Y154" s="10">
        <f>L154-'1. Rapport'!$C$30</f>
        <v>4.7600000000000007</v>
      </c>
      <c r="Z154" s="10">
        <f>K154-'1. Rapport'!$C$29</f>
        <v>5.3999999999999995</v>
      </c>
      <c r="AA154" s="8">
        <f t="shared" si="10"/>
        <v>2</v>
      </c>
      <c r="AB154" s="8">
        <f t="shared" si="11"/>
        <v>8</v>
      </c>
    </row>
    <row r="155" spans="1:28" x14ac:dyDescent="0.25">
      <c r="B155" s="41"/>
      <c r="C155" s="42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</row>
    <row r="156" spans="1:28" x14ac:dyDescent="0.25">
      <c r="M156" s="8"/>
      <c r="N156" s="8"/>
    </row>
    <row r="157" spans="1:28" x14ac:dyDescent="0.25">
      <c r="C157" s="9"/>
      <c r="M157" s="8"/>
      <c r="N157" s="8"/>
    </row>
    <row r="158" spans="1:28" x14ac:dyDescent="0.25">
      <c r="C158" s="9"/>
      <c r="D158" s="10"/>
      <c r="E158" s="10"/>
      <c r="F158" s="10"/>
      <c r="G158" s="10"/>
      <c r="H158" s="10"/>
      <c r="I158" s="10"/>
      <c r="J158" s="10"/>
      <c r="K158" s="10"/>
      <c r="L158" s="10"/>
      <c r="M158" s="8"/>
      <c r="N158" s="8"/>
    </row>
    <row r="159" spans="1:28" x14ac:dyDescent="0.25">
      <c r="M159" s="8"/>
      <c r="N159" s="8"/>
    </row>
    <row r="160" spans="1:28" x14ac:dyDescent="0.25">
      <c r="M160" s="8"/>
      <c r="N160" s="8"/>
    </row>
    <row r="161" spans="13:14" x14ac:dyDescent="0.25">
      <c r="M161" s="8"/>
      <c r="N161" s="8"/>
    </row>
    <row r="162" spans="13:14" x14ac:dyDescent="0.25">
      <c r="M162" s="8"/>
      <c r="N162" s="8"/>
    </row>
    <row r="163" spans="13:14" x14ac:dyDescent="0.25">
      <c r="M163" s="8"/>
      <c r="N163" s="8"/>
    </row>
    <row r="164" spans="13:14" x14ac:dyDescent="0.25">
      <c r="M164" s="8"/>
      <c r="N164" s="8"/>
    </row>
    <row r="165" spans="13:14" x14ac:dyDescent="0.25">
      <c r="M165" s="8"/>
      <c r="N165" s="8"/>
    </row>
    <row r="166" spans="13:14" x14ac:dyDescent="0.25">
      <c r="M166" s="8"/>
      <c r="N166" s="8"/>
    </row>
    <row r="167" spans="13:14" x14ac:dyDescent="0.25">
      <c r="M167" s="8"/>
      <c r="N167" s="8"/>
    </row>
    <row r="168" spans="13:14" x14ac:dyDescent="0.25">
      <c r="M168" s="8"/>
      <c r="N168" s="8"/>
    </row>
    <row r="169" spans="13:14" x14ac:dyDescent="0.25">
      <c r="M169" s="8"/>
      <c r="N169" s="8"/>
    </row>
    <row r="170" spans="13:14" x14ac:dyDescent="0.25">
      <c r="M170" s="8"/>
      <c r="N170" s="8"/>
    </row>
    <row r="171" spans="13:14" x14ac:dyDescent="0.25">
      <c r="M171" s="8"/>
      <c r="N171" s="8"/>
    </row>
    <row r="172" spans="13:14" x14ac:dyDescent="0.25">
      <c r="M172" s="8"/>
      <c r="N172" s="8"/>
    </row>
    <row r="173" spans="13:14" x14ac:dyDescent="0.25">
      <c r="M173" s="8"/>
      <c r="N173" s="8"/>
    </row>
    <row r="174" spans="13:14" x14ac:dyDescent="0.25">
      <c r="M174" s="8"/>
      <c r="N174" s="8"/>
    </row>
    <row r="175" spans="13:14" x14ac:dyDescent="0.25">
      <c r="M175" s="8"/>
      <c r="N175" s="8"/>
    </row>
    <row r="176" spans="13:14" x14ac:dyDescent="0.25">
      <c r="M176" s="8"/>
      <c r="N176" s="8"/>
    </row>
    <row r="177" spans="13:14" x14ac:dyDescent="0.25">
      <c r="M177" s="8"/>
      <c r="N177" s="8"/>
    </row>
    <row r="178" spans="13:14" x14ac:dyDescent="0.25">
      <c r="M178" s="8"/>
      <c r="N178" s="8"/>
    </row>
    <row r="179" spans="13:14" x14ac:dyDescent="0.25">
      <c r="M179" s="8"/>
      <c r="N179" s="8"/>
    </row>
    <row r="180" spans="13:14" x14ac:dyDescent="0.25">
      <c r="M180" s="8"/>
      <c r="N180" s="8"/>
    </row>
    <row r="181" spans="13:14" x14ac:dyDescent="0.25">
      <c r="M181" s="8"/>
      <c r="N181" s="8"/>
    </row>
    <row r="182" spans="13:14" x14ac:dyDescent="0.25">
      <c r="M182" s="8"/>
      <c r="N182" s="8"/>
    </row>
    <row r="183" spans="13:14" x14ac:dyDescent="0.25">
      <c r="M183" s="8"/>
      <c r="N183" s="8"/>
    </row>
    <row r="184" spans="13:14" x14ac:dyDescent="0.25">
      <c r="M184" s="8"/>
      <c r="N184" s="8"/>
    </row>
    <row r="185" spans="13:14" x14ac:dyDescent="0.25">
      <c r="M185" s="8"/>
      <c r="N185" s="8"/>
    </row>
    <row r="186" spans="13:14" x14ac:dyDescent="0.25">
      <c r="M186" s="8"/>
      <c r="N186" s="8"/>
    </row>
    <row r="187" spans="13:14" x14ac:dyDescent="0.25">
      <c r="M187" s="8"/>
      <c r="N187" s="8"/>
    </row>
    <row r="188" spans="13:14" x14ac:dyDescent="0.25">
      <c r="M188" s="8"/>
      <c r="N188" s="8"/>
    </row>
    <row r="189" spans="13:14" x14ac:dyDescent="0.25">
      <c r="M189" s="8"/>
      <c r="N189" s="8"/>
    </row>
    <row r="190" spans="13:14" x14ac:dyDescent="0.25">
      <c r="M190" s="8"/>
      <c r="N190" s="8"/>
    </row>
    <row r="191" spans="13:14" x14ac:dyDescent="0.25">
      <c r="M191" s="8"/>
      <c r="N191" s="8"/>
    </row>
    <row r="192" spans="13:14" x14ac:dyDescent="0.25">
      <c r="M192" s="8"/>
      <c r="N192" s="8"/>
    </row>
    <row r="193" spans="13:14" x14ac:dyDescent="0.25">
      <c r="M193" s="8"/>
      <c r="N193" s="8"/>
    </row>
    <row r="194" spans="13:14" x14ac:dyDescent="0.25">
      <c r="M194" s="8"/>
      <c r="N194" s="8"/>
    </row>
    <row r="195" spans="13:14" x14ac:dyDescent="0.25">
      <c r="M195" s="8"/>
      <c r="N195" s="8"/>
    </row>
    <row r="196" spans="13:14" x14ac:dyDescent="0.25">
      <c r="M196" s="8"/>
      <c r="N196" s="8"/>
    </row>
    <row r="197" spans="13:14" x14ac:dyDescent="0.25">
      <c r="M197" s="8"/>
      <c r="N197" s="8"/>
    </row>
    <row r="198" spans="13:14" x14ac:dyDescent="0.25">
      <c r="M198" s="8"/>
      <c r="N198" s="8"/>
    </row>
    <row r="199" spans="13:14" x14ac:dyDescent="0.25">
      <c r="M199" s="8"/>
      <c r="N199" s="8"/>
    </row>
    <row r="200" spans="13:14" x14ac:dyDescent="0.25">
      <c r="M200" s="8"/>
      <c r="N200" s="8"/>
    </row>
    <row r="201" spans="13:14" x14ac:dyDescent="0.25">
      <c r="M201" s="8"/>
      <c r="N201" s="8"/>
    </row>
    <row r="202" spans="13:14" x14ac:dyDescent="0.25">
      <c r="M202" s="8"/>
      <c r="N202" s="8"/>
    </row>
    <row r="203" spans="13:14" x14ac:dyDescent="0.25">
      <c r="M203" s="8"/>
      <c r="N203" s="8"/>
    </row>
    <row r="204" spans="13:14" x14ac:dyDescent="0.25">
      <c r="M204" s="8"/>
      <c r="N204" s="8"/>
    </row>
    <row r="205" spans="13:14" x14ac:dyDescent="0.25">
      <c r="M205" s="8"/>
      <c r="N205" s="8"/>
    </row>
    <row r="206" spans="13:14" x14ac:dyDescent="0.25">
      <c r="M206" s="8"/>
      <c r="N206" s="8"/>
    </row>
    <row r="207" spans="13:14" x14ac:dyDescent="0.25">
      <c r="M207" s="8"/>
      <c r="N207" s="8"/>
    </row>
    <row r="208" spans="13:14" x14ac:dyDescent="0.25">
      <c r="M208" s="8"/>
      <c r="N208" s="8"/>
    </row>
    <row r="209" spans="13:14" x14ac:dyDescent="0.25">
      <c r="M209" s="8"/>
      <c r="N209" s="8"/>
    </row>
    <row r="210" spans="13:14" x14ac:dyDescent="0.25">
      <c r="M210" s="8"/>
      <c r="N210" s="8"/>
    </row>
    <row r="211" spans="13:14" x14ac:dyDescent="0.25">
      <c r="M211" s="8"/>
      <c r="N211" s="8"/>
    </row>
    <row r="212" spans="13:14" x14ac:dyDescent="0.25">
      <c r="M212" s="8"/>
      <c r="N212" s="8"/>
    </row>
    <row r="213" spans="13:14" x14ac:dyDescent="0.25">
      <c r="M213" s="8"/>
      <c r="N213" s="8"/>
    </row>
    <row r="214" spans="13:14" x14ac:dyDescent="0.25">
      <c r="M214" s="8"/>
      <c r="N214" s="8"/>
    </row>
    <row r="215" spans="13:14" x14ac:dyDescent="0.25">
      <c r="M215" s="8"/>
      <c r="N215" s="8"/>
    </row>
    <row r="216" spans="13:14" x14ac:dyDescent="0.25">
      <c r="M216" s="8"/>
      <c r="N216" s="8"/>
    </row>
    <row r="217" spans="13:14" x14ac:dyDescent="0.25">
      <c r="M217" s="8"/>
      <c r="N217" s="8"/>
    </row>
    <row r="218" spans="13:14" x14ac:dyDescent="0.25">
      <c r="M218" s="8"/>
      <c r="N218" s="8"/>
    </row>
    <row r="219" spans="13:14" x14ac:dyDescent="0.25">
      <c r="M219" s="8"/>
      <c r="N219" s="8"/>
    </row>
    <row r="220" spans="13:14" x14ac:dyDescent="0.25">
      <c r="M220" s="8"/>
      <c r="N220" s="8"/>
    </row>
    <row r="221" spans="13:14" x14ac:dyDescent="0.25">
      <c r="M221" s="8"/>
      <c r="N221" s="8"/>
    </row>
    <row r="222" spans="13:14" x14ac:dyDescent="0.25">
      <c r="M222" s="8"/>
      <c r="N222" s="8"/>
    </row>
    <row r="223" spans="13:14" x14ac:dyDescent="0.25">
      <c r="M223" s="8"/>
      <c r="N223" s="8"/>
    </row>
    <row r="224" spans="13:14" x14ac:dyDescent="0.25">
      <c r="M224" s="8"/>
      <c r="N224" s="8"/>
    </row>
    <row r="225" spans="13:14" x14ac:dyDescent="0.25">
      <c r="M225" s="8"/>
      <c r="N225" s="8"/>
    </row>
    <row r="226" spans="13:14" x14ac:dyDescent="0.25">
      <c r="M226" s="8"/>
      <c r="N226" s="8"/>
    </row>
    <row r="227" spans="13:14" x14ac:dyDescent="0.25">
      <c r="M227" s="8"/>
      <c r="N227" s="8"/>
    </row>
    <row r="228" spans="13:14" x14ac:dyDescent="0.25">
      <c r="M228" s="8"/>
      <c r="N228" s="8"/>
    </row>
    <row r="229" spans="13:14" x14ac:dyDescent="0.25">
      <c r="M229" s="8"/>
      <c r="N229" s="8"/>
    </row>
    <row r="230" spans="13:14" x14ac:dyDescent="0.25">
      <c r="M230" s="8"/>
      <c r="N230" s="8"/>
    </row>
    <row r="231" spans="13:14" x14ac:dyDescent="0.25">
      <c r="M231" s="8"/>
      <c r="N231" s="8"/>
    </row>
    <row r="232" spans="13:14" x14ac:dyDescent="0.25">
      <c r="M232" s="8"/>
      <c r="N232" s="8"/>
    </row>
    <row r="233" spans="13:14" x14ac:dyDescent="0.25">
      <c r="M233" s="8"/>
      <c r="N233" s="8"/>
    </row>
    <row r="234" spans="13:14" x14ac:dyDescent="0.25">
      <c r="M234" s="8"/>
      <c r="N234" s="8"/>
    </row>
    <row r="235" spans="13:14" x14ac:dyDescent="0.25">
      <c r="M235" s="8"/>
      <c r="N235" s="8"/>
    </row>
    <row r="236" spans="13:14" x14ac:dyDescent="0.25">
      <c r="M236" s="8"/>
      <c r="N236" s="8"/>
    </row>
    <row r="237" spans="13:14" x14ac:dyDescent="0.25">
      <c r="M237" s="8"/>
      <c r="N237" s="8"/>
    </row>
    <row r="238" spans="13:14" x14ac:dyDescent="0.25">
      <c r="M238" s="8"/>
      <c r="N238" s="8"/>
    </row>
    <row r="239" spans="13:14" x14ac:dyDescent="0.25">
      <c r="M239" s="8"/>
      <c r="N239" s="8"/>
    </row>
    <row r="240" spans="13:14" x14ac:dyDescent="0.25">
      <c r="M240" s="8"/>
      <c r="N240" s="8"/>
    </row>
    <row r="241" spans="13:14" x14ac:dyDescent="0.25">
      <c r="M241" s="8"/>
      <c r="N241" s="8"/>
    </row>
    <row r="242" spans="13:14" x14ac:dyDescent="0.25">
      <c r="M242" s="8"/>
      <c r="N242" s="8"/>
    </row>
    <row r="243" spans="13:14" x14ac:dyDescent="0.25">
      <c r="M243" s="8"/>
      <c r="N243" s="8"/>
    </row>
    <row r="244" spans="13:14" x14ac:dyDescent="0.25">
      <c r="M244" s="8"/>
      <c r="N244" s="8"/>
    </row>
    <row r="245" spans="13:14" x14ac:dyDescent="0.25">
      <c r="M245" s="8"/>
      <c r="N245" s="8"/>
    </row>
    <row r="246" spans="13:14" x14ac:dyDescent="0.25">
      <c r="M246" s="8"/>
      <c r="N246" s="8"/>
    </row>
    <row r="247" spans="13:14" x14ac:dyDescent="0.25">
      <c r="M247" s="8"/>
      <c r="N247" s="8"/>
    </row>
    <row r="248" spans="13:14" x14ac:dyDescent="0.25">
      <c r="M248" s="8"/>
      <c r="N248" s="8"/>
    </row>
    <row r="249" spans="13:14" x14ac:dyDescent="0.25">
      <c r="M249" s="8"/>
      <c r="N249" s="8"/>
    </row>
    <row r="250" spans="13:14" x14ac:dyDescent="0.25">
      <c r="M250" s="8"/>
      <c r="N250" s="8"/>
    </row>
    <row r="251" spans="13:14" x14ac:dyDescent="0.25">
      <c r="M251" s="8"/>
      <c r="N251" s="8"/>
    </row>
    <row r="252" spans="13:14" x14ac:dyDescent="0.25">
      <c r="M252" s="8"/>
      <c r="N252" s="8"/>
    </row>
    <row r="253" spans="13:14" x14ac:dyDescent="0.25">
      <c r="M253" s="8"/>
      <c r="N253" s="8"/>
    </row>
    <row r="254" spans="13:14" x14ac:dyDescent="0.25">
      <c r="M254" s="8"/>
      <c r="N254" s="8"/>
    </row>
    <row r="255" spans="13:14" x14ac:dyDescent="0.25">
      <c r="M255" s="8"/>
      <c r="N255" s="8"/>
    </row>
    <row r="256" spans="13:14" x14ac:dyDescent="0.25">
      <c r="M256" s="8"/>
      <c r="N256" s="8"/>
    </row>
    <row r="257" spans="13:14" x14ac:dyDescent="0.25">
      <c r="M257" s="8"/>
      <c r="N257" s="8"/>
    </row>
    <row r="258" spans="13:14" x14ac:dyDescent="0.25">
      <c r="M258" s="8"/>
      <c r="N258" s="8"/>
    </row>
    <row r="259" spans="13:14" x14ac:dyDescent="0.25">
      <c r="M259" s="8"/>
      <c r="N259" s="8"/>
    </row>
    <row r="260" spans="13:14" x14ac:dyDescent="0.25">
      <c r="M260" s="8"/>
      <c r="N260" s="8"/>
    </row>
    <row r="261" spans="13:14" x14ac:dyDescent="0.25">
      <c r="M261" s="8"/>
      <c r="N261" s="8"/>
    </row>
    <row r="262" spans="13:14" x14ac:dyDescent="0.25">
      <c r="M262" s="8"/>
      <c r="N262" s="8"/>
    </row>
    <row r="263" spans="13:14" x14ac:dyDescent="0.25">
      <c r="M263" s="8"/>
      <c r="N263" s="8"/>
    </row>
    <row r="264" spans="13:14" x14ac:dyDescent="0.25">
      <c r="M264" s="8"/>
      <c r="N264" s="8"/>
    </row>
    <row r="265" spans="13:14" x14ac:dyDescent="0.25">
      <c r="M265" s="8"/>
      <c r="N265" s="8"/>
    </row>
    <row r="266" spans="13:14" x14ac:dyDescent="0.25">
      <c r="M266" s="8"/>
      <c r="N266" s="8"/>
    </row>
    <row r="267" spans="13:14" x14ac:dyDescent="0.25">
      <c r="M267" s="8"/>
      <c r="N267" s="8"/>
    </row>
    <row r="268" spans="13:14" x14ac:dyDescent="0.25">
      <c r="M268" s="8"/>
      <c r="N268" s="8"/>
    </row>
    <row r="269" spans="13:14" x14ac:dyDescent="0.25">
      <c r="M269" s="8"/>
      <c r="N269" s="8"/>
    </row>
    <row r="270" spans="13:14" x14ac:dyDescent="0.25">
      <c r="M270" s="8"/>
      <c r="N270" s="8"/>
    </row>
    <row r="271" spans="13:14" x14ac:dyDescent="0.25">
      <c r="M271" s="8"/>
      <c r="N271" s="8"/>
    </row>
    <row r="272" spans="13:14" x14ac:dyDescent="0.25">
      <c r="M272" s="8"/>
      <c r="N272" s="8"/>
    </row>
    <row r="273" spans="13:14" x14ac:dyDescent="0.25">
      <c r="M273" s="8"/>
      <c r="N273" s="8"/>
    </row>
    <row r="274" spans="13:14" x14ac:dyDescent="0.25">
      <c r="M274" s="8"/>
      <c r="N274" s="8"/>
    </row>
    <row r="275" spans="13:14" x14ac:dyDescent="0.25">
      <c r="M275" s="8"/>
      <c r="N275" s="8"/>
    </row>
    <row r="276" spans="13:14" x14ac:dyDescent="0.25">
      <c r="M276" s="8"/>
      <c r="N276" s="8"/>
    </row>
    <row r="277" spans="13:14" x14ac:dyDescent="0.25">
      <c r="M277" s="8"/>
      <c r="N277" s="8"/>
    </row>
    <row r="278" spans="13:14" x14ac:dyDescent="0.25">
      <c r="M278" s="8"/>
      <c r="N278" s="8"/>
    </row>
    <row r="279" spans="13:14" x14ac:dyDescent="0.25">
      <c r="M279" s="8"/>
      <c r="N279" s="8"/>
    </row>
    <row r="280" spans="13:14" x14ac:dyDescent="0.25">
      <c r="M280" s="8"/>
      <c r="N280" s="8"/>
    </row>
    <row r="281" spans="13:14" x14ac:dyDescent="0.25">
      <c r="M281" s="8"/>
      <c r="N281" s="8"/>
    </row>
    <row r="282" spans="13:14" x14ac:dyDescent="0.25">
      <c r="M282" s="8"/>
      <c r="N282" s="8"/>
    </row>
    <row r="283" spans="13:14" x14ac:dyDescent="0.25">
      <c r="M283" s="8"/>
      <c r="N283" s="8"/>
    </row>
    <row r="284" spans="13:14" x14ac:dyDescent="0.25">
      <c r="M284" s="8"/>
      <c r="N284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1. Rapport</vt:lpstr>
      <vt:lpstr>2. Calculs</vt:lpstr>
      <vt:lpstr>Feuil3</vt:lpstr>
    </vt:vector>
  </TitlesOfParts>
  <Company>Institut de Cancérologie de Lorraine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b.maury</dc:creator>
  <cp:lastModifiedBy>b.maury</cp:lastModifiedBy>
  <cp:lastPrinted>2019-06-06T17:32:11Z</cp:lastPrinted>
  <dcterms:created xsi:type="dcterms:W3CDTF">2019-06-06T10:54:41Z</dcterms:created>
  <dcterms:modified xsi:type="dcterms:W3CDTF">2020-10-14T07:13:12Z</dcterms:modified>
</cp:coreProperties>
</file>