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5745" yWindow="-120" windowWidth="20700" windowHeight="17640" activeTab="1"/>
  </bookViews>
  <sheets>
    <sheet name="Sonde étalon" sheetId="11" r:id="rId1"/>
    <sheet name="Relevés -20°C" sheetId="14" r:id="rId2"/>
    <sheet name="Relevés 5°C" sheetId="9" r:id="rId3"/>
    <sheet name="Relevés 20°C" sheetId="13" r:id="rId4"/>
    <sheet name="Résultats" sheetId="18" r:id="rId5"/>
    <sheet name="Feuil1" sheetId="19" r:id="rId6"/>
    <sheet name="Feuil2" sheetId="20" r:id="rId7"/>
    <sheet name="Feuil3" sheetId="21" r:id="rId8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A4" i="13" l="1"/>
  <c r="AZ4" i="13"/>
  <c r="AY4" i="13"/>
  <c r="AX4" i="13"/>
  <c r="AW4" i="13"/>
  <c r="AV4" i="13"/>
  <c r="AU4" i="13"/>
  <c r="AT4" i="13"/>
  <c r="AS4" i="13"/>
  <c r="AR4" i="13"/>
  <c r="AV4" i="9"/>
  <c r="AU4" i="9"/>
  <c r="AT4" i="9"/>
  <c r="AS4" i="9"/>
  <c r="AR4" i="9"/>
  <c r="AQ4" i="9"/>
  <c r="AP4" i="9"/>
  <c r="AO4" i="9"/>
  <c r="AN4" i="9"/>
  <c r="AV4" i="14"/>
  <c r="AU4" i="14"/>
  <c r="AT4" i="14"/>
  <c r="AS4" i="14"/>
  <c r="AR4" i="14"/>
  <c r="AQ4" i="14"/>
  <c r="AP4" i="14"/>
  <c r="AO4" i="14"/>
  <c r="AN4" i="14"/>
  <c r="G12" i="21" l="1"/>
  <c r="F12" i="21"/>
  <c r="G11" i="21"/>
  <c r="F11" i="21"/>
  <c r="E11" i="21"/>
  <c r="D11" i="21"/>
  <c r="C11" i="21"/>
  <c r="B11" i="21"/>
  <c r="G10" i="21"/>
  <c r="F10" i="21"/>
  <c r="E10" i="21"/>
  <c r="D10" i="21"/>
  <c r="C10" i="21"/>
  <c r="B10" i="21"/>
  <c r="G9" i="21"/>
  <c r="F9" i="21"/>
  <c r="E9" i="21"/>
  <c r="D9" i="21"/>
  <c r="C9" i="21"/>
  <c r="B9" i="21"/>
  <c r="G8" i="21"/>
  <c r="F8" i="21"/>
  <c r="E8" i="21"/>
  <c r="D8" i="21"/>
  <c r="C8" i="21"/>
  <c r="B8" i="21"/>
  <c r="G7" i="21"/>
  <c r="F7" i="21"/>
  <c r="E7" i="21"/>
  <c r="D7" i="21"/>
  <c r="C7" i="21"/>
  <c r="B7" i="21"/>
  <c r="G6" i="21"/>
  <c r="F6" i="21"/>
  <c r="E6" i="21"/>
  <c r="D6" i="21"/>
  <c r="C6" i="21"/>
  <c r="B6" i="21"/>
  <c r="G5" i="21"/>
  <c r="F5" i="21"/>
  <c r="E5" i="21"/>
  <c r="D5" i="21"/>
  <c r="C5" i="21"/>
  <c r="B5" i="21"/>
  <c r="G4" i="21"/>
  <c r="F4" i="21"/>
  <c r="E4" i="21"/>
  <c r="D4" i="21"/>
  <c r="C4" i="21"/>
  <c r="B4" i="21"/>
  <c r="G3" i="21"/>
  <c r="F3" i="21"/>
  <c r="E3" i="21"/>
  <c r="D3" i="21"/>
  <c r="C3" i="21"/>
  <c r="B3" i="21"/>
  <c r="O110" i="14" l="1"/>
  <c r="R110" i="14" s="1"/>
  <c r="S110" i="14"/>
  <c r="O111" i="14"/>
  <c r="S111" i="14" s="1"/>
  <c r="O112" i="14"/>
  <c r="Y112" i="14" s="1"/>
  <c r="O113" i="14"/>
  <c r="S113" i="14" s="1"/>
  <c r="O114" i="14"/>
  <c r="V114" i="14" s="1"/>
  <c r="O115" i="14"/>
  <c r="U115" i="14" s="1"/>
  <c r="O116" i="14"/>
  <c r="Y116" i="14" s="1"/>
  <c r="W116" i="14"/>
  <c r="O117" i="14"/>
  <c r="Y117" i="14" s="1"/>
  <c r="R117" i="14"/>
  <c r="S117" i="14"/>
  <c r="O118" i="14"/>
  <c r="Z118" i="14" s="1"/>
  <c r="O119" i="14"/>
  <c r="Z119" i="14" s="1"/>
  <c r="U119" i="14"/>
  <c r="O120" i="14"/>
  <c r="U120" i="14" s="1"/>
  <c r="S120" i="14"/>
  <c r="W120" i="14"/>
  <c r="O121" i="14"/>
  <c r="O122" i="14"/>
  <c r="O123" i="14"/>
  <c r="V123" i="14" s="1"/>
  <c r="O124" i="14"/>
  <c r="Z124" i="14"/>
  <c r="O125" i="14"/>
  <c r="R125" i="14" s="1"/>
  <c r="V125" i="14"/>
  <c r="O109" i="14"/>
  <c r="O108" i="14"/>
  <c r="O107" i="14"/>
  <c r="O106" i="14"/>
  <c r="O105" i="14"/>
  <c r="O104" i="14"/>
  <c r="W104" i="14" s="1"/>
  <c r="O103" i="14"/>
  <c r="Z103" i="14" s="1"/>
  <c r="O102" i="14"/>
  <c r="Z102" i="14" s="1"/>
  <c r="O101" i="14"/>
  <c r="Y101" i="14" s="1"/>
  <c r="O100" i="14"/>
  <c r="U100" i="14" s="1"/>
  <c r="O99" i="14"/>
  <c r="O98" i="14"/>
  <c r="O97" i="14"/>
  <c r="O96" i="14"/>
  <c r="V96" i="14" s="1"/>
  <c r="O95" i="14"/>
  <c r="Z95" i="14" s="1"/>
  <c r="O94" i="14"/>
  <c r="O93" i="14"/>
  <c r="O92" i="14"/>
  <c r="Z92" i="14" s="1"/>
  <c r="O91" i="14"/>
  <c r="O90" i="14"/>
  <c r="Z90" i="14" s="1"/>
  <c r="O89" i="14"/>
  <c r="Y89" i="14" s="1"/>
  <c r="O88" i="14"/>
  <c r="O87" i="14"/>
  <c r="Z87" i="14" s="1"/>
  <c r="O86" i="14"/>
  <c r="Z86" i="14" s="1"/>
  <c r="O85" i="14"/>
  <c r="O84" i="14"/>
  <c r="U84" i="14" s="1"/>
  <c r="O83" i="14"/>
  <c r="O82" i="14"/>
  <c r="R82" i="14" s="1"/>
  <c r="O81" i="14"/>
  <c r="O80" i="14"/>
  <c r="X80" i="14" s="1"/>
  <c r="O79" i="14"/>
  <c r="O78" i="14"/>
  <c r="O77" i="14"/>
  <c r="O76" i="14"/>
  <c r="X76" i="14" s="1"/>
  <c r="O75" i="14"/>
  <c r="Z75" i="14" s="1"/>
  <c r="O74" i="14"/>
  <c r="R74" i="14" s="1"/>
  <c r="O73" i="14"/>
  <c r="Y73" i="14" s="1"/>
  <c r="O72" i="14"/>
  <c r="U72" i="14" s="1"/>
  <c r="O71" i="14"/>
  <c r="U71" i="14" s="1"/>
  <c r="O70" i="14"/>
  <c r="V70" i="14" s="1"/>
  <c r="O69" i="14"/>
  <c r="O68" i="14"/>
  <c r="Y68" i="14" s="1"/>
  <c r="O67" i="14"/>
  <c r="Z67" i="14" s="1"/>
  <c r="O66" i="14"/>
  <c r="R66" i="14" s="1"/>
  <c r="O65" i="14"/>
  <c r="Y65" i="14" s="1"/>
  <c r="O64" i="14"/>
  <c r="X64" i="14" s="1"/>
  <c r="O63" i="14"/>
  <c r="Z63" i="14" s="1"/>
  <c r="O62" i="14"/>
  <c r="O61" i="14"/>
  <c r="O60" i="14"/>
  <c r="U60" i="14" s="1"/>
  <c r="O59" i="14"/>
  <c r="O58" i="14"/>
  <c r="O57" i="14"/>
  <c r="O56" i="14"/>
  <c r="O55" i="14"/>
  <c r="O54" i="14"/>
  <c r="V54" i="14" s="1"/>
  <c r="O53" i="14"/>
  <c r="Y53" i="14" s="1"/>
  <c r="O52" i="14"/>
  <c r="O51" i="14"/>
  <c r="Z51" i="14" s="1"/>
  <c r="O50" i="14"/>
  <c r="X50" i="14" s="1"/>
  <c r="O49" i="14"/>
  <c r="O48" i="14"/>
  <c r="X48" i="14" s="1"/>
  <c r="O47" i="14"/>
  <c r="Z47" i="14" s="1"/>
  <c r="O46" i="14"/>
  <c r="O45" i="14"/>
  <c r="V45" i="14" s="1"/>
  <c r="O44" i="14"/>
  <c r="Y44" i="14" s="1"/>
  <c r="O43" i="14"/>
  <c r="V43" i="14" s="1"/>
  <c r="O42" i="14"/>
  <c r="R42" i="14" s="1"/>
  <c r="O41" i="14"/>
  <c r="V41" i="14" s="1"/>
  <c r="O40" i="14"/>
  <c r="Y40" i="14" s="1"/>
  <c r="O39" i="14"/>
  <c r="V39" i="14" s="1"/>
  <c r="O38" i="14"/>
  <c r="S38" i="14" s="1"/>
  <c r="O37" i="14"/>
  <c r="V37" i="14" s="1"/>
  <c r="O36" i="14"/>
  <c r="Y36" i="14" s="1"/>
  <c r="O35" i="14"/>
  <c r="V35" i="14" s="1"/>
  <c r="O34" i="14"/>
  <c r="R34" i="14" s="1"/>
  <c r="O33" i="14"/>
  <c r="W33" i="14" s="1"/>
  <c r="O32" i="14"/>
  <c r="Y32" i="14" s="1"/>
  <c r="O31" i="14"/>
  <c r="W31" i="14" s="1"/>
  <c r="O30" i="14"/>
  <c r="R30" i="14" s="1"/>
  <c r="O29" i="14"/>
  <c r="R29" i="14" s="1"/>
  <c r="O28" i="14"/>
  <c r="Y28" i="14" s="1"/>
  <c r="O27" i="14"/>
  <c r="W27" i="14" s="1"/>
  <c r="O26" i="14"/>
  <c r="R26" i="14" s="1"/>
  <c r="O25" i="14"/>
  <c r="W25" i="14" s="1"/>
  <c r="O24" i="14"/>
  <c r="O23" i="14"/>
  <c r="S23" i="14" s="1"/>
  <c r="O22" i="14"/>
  <c r="U22" i="14" s="1"/>
  <c r="O21" i="14"/>
  <c r="O20" i="14"/>
  <c r="O19" i="14"/>
  <c r="Z19" i="14" s="1"/>
  <c r="O18" i="14"/>
  <c r="Z18" i="14" s="1"/>
  <c r="O17" i="14"/>
  <c r="U17" i="14" s="1"/>
  <c r="O16" i="14"/>
  <c r="Y16" i="14" s="1"/>
  <c r="O15" i="14"/>
  <c r="Z15" i="14" s="1"/>
  <c r="O14" i="14"/>
  <c r="Z14" i="14" s="1"/>
  <c r="O13" i="14"/>
  <c r="O12" i="14"/>
  <c r="O11" i="14"/>
  <c r="O10" i="14"/>
  <c r="W10" i="14" s="1"/>
  <c r="O9" i="14"/>
  <c r="W9" i="14" s="1"/>
  <c r="O8" i="14"/>
  <c r="O7" i="14"/>
  <c r="Z7" i="14" s="1"/>
  <c r="O6" i="14"/>
  <c r="Z6" i="14" s="1"/>
  <c r="Y97" i="14"/>
  <c r="Y93" i="14"/>
  <c r="R81" i="14"/>
  <c r="Y69" i="14"/>
  <c r="Y61" i="14"/>
  <c r="X60" i="14"/>
  <c r="Z59" i="14"/>
  <c r="V58" i="14"/>
  <c r="Y57" i="14"/>
  <c r="X56" i="14"/>
  <c r="Y49" i="14"/>
  <c r="X49" i="14"/>
  <c r="R45" i="14"/>
  <c r="W45" i="14"/>
  <c r="Y42" i="14"/>
  <c r="R41" i="14"/>
  <c r="W41" i="14"/>
  <c r="R37" i="14"/>
  <c r="W37" i="14"/>
  <c r="Y34" i="14"/>
  <c r="V33" i="14"/>
  <c r="R33" i="14"/>
  <c r="V29" i="14"/>
  <c r="V25" i="14"/>
  <c r="R25" i="14"/>
  <c r="U13" i="14"/>
  <c r="Z11" i="14"/>
  <c r="Y30" i="14" l="1"/>
  <c r="Y120" i="14"/>
  <c r="R120" i="14"/>
  <c r="R116" i="14"/>
  <c r="V113" i="14"/>
  <c r="W118" i="14"/>
  <c r="Y38" i="14"/>
  <c r="R50" i="14"/>
  <c r="X74" i="14"/>
  <c r="R104" i="14"/>
  <c r="V120" i="14"/>
  <c r="Y119" i="14"/>
  <c r="R118" i="14"/>
  <c r="U104" i="14"/>
  <c r="U125" i="14"/>
  <c r="W29" i="14"/>
  <c r="Y125" i="14"/>
  <c r="S125" i="14"/>
  <c r="U114" i="14"/>
  <c r="Z111" i="14"/>
  <c r="W110" i="14"/>
  <c r="X72" i="14"/>
  <c r="Z125" i="14"/>
  <c r="Z114" i="14"/>
  <c r="Y110" i="14"/>
  <c r="W125" i="14"/>
  <c r="R123" i="14"/>
  <c r="Z120" i="14"/>
  <c r="R114" i="14"/>
  <c r="V110" i="14"/>
  <c r="R112" i="14"/>
  <c r="W112" i="14"/>
  <c r="U116" i="14"/>
  <c r="Z116" i="14"/>
  <c r="S115" i="14"/>
  <c r="Z115" i="14"/>
  <c r="V112" i="14"/>
  <c r="R111" i="14"/>
  <c r="V111" i="14"/>
  <c r="W23" i="14"/>
  <c r="Y26" i="14"/>
  <c r="T60" i="14"/>
  <c r="V116" i="14"/>
  <c r="Y115" i="14"/>
  <c r="R113" i="14"/>
  <c r="Y113" i="14"/>
  <c r="U112" i="14"/>
  <c r="Y111" i="14"/>
  <c r="W123" i="14"/>
  <c r="V119" i="14"/>
  <c r="S119" i="14"/>
  <c r="V118" i="14"/>
  <c r="U118" i="14"/>
  <c r="V117" i="14"/>
  <c r="W117" i="14"/>
  <c r="S116" i="14"/>
  <c r="V115" i="14"/>
  <c r="W114" i="14"/>
  <c r="W113" i="14"/>
  <c r="Z112" i="14"/>
  <c r="S112" i="14"/>
  <c r="U111" i="14"/>
  <c r="T110" i="14"/>
  <c r="U110" i="14"/>
  <c r="Z110" i="14"/>
  <c r="T122" i="14"/>
  <c r="S122" i="14"/>
  <c r="X122" i="14"/>
  <c r="V122" i="14"/>
  <c r="U122" i="14"/>
  <c r="Z122" i="14"/>
  <c r="Y122" i="14"/>
  <c r="W122" i="14"/>
  <c r="R122" i="14"/>
  <c r="T121" i="14"/>
  <c r="X121" i="14"/>
  <c r="U121" i="14"/>
  <c r="Z121" i="14"/>
  <c r="V121" i="14"/>
  <c r="S121" i="14"/>
  <c r="Y121" i="14"/>
  <c r="W121" i="14"/>
  <c r="R121" i="14"/>
  <c r="T124" i="14"/>
  <c r="X124" i="14"/>
  <c r="S124" i="14"/>
  <c r="Y124" i="14"/>
  <c r="R124" i="14"/>
  <c r="W124" i="14"/>
  <c r="V124" i="14"/>
  <c r="U124" i="14"/>
  <c r="T123" i="14"/>
  <c r="X123" i="14"/>
  <c r="U123" i="14"/>
  <c r="Z123" i="14"/>
  <c r="S123" i="14"/>
  <c r="Y123" i="14"/>
  <c r="T125" i="14"/>
  <c r="X125" i="14"/>
  <c r="T115" i="14"/>
  <c r="X115" i="14"/>
  <c r="R115" i="14"/>
  <c r="W115" i="14"/>
  <c r="T114" i="14"/>
  <c r="X114" i="14"/>
  <c r="S114" i="14"/>
  <c r="Y114" i="14"/>
  <c r="T113" i="14"/>
  <c r="X113" i="14"/>
  <c r="U113" i="14"/>
  <c r="Z113" i="14"/>
  <c r="T119" i="14"/>
  <c r="X119" i="14"/>
  <c r="R119" i="14"/>
  <c r="W119" i="14"/>
  <c r="T118" i="14"/>
  <c r="X118" i="14"/>
  <c r="S118" i="14"/>
  <c r="Y118" i="14"/>
  <c r="T117" i="14"/>
  <c r="X117" i="14"/>
  <c r="U117" i="14"/>
  <c r="Z117" i="14"/>
  <c r="T120" i="14"/>
  <c r="X120" i="14"/>
  <c r="T116" i="14"/>
  <c r="X116" i="14"/>
  <c r="T112" i="14"/>
  <c r="X112" i="14"/>
  <c r="W111" i="14"/>
  <c r="T111" i="14"/>
  <c r="X111" i="14"/>
  <c r="X110" i="14"/>
  <c r="R38" i="14"/>
  <c r="V50" i="14"/>
  <c r="Z23" i="14"/>
  <c r="S26" i="14"/>
  <c r="S30" i="14"/>
  <c r="S34" i="14"/>
  <c r="S42" i="14"/>
  <c r="V63" i="14"/>
  <c r="V102" i="14"/>
  <c r="S28" i="14"/>
  <c r="S44" i="14"/>
  <c r="T69" i="14"/>
  <c r="V92" i="14"/>
  <c r="V26" i="14"/>
  <c r="V28" i="14"/>
  <c r="V30" i="14"/>
  <c r="V32" i="14"/>
  <c r="V34" i="14"/>
  <c r="V36" i="14"/>
  <c r="V38" i="14"/>
  <c r="V40" i="14"/>
  <c r="V42" i="14"/>
  <c r="V44" i="14"/>
  <c r="U48" i="14"/>
  <c r="U64" i="14"/>
  <c r="X66" i="14"/>
  <c r="X68" i="14"/>
  <c r="X69" i="14"/>
  <c r="R76" i="14"/>
  <c r="V86" i="14"/>
  <c r="S32" i="14"/>
  <c r="S36" i="14"/>
  <c r="S40" i="14"/>
  <c r="R68" i="14"/>
  <c r="U76" i="14"/>
  <c r="U10" i="14"/>
  <c r="Z13" i="14"/>
  <c r="W39" i="14"/>
  <c r="W43" i="14"/>
  <c r="Y64" i="14"/>
  <c r="R84" i="14"/>
  <c r="R89" i="14"/>
  <c r="R96" i="14"/>
  <c r="U6" i="14"/>
  <c r="Z9" i="14"/>
  <c r="U14" i="14"/>
  <c r="Z17" i="14"/>
  <c r="R23" i="14"/>
  <c r="Z26" i="14"/>
  <c r="R28" i="14"/>
  <c r="Z30" i="14"/>
  <c r="R32" i="14"/>
  <c r="Z34" i="14"/>
  <c r="R36" i="14"/>
  <c r="Z38" i="14"/>
  <c r="R40" i="14"/>
  <c r="Z42" i="14"/>
  <c r="R44" i="14"/>
  <c r="T48" i="14"/>
  <c r="R60" i="14"/>
  <c r="Z60" i="14"/>
  <c r="U63" i="14"/>
  <c r="T64" i="14"/>
  <c r="V66" i="14"/>
  <c r="T72" i="14"/>
  <c r="V74" i="14"/>
  <c r="U80" i="14"/>
  <c r="Z84" i="14"/>
  <c r="U86" i="14"/>
  <c r="Z89" i="14"/>
  <c r="V90" i="14"/>
  <c r="U92" i="14"/>
  <c r="Z96" i="14"/>
  <c r="V100" i="14"/>
  <c r="U102" i="14"/>
  <c r="U18" i="14"/>
  <c r="W35" i="14"/>
  <c r="Y48" i="14"/>
  <c r="Y72" i="14"/>
  <c r="R90" i="14"/>
  <c r="R97" i="14"/>
  <c r="Z28" i="14"/>
  <c r="Z32" i="14"/>
  <c r="Z36" i="14"/>
  <c r="Z40" i="14"/>
  <c r="Z44" i="14"/>
  <c r="R48" i="14"/>
  <c r="Z48" i="14"/>
  <c r="Y60" i="14"/>
  <c r="R64" i="14"/>
  <c r="Z64" i="14"/>
  <c r="R72" i="14"/>
  <c r="Z72" i="14"/>
  <c r="R80" i="14"/>
  <c r="V84" i="14"/>
  <c r="R86" i="14"/>
  <c r="U90" i="14"/>
  <c r="R92" i="14"/>
  <c r="U96" i="14"/>
  <c r="Z97" i="14"/>
  <c r="R100" i="14"/>
  <c r="R102" i="14"/>
  <c r="Y22" i="14"/>
  <c r="Z52" i="14"/>
  <c r="T52" i="14"/>
  <c r="Y56" i="14"/>
  <c r="Z91" i="14"/>
  <c r="Y91" i="14"/>
  <c r="R91" i="14"/>
  <c r="U98" i="14"/>
  <c r="V98" i="14"/>
  <c r="R98" i="14"/>
  <c r="Y105" i="14"/>
  <c r="S105" i="14"/>
  <c r="U105" i="14"/>
  <c r="T105" i="14"/>
  <c r="W6" i="14"/>
  <c r="R7" i="14"/>
  <c r="R11" i="14"/>
  <c r="W14" i="14"/>
  <c r="R15" i="14"/>
  <c r="W18" i="14"/>
  <c r="Z22" i="14"/>
  <c r="Y27" i="14"/>
  <c r="S27" i="14"/>
  <c r="Y31" i="14"/>
  <c r="S31" i="14"/>
  <c r="Z35" i="14"/>
  <c r="Z39" i="14"/>
  <c r="Z43" i="14"/>
  <c r="R52" i="14"/>
  <c r="Z53" i="14"/>
  <c r="X53" i="14"/>
  <c r="R56" i="14"/>
  <c r="Z57" i="14"/>
  <c r="X57" i="14"/>
  <c r="T61" i="14"/>
  <c r="Z79" i="14"/>
  <c r="U79" i="14"/>
  <c r="V79" i="14"/>
  <c r="Z83" i="14"/>
  <c r="R83" i="14"/>
  <c r="R6" i="14"/>
  <c r="Y6" i="14"/>
  <c r="S7" i="14"/>
  <c r="R10" i="14"/>
  <c r="Y10" i="14"/>
  <c r="S11" i="14"/>
  <c r="R14" i="14"/>
  <c r="Y14" i="14"/>
  <c r="R18" i="14"/>
  <c r="Y18" i="14"/>
  <c r="S19" i="14"/>
  <c r="W21" i="14"/>
  <c r="Z21" i="14"/>
  <c r="S22" i="14"/>
  <c r="R27" i="14"/>
  <c r="R31" i="14"/>
  <c r="R35" i="14"/>
  <c r="R39" i="14"/>
  <c r="R43" i="14"/>
  <c r="U47" i="14"/>
  <c r="Z49" i="14"/>
  <c r="R49" i="14"/>
  <c r="R53" i="14"/>
  <c r="Z55" i="14"/>
  <c r="U55" i="14"/>
  <c r="U56" i="14"/>
  <c r="R57" i="14"/>
  <c r="R58" i="14"/>
  <c r="X61" i="14"/>
  <c r="Z65" i="14"/>
  <c r="T65" i="14"/>
  <c r="R65" i="14"/>
  <c r="Z77" i="14"/>
  <c r="X77" i="14"/>
  <c r="Y77" i="14"/>
  <c r="T77" i="14"/>
  <c r="R88" i="14"/>
  <c r="V88" i="14"/>
  <c r="U88" i="14"/>
  <c r="U94" i="14"/>
  <c r="V94" i="14"/>
  <c r="R94" i="14"/>
  <c r="Z99" i="14"/>
  <c r="R99" i="14"/>
  <c r="Y99" i="14"/>
  <c r="U106" i="14"/>
  <c r="X106" i="14"/>
  <c r="T106" i="14"/>
  <c r="S106" i="14"/>
  <c r="Y109" i="14"/>
  <c r="S109" i="14"/>
  <c r="U109" i="14"/>
  <c r="T109" i="14"/>
  <c r="S6" i="14"/>
  <c r="W7" i="14"/>
  <c r="U9" i="14"/>
  <c r="S10" i="14"/>
  <c r="Z10" i="14"/>
  <c r="W11" i="14"/>
  <c r="S14" i="14"/>
  <c r="W15" i="14"/>
  <c r="S18" i="14"/>
  <c r="W19" i="14"/>
  <c r="U21" i="14"/>
  <c r="W22" i="14"/>
  <c r="Y25" i="14"/>
  <c r="S25" i="14"/>
  <c r="Z25" i="14"/>
  <c r="V27" i="14"/>
  <c r="Y29" i="14"/>
  <c r="S29" i="14"/>
  <c r="Z29" i="14"/>
  <c r="V31" i="14"/>
  <c r="Y33" i="14"/>
  <c r="S33" i="14"/>
  <c r="Z33" i="14"/>
  <c r="Y37" i="14"/>
  <c r="S37" i="14"/>
  <c r="Z37" i="14"/>
  <c r="Y41" i="14"/>
  <c r="S41" i="14"/>
  <c r="Z41" i="14"/>
  <c r="Y45" i="14"/>
  <c r="S45" i="14"/>
  <c r="Z45" i="14"/>
  <c r="V47" i="14"/>
  <c r="T49" i="14"/>
  <c r="X52" i="14"/>
  <c r="T53" i="14"/>
  <c r="V55" i="14"/>
  <c r="T57" i="14"/>
  <c r="X58" i="14"/>
  <c r="X65" i="14"/>
  <c r="U68" i="14"/>
  <c r="Z68" i="14"/>
  <c r="T68" i="14"/>
  <c r="Z71" i="14"/>
  <c r="V71" i="14"/>
  <c r="Z73" i="14"/>
  <c r="R73" i="14"/>
  <c r="X73" i="14"/>
  <c r="T73" i="14"/>
  <c r="R77" i="14"/>
  <c r="U82" i="14"/>
  <c r="Z82" i="14"/>
  <c r="V82" i="14"/>
  <c r="Z88" i="14"/>
  <c r="Z94" i="14"/>
  <c r="Y106" i="14"/>
  <c r="X109" i="14"/>
  <c r="Y7" i="14"/>
  <c r="Y11" i="14"/>
  <c r="Y15" i="14"/>
  <c r="Y19" i="14"/>
  <c r="Y52" i="14"/>
  <c r="Z56" i="14"/>
  <c r="T56" i="14"/>
  <c r="Z61" i="14"/>
  <c r="R61" i="14"/>
  <c r="W107" i="14"/>
  <c r="X107" i="14"/>
  <c r="S107" i="14"/>
  <c r="R19" i="14"/>
  <c r="R22" i="14"/>
  <c r="Z27" i="14"/>
  <c r="Z31" i="14"/>
  <c r="Y35" i="14"/>
  <c r="S35" i="14"/>
  <c r="Y39" i="14"/>
  <c r="S39" i="14"/>
  <c r="Y43" i="14"/>
  <c r="S43" i="14"/>
  <c r="Z81" i="14"/>
  <c r="X81" i="14"/>
  <c r="Y81" i="14"/>
  <c r="T81" i="14"/>
  <c r="Z98" i="14"/>
  <c r="X105" i="14"/>
  <c r="S15" i="14"/>
  <c r="U52" i="14"/>
  <c r="Y83" i="14"/>
  <c r="Y23" i="14"/>
  <c r="W26" i="14"/>
  <c r="W28" i="14"/>
  <c r="W30" i="14"/>
  <c r="W32" i="14"/>
  <c r="W34" i="14"/>
  <c r="W36" i="14"/>
  <c r="W38" i="14"/>
  <c r="W40" i="14"/>
  <c r="W42" i="14"/>
  <c r="W44" i="14"/>
  <c r="Z100" i="14"/>
  <c r="Z69" i="14"/>
  <c r="R69" i="14"/>
  <c r="Z76" i="14"/>
  <c r="T76" i="14"/>
  <c r="Y76" i="14"/>
  <c r="Z80" i="14"/>
  <c r="T80" i="14"/>
  <c r="Y80" i="14"/>
  <c r="X8" i="14"/>
  <c r="T8" i="14"/>
  <c r="X12" i="14"/>
  <c r="T12" i="14"/>
  <c r="V16" i="14"/>
  <c r="X20" i="14"/>
  <c r="T20" i="14"/>
  <c r="V20" i="14"/>
  <c r="Y24" i="14"/>
  <c r="U24" i="14"/>
  <c r="X24" i="14"/>
  <c r="T24" i="14"/>
  <c r="W46" i="14"/>
  <c r="S46" i="14"/>
  <c r="Z46" i="14"/>
  <c r="U46" i="14"/>
  <c r="Y46" i="14"/>
  <c r="T46" i="14"/>
  <c r="W62" i="14"/>
  <c r="S62" i="14"/>
  <c r="Z62" i="14"/>
  <c r="U62" i="14"/>
  <c r="Y62" i="14"/>
  <c r="T62" i="14"/>
  <c r="W78" i="14"/>
  <c r="S78" i="14"/>
  <c r="Z78" i="14"/>
  <c r="U78" i="14"/>
  <c r="Y78" i="14"/>
  <c r="T78" i="14"/>
  <c r="X85" i="14"/>
  <c r="T85" i="14"/>
  <c r="W85" i="14"/>
  <c r="S85" i="14"/>
  <c r="V85" i="14"/>
  <c r="U85" i="14"/>
  <c r="W8" i="14"/>
  <c r="V9" i="14"/>
  <c r="R12" i="14"/>
  <c r="W12" i="14"/>
  <c r="X13" i="14"/>
  <c r="T13" i="14"/>
  <c r="V13" i="14"/>
  <c r="W16" i="14"/>
  <c r="X17" i="14"/>
  <c r="T17" i="14"/>
  <c r="W20" i="14"/>
  <c r="V21" i="14"/>
  <c r="R24" i="14"/>
  <c r="Z24" i="14"/>
  <c r="R46" i="14"/>
  <c r="W51" i="14"/>
  <c r="S51" i="14"/>
  <c r="Y51" i="14"/>
  <c r="T51" i="14"/>
  <c r="X51" i="14"/>
  <c r="R51" i="14"/>
  <c r="R54" i="14"/>
  <c r="W59" i="14"/>
  <c r="S59" i="14"/>
  <c r="Y59" i="14"/>
  <c r="T59" i="14"/>
  <c r="X59" i="14"/>
  <c r="R59" i="14"/>
  <c r="R62" i="14"/>
  <c r="W67" i="14"/>
  <c r="S67" i="14"/>
  <c r="Y67" i="14"/>
  <c r="T67" i="14"/>
  <c r="X67" i="14"/>
  <c r="R67" i="14"/>
  <c r="R70" i="14"/>
  <c r="W75" i="14"/>
  <c r="S75" i="14"/>
  <c r="Y75" i="14"/>
  <c r="T75" i="14"/>
  <c r="X75" i="14"/>
  <c r="R75" i="14"/>
  <c r="R78" i="14"/>
  <c r="R85" i="14"/>
  <c r="X87" i="14"/>
  <c r="T87" i="14"/>
  <c r="W87" i="14"/>
  <c r="S87" i="14"/>
  <c r="V87" i="14"/>
  <c r="U87" i="14"/>
  <c r="R93" i="14"/>
  <c r="X95" i="14"/>
  <c r="T95" i="14"/>
  <c r="W95" i="14"/>
  <c r="S95" i="14"/>
  <c r="V95" i="14"/>
  <c r="U95" i="14"/>
  <c r="R101" i="14"/>
  <c r="X103" i="14"/>
  <c r="T103" i="14"/>
  <c r="W103" i="14"/>
  <c r="S103" i="14"/>
  <c r="V103" i="14"/>
  <c r="U103" i="14"/>
  <c r="X6" i="14"/>
  <c r="T6" i="14"/>
  <c r="V6" i="14"/>
  <c r="U7" i="14"/>
  <c r="S8" i="14"/>
  <c r="Y8" i="14"/>
  <c r="R9" i="14"/>
  <c r="X10" i="14"/>
  <c r="T10" i="14"/>
  <c r="V10" i="14"/>
  <c r="U11" i="14"/>
  <c r="S12" i="14"/>
  <c r="Y12" i="14"/>
  <c r="R13" i="14"/>
  <c r="W13" i="14"/>
  <c r="X14" i="14"/>
  <c r="T14" i="14"/>
  <c r="V14" i="14"/>
  <c r="U15" i="14"/>
  <c r="S16" i="14"/>
  <c r="R17" i="14"/>
  <c r="W17" i="14"/>
  <c r="X18" i="14"/>
  <c r="T18" i="14"/>
  <c r="V18" i="14"/>
  <c r="U19" i="14"/>
  <c r="S20" i="14"/>
  <c r="Y20" i="14"/>
  <c r="R21" i="14"/>
  <c r="X22" i="14"/>
  <c r="T22" i="14"/>
  <c r="V22" i="14"/>
  <c r="U23" i="14"/>
  <c r="S24" i="14"/>
  <c r="V46" i="14"/>
  <c r="W50" i="14"/>
  <c r="S50" i="14"/>
  <c r="Z50" i="14"/>
  <c r="U50" i="14"/>
  <c r="Y50" i="14"/>
  <c r="T50" i="14"/>
  <c r="U51" i="14"/>
  <c r="W58" i="14"/>
  <c r="S58" i="14"/>
  <c r="Z58" i="14"/>
  <c r="U58" i="14"/>
  <c r="Y58" i="14"/>
  <c r="T58" i="14"/>
  <c r="U59" i="14"/>
  <c r="V62" i="14"/>
  <c r="W66" i="14"/>
  <c r="S66" i="14"/>
  <c r="Z66" i="14"/>
  <c r="U66" i="14"/>
  <c r="Y66" i="14"/>
  <c r="T66" i="14"/>
  <c r="U67" i="14"/>
  <c r="W74" i="14"/>
  <c r="S74" i="14"/>
  <c r="Z74" i="14"/>
  <c r="U74" i="14"/>
  <c r="Y74" i="14"/>
  <c r="T74" i="14"/>
  <c r="U75" i="14"/>
  <c r="V78" i="14"/>
  <c r="Y85" i="14"/>
  <c r="R87" i="14"/>
  <c r="X89" i="14"/>
  <c r="T89" i="14"/>
  <c r="W89" i="14"/>
  <c r="S89" i="14"/>
  <c r="V89" i="14"/>
  <c r="U89" i="14"/>
  <c r="R95" i="14"/>
  <c r="X97" i="14"/>
  <c r="T97" i="14"/>
  <c r="W97" i="14"/>
  <c r="S97" i="14"/>
  <c r="V97" i="14"/>
  <c r="U97" i="14"/>
  <c r="R103" i="14"/>
  <c r="V8" i="14"/>
  <c r="V12" i="14"/>
  <c r="X16" i="14"/>
  <c r="T16" i="14"/>
  <c r="W24" i="14"/>
  <c r="W54" i="14"/>
  <c r="S54" i="14"/>
  <c r="Z54" i="14"/>
  <c r="U54" i="14"/>
  <c r="Y54" i="14"/>
  <c r="T54" i="14"/>
  <c r="W70" i="14"/>
  <c r="S70" i="14"/>
  <c r="Z70" i="14"/>
  <c r="U70" i="14"/>
  <c r="Y70" i="14"/>
  <c r="T70" i="14"/>
  <c r="X93" i="14"/>
  <c r="T93" i="14"/>
  <c r="W93" i="14"/>
  <c r="S93" i="14"/>
  <c r="V93" i="14"/>
  <c r="U93" i="14"/>
  <c r="X101" i="14"/>
  <c r="T101" i="14"/>
  <c r="W101" i="14"/>
  <c r="S101" i="14"/>
  <c r="V101" i="14"/>
  <c r="U101" i="14"/>
  <c r="R8" i="14"/>
  <c r="X9" i="14"/>
  <c r="T9" i="14"/>
  <c r="R16" i="14"/>
  <c r="V17" i="14"/>
  <c r="R20" i="14"/>
  <c r="X21" i="14"/>
  <c r="T21" i="14"/>
  <c r="X7" i="14"/>
  <c r="T7" i="14"/>
  <c r="V7" i="14"/>
  <c r="U8" i="14"/>
  <c r="Z8" i="14"/>
  <c r="S9" i="14"/>
  <c r="Y9" i="14"/>
  <c r="X11" i="14"/>
  <c r="T11" i="14"/>
  <c r="V11" i="14"/>
  <c r="U12" i="14"/>
  <c r="Z12" i="14"/>
  <c r="S13" i="14"/>
  <c r="Y13" i="14"/>
  <c r="X15" i="14"/>
  <c r="T15" i="14"/>
  <c r="V15" i="14"/>
  <c r="U16" i="14"/>
  <c r="Z16" i="14"/>
  <c r="S17" i="14"/>
  <c r="Y17" i="14"/>
  <c r="X19" i="14"/>
  <c r="T19" i="14"/>
  <c r="V19" i="14"/>
  <c r="U20" i="14"/>
  <c r="Z20" i="14"/>
  <c r="S21" i="14"/>
  <c r="Y21" i="14"/>
  <c r="X23" i="14"/>
  <c r="T23" i="14"/>
  <c r="V23" i="14"/>
  <c r="V24" i="14"/>
  <c r="X46" i="14"/>
  <c r="W47" i="14"/>
  <c r="S47" i="14"/>
  <c r="Y47" i="14"/>
  <c r="T47" i="14"/>
  <c r="X47" i="14"/>
  <c r="R47" i="14"/>
  <c r="V51" i="14"/>
  <c r="X54" i="14"/>
  <c r="W55" i="14"/>
  <c r="S55" i="14"/>
  <c r="Y55" i="14"/>
  <c r="T55" i="14"/>
  <c r="X55" i="14"/>
  <c r="R55" i="14"/>
  <c r="V59" i="14"/>
  <c r="X62" i="14"/>
  <c r="W63" i="14"/>
  <c r="S63" i="14"/>
  <c r="Y63" i="14"/>
  <c r="T63" i="14"/>
  <c r="X63" i="14"/>
  <c r="R63" i="14"/>
  <c r="V67" i="14"/>
  <c r="X70" i="14"/>
  <c r="W71" i="14"/>
  <c r="S71" i="14"/>
  <c r="Y71" i="14"/>
  <c r="T71" i="14"/>
  <c r="X71" i="14"/>
  <c r="R71" i="14"/>
  <c r="V75" i="14"/>
  <c r="X78" i="14"/>
  <c r="W79" i="14"/>
  <c r="S79" i="14"/>
  <c r="Y79" i="14"/>
  <c r="T79" i="14"/>
  <c r="X79" i="14"/>
  <c r="R79" i="14"/>
  <c r="X83" i="14"/>
  <c r="T83" i="14"/>
  <c r="W83" i="14"/>
  <c r="S83" i="14"/>
  <c r="V83" i="14"/>
  <c r="U83" i="14"/>
  <c r="Z85" i="14"/>
  <c r="Y87" i="14"/>
  <c r="X91" i="14"/>
  <c r="T91" i="14"/>
  <c r="W91" i="14"/>
  <c r="S91" i="14"/>
  <c r="V91" i="14"/>
  <c r="U91" i="14"/>
  <c r="Z93" i="14"/>
  <c r="Y95" i="14"/>
  <c r="X99" i="14"/>
  <c r="T99" i="14"/>
  <c r="W99" i="14"/>
  <c r="S99" i="14"/>
  <c r="V99" i="14"/>
  <c r="U99" i="14"/>
  <c r="Z101" i="14"/>
  <c r="Y103" i="14"/>
  <c r="Z108" i="14"/>
  <c r="V108" i="14"/>
  <c r="R108" i="14"/>
  <c r="Y108" i="14"/>
  <c r="T108" i="14"/>
  <c r="X108" i="14"/>
  <c r="S108" i="14"/>
  <c r="W108" i="14"/>
  <c r="U108" i="14"/>
  <c r="T25" i="14"/>
  <c r="X25" i="14"/>
  <c r="T26" i="14"/>
  <c r="X26" i="14"/>
  <c r="T27" i="14"/>
  <c r="X27" i="14"/>
  <c r="T28" i="14"/>
  <c r="X28" i="14"/>
  <c r="T29" i="14"/>
  <c r="X29" i="14"/>
  <c r="T30" i="14"/>
  <c r="X30" i="14"/>
  <c r="T31" i="14"/>
  <c r="X31" i="14"/>
  <c r="T32" i="14"/>
  <c r="X32" i="14"/>
  <c r="T33" i="14"/>
  <c r="X33" i="14"/>
  <c r="T34" i="14"/>
  <c r="X34" i="14"/>
  <c r="T35" i="14"/>
  <c r="X35" i="14"/>
  <c r="T36" i="14"/>
  <c r="X36" i="14"/>
  <c r="T37" i="14"/>
  <c r="X37" i="14"/>
  <c r="T38" i="14"/>
  <c r="X38" i="14"/>
  <c r="T39" i="14"/>
  <c r="X39" i="14"/>
  <c r="T40" i="14"/>
  <c r="X40" i="14"/>
  <c r="T41" i="14"/>
  <c r="X41" i="14"/>
  <c r="T42" i="14"/>
  <c r="X42" i="14"/>
  <c r="T43" i="14"/>
  <c r="X43" i="14"/>
  <c r="T44" i="14"/>
  <c r="X44" i="14"/>
  <c r="T45" i="14"/>
  <c r="X45" i="14"/>
  <c r="W48" i="14"/>
  <c r="S48" i="14"/>
  <c r="V48" i="14"/>
  <c r="U49" i="14"/>
  <c r="W52" i="14"/>
  <c r="S52" i="14"/>
  <c r="V52" i="14"/>
  <c r="U53" i="14"/>
  <c r="W56" i="14"/>
  <c r="S56" i="14"/>
  <c r="V56" i="14"/>
  <c r="U57" i="14"/>
  <c r="W60" i="14"/>
  <c r="S60" i="14"/>
  <c r="V60" i="14"/>
  <c r="U61" i="14"/>
  <c r="W64" i="14"/>
  <c r="S64" i="14"/>
  <c r="V64" i="14"/>
  <c r="U65" i="14"/>
  <c r="W68" i="14"/>
  <c r="S68" i="14"/>
  <c r="V68" i="14"/>
  <c r="U69" i="14"/>
  <c r="W72" i="14"/>
  <c r="S72" i="14"/>
  <c r="V72" i="14"/>
  <c r="U73" i="14"/>
  <c r="W76" i="14"/>
  <c r="S76" i="14"/>
  <c r="V76" i="14"/>
  <c r="U77" i="14"/>
  <c r="W80" i="14"/>
  <c r="S80" i="14"/>
  <c r="V80" i="14"/>
  <c r="U81" i="14"/>
  <c r="X82" i="14"/>
  <c r="T82" i="14"/>
  <c r="W82" i="14"/>
  <c r="S82" i="14"/>
  <c r="Y82" i="14"/>
  <c r="X84" i="14"/>
  <c r="T84" i="14"/>
  <c r="W84" i="14"/>
  <c r="S84" i="14"/>
  <c r="Y84" i="14"/>
  <c r="X86" i="14"/>
  <c r="T86" i="14"/>
  <c r="W86" i="14"/>
  <c r="S86" i="14"/>
  <c r="Y86" i="14"/>
  <c r="X88" i="14"/>
  <c r="T88" i="14"/>
  <c r="W88" i="14"/>
  <c r="S88" i="14"/>
  <c r="Y88" i="14"/>
  <c r="X90" i="14"/>
  <c r="T90" i="14"/>
  <c r="W90" i="14"/>
  <c r="S90" i="14"/>
  <c r="Y90" i="14"/>
  <c r="X92" i="14"/>
  <c r="T92" i="14"/>
  <c r="W92" i="14"/>
  <c r="S92" i="14"/>
  <c r="Y92" i="14"/>
  <c r="X94" i="14"/>
  <c r="T94" i="14"/>
  <c r="W94" i="14"/>
  <c r="S94" i="14"/>
  <c r="Y94" i="14"/>
  <c r="X96" i="14"/>
  <c r="T96" i="14"/>
  <c r="W96" i="14"/>
  <c r="S96" i="14"/>
  <c r="Y96" i="14"/>
  <c r="X98" i="14"/>
  <c r="T98" i="14"/>
  <c r="W98" i="14"/>
  <c r="S98" i="14"/>
  <c r="Y98" i="14"/>
  <c r="X100" i="14"/>
  <c r="T100" i="14"/>
  <c r="W100" i="14"/>
  <c r="S100" i="14"/>
  <c r="Y100" i="14"/>
  <c r="X102" i="14"/>
  <c r="T102" i="14"/>
  <c r="W102" i="14"/>
  <c r="S102" i="14"/>
  <c r="Y102" i="14"/>
  <c r="Z104" i="14"/>
  <c r="V104" i="14"/>
  <c r="Y104" i="14"/>
  <c r="T104" i="14"/>
  <c r="X104" i="14"/>
  <c r="S104" i="14"/>
  <c r="Z107" i="14"/>
  <c r="V107" i="14"/>
  <c r="R107" i="14"/>
  <c r="U107" i="14"/>
  <c r="Y107" i="14"/>
  <c r="T107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W49" i="14"/>
  <c r="S49" i="14"/>
  <c r="V49" i="14"/>
  <c r="W53" i="14"/>
  <c r="S53" i="14"/>
  <c r="V53" i="14"/>
  <c r="W57" i="14"/>
  <c r="S57" i="14"/>
  <c r="V57" i="14"/>
  <c r="W61" i="14"/>
  <c r="S61" i="14"/>
  <c r="V61" i="14"/>
  <c r="W65" i="14"/>
  <c r="S65" i="14"/>
  <c r="V65" i="14"/>
  <c r="W69" i="14"/>
  <c r="S69" i="14"/>
  <c r="V69" i="14"/>
  <c r="W73" i="14"/>
  <c r="S73" i="14"/>
  <c r="V73" i="14"/>
  <c r="W77" i="14"/>
  <c r="S77" i="14"/>
  <c r="V77" i="14"/>
  <c r="W81" i="14"/>
  <c r="S81" i="14"/>
  <c r="V81" i="14"/>
  <c r="Z105" i="14"/>
  <c r="V105" i="14"/>
  <c r="R105" i="14"/>
  <c r="W105" i="14"/>
  <c r="Z109" i="14"/>
  <c r="V109" i="14"/>
  <c r="R109" i="14"/>
  <c r="W109" i="14"/>
  <c r="Z106" i="14"/>
  <c r="V106" i="14"/>
  <c r="R106" i="14"/>
  <c r="W106" i="14"/>
  <c r="K15" i="18"/>
  <c r="L15" i="18"/>
  <c r="L13" i="18"/>
  <c r="L12" i="18"/>
  <c r="L11" i="18"/>
  <c r="L10" i="18"/>
  <c r="L9" i="18"/>
  <c r="L8" i="18"/>
  <c r="L7" i="18"/>
  <c r="L6" i="18"/>
  <c r="L5" i="18"/>
  <c r="K5" i="18"/>
  <c r="BA76" i="13"/>
  <c r="AZ76" i="13"/>
  <c r="AY76" i="13"/>
  <c r="AX76" i="13"/>
  <c r="AW76" i="13"/>
  <c r="AV76" i="13"/>
  <c r="AU76" i="13"/>
  <c r="AT76" i="13"/>
  <c r="AS76" i="13"/>
  <c r="AR76" i="13"/>
  <c r="BA75" i="13"/>
  <c r="AZ75" i="13"/>
  <c r="AY75" i="13"/>
  <c r="AX75" i="13"/>
  <c r="AW75" i="13"/>
  <c r="AV75" i="13"/>
  <c r="AU75" i="13"/>
  <c r="AT75" i="13"/>
  <c r="AS75" i="13"/>
  <c r="AR75" i="13"/>
  <c r="BA74" i="13"/>
  <c r="AZ74" i="13"/>
  <c r="AY74" i="13"/>
  <c r="AX74" i="13"/>
  <c r="AW74" i="13"/>
  <c r="AV74" i="13"/>
  <c r="AU74" i="13"/>
  <c r="AT74" i="13"/>
  <c r="AS74" i="13"/>
  <c r="AR74" i="13"/>
  <c r="BA73" i="13"/>
  <c r="AZ73" i="13"/>
  <c r="AY73" i="13"/>
  <c r="AX73" i="13"/>
  <c r="AW73" i="13"/>
  <c r="AV73" i="13"/>
  <c r="AU73" i="13"/>
  <c r="AT73" i="13"/>
  <c r="AS73" i="13"/>
  <c r="AR73" i="13"/>
  <c r="BA72" i="13"/>
  <c r="AZ72" i="13"/>
  <c r="AY72" i="13"/>
  <c r="AX72" i="13"/>
  <c r="AW72" i="13"/>
  <c r="AV72" i="13"/>
  <c r="AU72" i="13"/>
  <c r="AT72" i="13"/>
  <c r="AS72" i="13"/>
  <c r="AR72" i="13"/>
  <c r="BA71" i="13"/>
  <c r="AZ71" i="13"/>
  <c r="AY71" i="13"/>
  <c r="AX71" i="13"/>
  <c r="AW71" i="13"/>
  <c r="AV71" i="13"/>
  <c r="AU71" i="13"/>
  <c r="AT71" i="13"/>
  <c r="AS71" i="13"/>
  <c r="AR71" i="13"/>
  <c r="BA70" i="13"/>
  <c r="AZ70" i="13"/>
  <c r="AY70" i="13"/>
  <c r="AX70" i="13"/>
  <c r="AW70" i="13"/>
  <c r="AV70" i="13"/>
  <c r="AU70" i="13"/>
  <c r="AT70" i="13"/>
  <c r="AS70" i="13"/>
  <c r="AR70" i="13"/>
  <c r="BA69" i="13"/>
  <c r="AZ69" i="13"/>
  <c r="AY69" i="13"/>
  <c r="AX69" i="13"/>
  <c r="AW69" i="13"/>
  <c r="AV69" i="13"/>
  <c r="AU69" i="13"/>
  <c r="AT69" i="13"/>
  <c r="AS69" i="13"/>
  <c r="AR69" i="13"/>
  <c r="BA68" i="13"/>
  <c r="AZ68" i="13"/>
  <c r="AY68" i="13"/>
  <c r="AX68" i="13"/>
  <c r="AW68" i="13"/>
  <c r="AV68" i="13"/>
  <c r="AU68" i="13"/>
  <c r="AT68" i="13"/>
  <c r="AS68" i="13"/>
  <c r="AR68" i="13"/>
  <c r="BA67" i="13"/>
  <c r="AZ67" i="13"/>
  <c r="AY67" i="13"/>
  <c r="AX67" i="13"/>
  <c r="AW67" i="13"/>
  <c r="AV67" i="13"/>
  <c r="AU67" i="13"/>
  <c r="AT67" i="13"/>
  <c r="AS67" i="13"/>
  <c r="AR67" i="13"/>
  <c r="BA66" i="13"/>
  <c r="AZ66" i="13"/>
  <c r="AY66" i="13"/>
  <c r="AX66" i="13"/>
  <c r="AW66" i="13"/>
  <c r="AV66" i="13"/>
  <c r="AU66" i="13"/>
  <c r="AT66" i="13"/>
  <c r="AS66" i="13"/>
  <c r="AR66" i="13"/>
  <c r="BA65" i="13"/>
  <c r="AZ65" i="13"/>
  <c r="AY65" i="13"/>
  <c r="AX65" i="13"/>
  <c r="AW65" i="13"/>
  <c r="AV65" i="13"/>
  <c r="AU65" i="13"/>
  <c r="AT65" i="13"/>
  <c r="AS65" i="13"/>
  <c r="AR65" i="13"/>
  <c r="BA64" i="13"/>
  <c r="AZ64" i="13"/>
  <c r="AY64" i="13"/>
  <c r="AX64" i="13"/>
  <c r="AW64" i="13"/>
  <c r="AV64" i="13"/>
  <c r="AU64" i="13"/>
  <c r="AT64" i="13"/>
  <c r="AS64" i="13"/>
  <c r="AR64" i="13"/>
  <c r="BA63" i="13"/>
  <c r="AZ63" i="13"/>
  <c r="AY63" i="13"/>
  <c r="AX63" i="13"/>
  <c r="AW63" i="13"/>
  <c r="AV63" i="13"/>
  <c r="AU63" i="13"/>
  <c r="AT63" i="13"/>
  <c r="AS63" i="13"/>
  <c r="AR63" i="13"/>
  <c r="BA62" i="13"/>
  <c r="AZ62" i="13"/>
  <c r="AY62" i="13"/>
  <c r="AX62" i="13"/>
  <c r="AW62" i="13"/>
  <c r="AV62" i="13"/>
  <c r="AU62" i="13"/>
  <c r="AT62" i="13"/>
  <c r="AS62" i="13"/>
  <c r="AR62" i="13"/>
  <c r="BA61" i="13"/>
  <c r="AZ61" i="13"/>
  <c r="AY61" i="13"/>
  <c r="AX61" i="13"/>
  <c r="AW61" i="13"/>
  <c r="AV61" i="13"/>
  <c r="AU61" i="13"/>
  <c r="AT61" i="13"/>
  <c r="AS61" i="13"/>
  <c r="AR61" i="13"/>
  <c r="BA60" i="13"/>
  <c r="AZ60" i="13"/>
  <c r="AY60" i="13"/>
  <c r="AX60" i="13"/>
  <c r="AW60" i="13"/>
  <c r="AV60" i="13"/>
  <c r="AU60" i="13"/>
  <c r="AT60" i="13"/>
  <c r="AS60" i="13"/>
  <c r="AR60" i="13"/>
  <c r="BA59" i="13"/>
  <c r="AZ59" i="13"/>
  <c r="AY59" i="13"/>
  <c r="AX59" i="13"/>
  <c r="AW59" i="13"/>
  <c r="AV59" i="13"/>
  <c r="AU59" i="13"/>
  <c r="AT59" i="13"/>
  <c r="AS59" i="13"/>
  <c r="AR59" i="13"/>
  <c r="BA58" i="13"/>
  <c r="AZ58" i="13"/>
  <c r="AY58" i="13"/>
  <c r="AX58" i="13"/>
  <c r="AW58" i="13"/>
  <c r="AV58" i="13"/>
  <c r="AU58" i="13"/>
  <c r="AT58" i="13"/>
  <c r="AS58" i="13"/>
  <c r="AR58" i="13"/>
  <c r="BA57" i="13"/>
  <c r="AZ57" i="13"/>
  <c r="AY57" i="13"/>
  <c r="AX57" i="13"/>
  <c r="AW57" i="13"/>
  <c r="AV57" i="13"/>
  <c r="AU57" i="13"/>
  <c r="AT57" i="13"/>
  <c r="AS57" i="13"/>
  <c r="AR57" i="13"/>
  <c r="BA56" i="13"/>
  <c r="AZ56" i="13"/>
  <c r="AY56" i="13"/>
  <c r="AX56" i="13"/>
  <c r="AW56" i="13"/>
  <c r="AV56" i="13"/>
  <c r="AU56" i="13"/>
  <c r="AT56" i="13"/>
  <c r="AS56" i="13"/>
  <c r="AR56" i="13"/>
  <c r="BA55" i="13"/>
  <c r="AZ55" i="13"/>
  <c r="AY55" i="13"/>
  <c r="AX55" i="13"/>
  <c r="AW55" i="13"/>
  <c r="AV55" i="13"/>
  <c r="AU55" i="13"/>
  <c r="AT55" i="13"/>
  <c r="AS55" i="13"/>
  <c r="AR55" i="13"/>
  <c r="BA54" i="13"/>
  <c r="AZ54" i="13"/>
  <c r="AY54" i="13"/>
  <c r="AX54" i="13"/>
  <c r="AW54" i="13"/>
  <c r="AV54" i="13"/>
  <c r="AU54" i="13"/>
  <c r="AT54" i="13"/>
  <c r="AS54" i="13"/>
  <c r="AR54" i="13"/>
  <c r="BA53" i="13"/>
  <c r="AZ53" i="13"/>
  <c r="AY53" i="13"/>
  <c r="AX53" i="13"/>
  <c r="AW53" i="13"/>
  <c r="AV53" i="13"/>
  <c r="AU53" i="13"/>
  <c r="AT53" i="13"/>
  <c r="AS53" i="13"/>
  <c r="AR53" i="13"/>
  <c r="BA52" i="13"/>
  <c r="AZ52" i="13"/>
  <c r="AY52" i="13"/>
  <c r="AX52" i="13"/>
  <c r="AW52" i="13"/>
  <c r="AV52" i="13"/>
  <c r="AU52" i="13"/>
  <c r="AT52" i="13"/>
  <c r="AS52" i="13"/>
  <c r="AR52" i="13"/>
  <c r="BA51" i="13"/>
  <c r="AZ51" i="13"/>
  <c r="AY51" i="13"/>
  <c r="AX51" i="13"/>
  <c r="AW51" i="13"/>
  <c r="AV51" i="13"/>
  <c r="AU51" i="13"/>
  <c r="AT51" i="13"/>
  <c r="AS51" i="13"/>
  <c r="AR51" i="13"/>
  <c r="BA50" i="13"/>
  <c r="AZ50" i="13"/>
  <c r="AY50" i="13"/>
  <c r="AX50" i="13"/>
  <c r="AW50" i="13"/>
  <c r="AV50" i="13"/>
  <c r="AU50" i="13"/>
  <c r="AT50" i="13"/>
  <c r="AS50" i="13"/>
  <c r="AR50" i="13"/>
  <c r="BA49" i="13"/>
  <c r="AZ49" i="13"/>
  <c r="AY49" i="13"/>
  <c r="AX49" i="13"/>
  <c r="AW49" i="13"/>
  <c r="AV49" i="13"/>
  <c r="AU49" i="13"/>
  <c r="AT49" i="13"/>
  <c r="AS49" i="13"/>
  <c r="AR49" i="13"/>
  <c r="BA48" i="13"/>
  <c r="AZ48" i="13"/>
  <c r="AY48" i="13"/>
  <c r="AX48" i="13"/>
  <c r="AW48" i="13"/>
  <c r="AV48" i="13"/>
  <c r="AU48" i="13"/>
  <c r="AT48" i="13"/>
  <c r="AS48" i="13"/>
  <c r="AR48" i="13"/>
  <c r="BA47" i="13"/>
  <c r="AZ47" i="13"/>
  <c r="AY47" i="13"/>
  <c r="AX47" i="13"/>
  <c r="AW47" i="13"/>
  <c r="AV47" i="13"/>
  <c r="AU47" i="13"/>
  <c r="AT47" i="13"/>
  <c r="AS47" i="13"/>
  <c r="AR47" i="13"/>
  <c r="BA46" i="13"/>
  <c r="AZ46" i="13"/>
  <c r="AY46" i="13"/>
  <c r="AX46" i="13"/>
  <c r="AW46" i="13"/>
  <c r="AV46" i="13"/>
  <c r="AU46" i="13"/>
  <c r="AT46" i="13"/>
  <c r="AS46" i="13"/>
  <c r="AR46" i="13"/>
  <c r="BA45" i="13"/>
  <c r="AZ45" i="13"/>
  <c r="AY45" i="13"/>
  <c r="AX45" i="13"/>
  <c r="AW45" i="13"/>
  <c r="AV45" i="13"/>
  <c r="AU45" i="13"/>
  <c r="AT45" i="13"/>
  <c r="AS45" i="13"/>
  <c r="AR45" i="13"/>
  <c r="BA44" i="13"/>
  <c r="AZ44" i="13"/>
  <c r="AY44" i="13"/>
  <c r="AX44" i="13"/>
  <c r="AW44" i="13"/>
  <c r="AV44" i="13"/>
  <c r="AU44" i="13"/>
  <c r="AT44" i="13"/>
  <c r="AS44" i="13"/>
  <c r="AR44" i="13"/>
  <c r="BA43" i="13"/>
  <c r="AZ43" i="13"/>
  <c r="AY43" i="13"/>
  <c r="AX43" i="13"/>
  <c r="AW43" i="13"/>
  <c r="AV43" i="13"/>
  <c r="AU43" i="13"/>
  <c r="AT43" i="13"/>
  <c r="AS43" i="13"/>
  <c r="AR43" i="13"/>
  <c r="BA42" i="13"/>
  <c r="AZ42" i="13"/>
  <c r="AY42" i="13"/>
  <c r="AX42" i="13"/>
  <c r="AW42" i="13"/>
  <c r="AV42" i="13"/>
  <c r="AU42" i="13"/>
  <c r="AT42" i="13"/>
  <c r="AS42" i="13"/>
  <c r="AR42" i="13"/>
  <c r="BA41" i="13"/>
  <c r="AZ41" i="13"/>
  <c r="AY41" i="13"/>
  <c r="AX41" i="13"/>
  <c r="AW41" i="13"/>
  <c r="AV41" i="13"/>
  <c r="AU41" i="13"/>
  <c r="AT41" i="13"/>
  <c r="AS41" i="13"/>
  <c r="AR41" i="13"/>
  <c r="BA40" i="13"/>
  <c r="AZ40" i="13"/>
  <c r="AY40" i="13"/>
  <c r="AX40" i="13"/>
  <c r="AW40" i="13"/>
  <c r="AV40" i="13"/>
  <c r="AU40" i="13"/>
  <c r="AT40" i="13"/>
  <c r="AS40" i="13"/>
  <c r="AR40" i="13"/>
  <c r="BA39" i="13"/>
  <c r="AZ39" i="13"/>
  <c r="AY39" i="13"/>
  <c r="AX39" i="13"/>
  <c r="AW39" i="13"/>
  <c r="AV39" i="13"/>
  <c r="AU39" i="13"/>
  <c r="AT39" i="13"/>
  <c r="AS39" i="13"/>
  <c r="AR39" i="13"/>
  <c r="BA38" i="13"/>
  <c r="AZ38" i="13"/>
  <c r="AY38" i="13"/>
  <c r="AX38" i="13"/>
  <c r="AW38" i="13"/>
  <c r="AV38" i="13"/>
  <c r="AU38" i="13"/>
  <c r="AT38" i="13"/>
  <c r="AS38" i="13"/>
  <c r="AR38" i="13"/>
  <c r="BA37" i="13"/>
  <c r="AZ37" i="13"/>
  <c r="AY37" i="13"/>
  <c r="AX37" i="13"/>
  <c r="AW37" i="13"/>
  <c r="AV37" i="13"/>
  <c r="AU37" i="13"/>
  <c r="AT37" i="13"/>
  <c r="AS37" i="13"/>
  <c r="AR37" i="13"/>
  <c r="BA36" i="13"/>
  <c r="AZ36" i="13"/>
  <c r="AY36" i="13"/>
  <c r="AX36" i="13"/>
  <c r="AW36" i="13"/>
  <c r="AV36" i="13"/>
  <c r="AU36" i="13"/>
  <c r="AT36" i="13"/>
  <c r="AS36" i="13"/>
  <c r="AR36" i="13"/>
  <c r="BA35" i="13"/>
  <c r="AZ35" i="13"/>
  <c r="AY35" i="13"/>
  <c r="AX35" i="13"/>
  <c r="AW35" i="13"/>
  <c r="AV35" i="13"/>
  <c r="AU35" i="13"/>
  <c r="AT35" i="13"/>
  <c r="AS35" i="13"/>
  <c r="AR35" i="13"/>
  <c r="BA34" i="13"/>
  <c r="AZ34" i="13"/>
  <c r="AY34" i="13"/>
  <c r="AX34" i="13"/>
  <c r="AW34" i="13"/>
  <c r="AV34" i="13"/>
  <c r="AU34" i="13"/>
  <c r="AT34" i="13"/>
  <c r="AS34" i="13"/>
  <c r="AR34" i="13"/>
  <c r="BA33" i="13"/>
  <c r="AZ33" i="13"/>
  <c r="AY33" i="13"/>
  <c r="AX33" i="13"/>
  <c r="AW33" i="13"/>
  <c r="AV33" i="13"/>
  <c r="AU33" i="13"/>
  <c r="AT33" i="13"/>
  <c r="AS33" i="13"/>
  <c r="AR33" i="13"/>
  <c r="BA32" i="13"/>
  <c r="AZ32" i="13"/>
  <c r="AY32" i="13"/>
  <c r="AX32" i="13"/>
  <c r="AW32" i="13"/>
  <c r="AV32" i="13"/>
  <c r="AU32" i="13"/>
  <c r="AT32" i="13"/>
  <c r="AS32" i="13"/>
  <c r="AR32" i="13"/>
  <c r="BA31" i="13"/>
  <c r="AZ31" i="13"/>
  <c r="AY31" i="13"/>
  <c r="AX31" i="13"/>
  <c r="AW31" i="13"/>
  <c r="AV31" i="13"/>
  <c r="AU31" i="13"/>
  <c r="AT31" i="13"/>
  <c r="AS31" i="13"/>
  <c r="AR31" i="13"/>
  <c r="BA30" i="13"/>
  <c r="AZ30" i="13"/>
  <c r="AY30" i="13"/>
  <c r="AX30" i="13"/>
  <c r="AW30" i="13"/>
  <c r="AV30" i="13"/>
  <c r="AU30" i="13"/>
  <c r="AT30" i="13"/>
  <c r="AS30" i="13"/>
  <c r="AR30" i="13"/>
  <c r="BA29" i="13"/>
  <c r="AZ29" i="13"/>
  <c r="AY29" i="13"/>
  <c r="AX29" i="13"/>
  <c r="AW29" i="13"/>
  <c r="AV29" i="13"/>
  <c r="AU29" i="13"/>
  <c r="AT29" i="13"/>
  <c r="AS29" i="13"/>
  <c r="AR29" i="13"/>
  <c r="BA28" i="13"/>
  <c r="AZ28" i="13"/>
  <c r="AY28" i="13"/>
  <c r="AX28" i="13"/>
  <c r="AW28" i="13"/>
  <c r="AV28" i="13"/>
  <c r="AU28" i="13"/>
  <c r="AT28" i="13"/>
  <c r="AS28" i="13"/>
  <c r="AR28" i="13"/>
  <c r="BA27" i="13"/>
  <c r="AZ27" i="13"/>
  <c r="AY27" i="13"/>
  <c r="AX27" i="13"/>
  <c r="AW27" i="13"/>
  <c r="AV27" i="13"/>
  <c r="AU27" i="13"/>
  <c r="AT27" i="13"/>
  <c r="AS27" i="13"/>
  <c r="AR27" i="13"/>
  <c r="BA26" i="13"/>
  <c r="AZ26" i="13"/>
  <c r="AY26" i="13"/>
  <c r="AX26" i="13"/>
  <c r="AW26" i="13"/>
  <c r="AV26" i="13"/>
  <c r="AU26" i="13"/>
  <c r="AT26" i="13"/>
  <c r="AS26" i="13"/>
  <c r="AR26" i="13"/>
  <c r="BA25" i="13"/>
  <c r="AZ25" i="13"/>
  <c r="AY25" i="13"/>
  <c r="AX25" i="13"/>
  <c r="AW25" i="13"/>
  <c r="AV25" i="13"/>
  <c r="AU25" i="13"/>
  <c r="AT25" i="13"/>
  <c r="AS25" i="13"/>
  <c r="AR25" i="13"/>
  <c r="BA24" i="13"/>
  <c r="AZ24" i="13"/>
  <c r="AY24" i="13"/>
  <c r="AX24" i="13"/>
  <c r="AW24" i="13"/>
  <c r="AV24" i="13"/>
  <c r="AU24" i="13"/>
  <c r="AT24" i="13"/>
  <c r="AS24" i="13"/>
  <c r="AR24" i="13"/>
  <c r="BA23" i="13"/>
  <c r="AZ23" i="13"/>
  <c r="AY23" i="13"/>
  <c r="AX23" i="13"/>
  <c r="AW23" i="13"/>
  <c r="AV23" i="13"/>
  <c r="AU23" i="13"/>
  <c r="AT23" i="13"/>
  <c r="AS23" i="13"/>
  <c r="AR23" i="13"/>
  <c r="BA22" i="13"/>
  <c r="AZ22" i="13"/>
  <c r="AY22" i="13"/>
  <c r="AX22" i="13"/>
  <c r="AW22" i="13"/>
  <c r="AV22" i="13"/>
  <c r="AU22" i="13"/>
  <c r="AT22" i="13"/>
  <c r="AS22" i="13"/>
  <c r="AR22" i="13"/>
  <c r="BA21" i="13"/>
  <c r="AZ21" i="13"/>
  <c r="AY21" i="13"/>
  <c r="AX21" i="13"/>
  <c r="AW21" i="13"/>
  <c r="AV21" i="13"/>
  <c r="AU21" i="13"/>
  <c r="AT21" i="13"/>
  <c r="AS21" i="13"/>
  <c r="AR21" i="13"/>
  <c r="BA20" i="13"/>
  <c r="AZ20" i="13"/>
  <c r="AY20" i="13"/>
  <c r="AX20" i="13"/>
  <c r="AW20" i="13"/>
  <c r="AV20" i="13"/>
  <c r="AU20" i="13"/>
  <c r="AT20" i="13"/>
  <c r="AS20" i="13"/>
  <c r="AR20" i="13"/>
  <c r="BA19" i="13"/>
  <c r="AZ19" i="13"/>
  <c r="AY19" i="13"/>
  <c r="AX19" i="13"/>
  <c r="AW19" i="13"/>
  <c r="AV19" i="13"/>
  <c r="AU19" i="13"/>
  <c r="AT19" i="13"/>
  <c r="AS19" i="13"/>
  <c r="AR19" i="13"/>
  <c r="BA18" i="13"/>
  <c r="AZ18" i="13"/>
  <c r="AY18" i="13"/>
  <c r="AX18" i="13"/>
  <c r="AW18" i="13"/>
  <c r="AV18" i="13"/>
  <c r="AU18" i="13"/>
  <c r="AT18" i="13"/>
  <c r="AS18" i="13"/>
  <c r="AR18" i="13"/>
  <c r="BA17" i="13"/>
  <c r="AZ17" i="13"/>
  <c r="AY17" i="13"/>
  <c r="AX17" i="13"/>
  <c r="AW17" i="13"/>
  <c r="AV17" i="13"/>
  <c r="AU17" i="13"/>
  <c r="AT17" i="13"/>
  <c r="AS17" i="13"/>
  <c r="AR17" i="13"/>
  <c r="BA16" i="13"/>
  <c r="AZ16" i="13"/>
  <c r="AY16" i="13"/>
  <c r="AX16" i="13"/>
  <c r="AW16" i="13"/>
  <c r="AV16" i="13"/>
  <c r="AU16" i="13"/>
  <c r="AT16" i="13"/>
  <c r="AS16" i="13"/>
  <c r="AR16" i="13"/>
  <c r="BA15" i="13"/>
  <c r="AZ15" i="13"/>
  <c r="AY15" i="13"/>
  <c r="AX15" i="13"/>
  <c r="AW15" i="13"/>
  <c r="AV15" i="13"/>
  <c r="AU15" i="13"/>
  <c r="AT15" i="13"/>
  <c r="AS15" i="13"/>
  <c r="AR15" i="13"/>
  <c r="BA14" i="13"/>
  <c r="AZ14" i="13"/>
  <c r="AY14" i="13"/>
  <c r="AX14" i="13"/>
  <c r="AW14" i="13"/>
  <c r="AV14" i="13"/>
  <c r="AU14" i="13"/>
  <c r="AT14" i="13"/>
  <c r="AS14" i="13"/>
  <c r="AR14" i="13"/>
  <c r="BA13" i="13"/>
  <c r="AZ13" i="13"/>
  <c r="AY13" i="13"/>
  <c r="AX13" i="13"/>
  <c r="AW13" i="13"/>
  <c r="AV13" i="13"/>
  <c r="AU13" i="13"/>
  <c r="AT13" i="13"/>
  <c r="AS13" i="13"/>
  <c r="AR13" i="13"/>
  <c r="BA12" i="13"/>
  <c r="AZ12" i="13"/>
  <c r="AY12" i="13"/>
  <c r="AX12" i="13"/>
  <c r="AW12" i="13"/>
  <c r="AV12" i="13"/>
  <c r="AU12" i="13"/>
  <c r="AT12" i="13"/>
  <c r="AS12" i="13"/>
  <c r="AR12" i="13"/>
  <c r="BA11" i="13"/>
  <c r="AZ11" i="13"/>
  <c r="AY11" i="13"/>
  <c r="AX11" i="13"/>
  <c r="AW11" i="13"/>
  <c r="AV11" i="13"/>
  <c r="AU11" i="13"/>
  <c r="AT11" i="13"/>
  <c r="AS11" i="13"/>
  <c r="AR11" i="13"/>
  <c r="BA10" i="13"/>
  <c r="AZ10" i="13"/>
  <c r="AY10" i="13"/>
  <c r="AX10" i="13"/>
  <c r="AW10" i="13"/>
  <c r="AV10" i="13"/>
  <c r="AU10" i="13"/>
  <c r="AT10" i="13"/>
  <c r="AS10" i="13"/>
  <c r="AR10" i="13"/>
  <c r="BA9" i="13"/>
  <c r="AZ9" i="13"/>
  <c r="AY9" i="13"/>
  <c r="AX9" i="13"/>
  <c r="AW9" i="13"/>
  <c r="AV9" i="13"/>
  <c r="AU9" i="13"/>
  <c r="AT9" i="13"/>
  <c r="AS9" i="13"/>
  <c r="AR9" i="13"/>
  <c r="BA8" i="13"/>
  <c r="AZ8" i="13"/>
  <c r="AZ3" i="13" s="1"/>
  <c r="AY8" i="13"/>
  <c r="AX8" i="13"/>
  <c r="AW8" i="13"/>
  <c r="AV8" i="13"/>
  <c r="AU8" i="13"/>
  <c r="AT8" i="13"/>
  <c r="AS8" i="13"/>
  <c r="AR8" i="13"/>
  <c r="AR3" i="13" s="1"/>
  <c r="BA7" i="13"/>
  <c r="AZ7" i="13"/>
  <c r="AY7" i="13"/>
  <c r="AX7" i="13"/>
  <c r="AX3" i="13" s="1"/>
  <c r="AW7" i="13"/>
  <c r="AV7" i="13"/>
  <c r="AU7" i="13"/>
  <c r="AT7" i="13"/>
  <c r="AT2" i="13" s="1"/>
  <c r="AS7" i="13"/>
  <c r="AR7" i="13"/>
  <c r="BA6" i="13"/>
  <c r="BA3" i="13"/>
  <c r="AZ6" i="13"/>
  <c r="AY6" i="13"/>
  <c r="AX6" i="13"/>
  <c r="AW6" i="13"/>
  <c r="AV6" i="13"/>
  <c r="AU6" i="13"/>
  <c r="AT6" i="13"/>
  <c r="AS6" i="13"/>
  <c r="AU2" i="13"/>
  <c r="AR6" i="13"/>
  <c r="AX2" i="13"/>
  <c r="AW3" i="13"/>
  <c r="AV2" i="13"/>
  <c r="AS3" i="13"/>
  <c r="AT3" i="13"/>
  <c r="AY2" i="13"/>
  <c r="H13" i="18"/>
  <c r="H12" i="18"/>
  <c r="H11" i="18"/>
  <c r="H10" i="18"/>
  <c r="H9" i="18"/>
  <c r="H8" i="18"/>
  <c r="H7" i="18"/>
  <c r="H6" i="18"/>
  <c r="H5" i="18"/>
  <c r="AV205" i="9"/>
  <c r="AU205" i="9"/>
  <c r="AT205" i="9"/>
  <c r="AS205" i="9"/>
  <c r="AR205" i="9"/>
  <c r="AQ205" i="9"/>
  <c r="AP205" i="9"/>
  <c r="AO205" i="9"/>
  <c r="AN205" i="9"/>
  <c r="AV204" i="9"/>
  <c r="AU204" i="9"/>
  <c r="AT204" i="9"/>
  <c r="AS204" i="9"/>
  <c r="AR204" i="9"/>
  <c r="AQ204" i="9"/>
  <c r="AP204" i="9"/>
  <c r="AO204" i="9"/>
  <c r="AN204" i="9"/>
  <c r="AV203" i="9"/>
  <c r="AU203" i="9"/>
  <c r="AT203" i="9"/>
  <c r="AS203" i="9"/>
  <c r="AR203" i="9"/>
  <c r="AQ203" i="9"/>
  <c r="AP203" i="9"/>
  <c r="AO203" i="9"/>
  <c r="AN203" i="9"/>
  <c r="AV202" i="9"/>
  <c r="AU202" i="9"/>
  <c r="AT202" i="9"/>
  <c r="AS202" i="9"/>
  <c r="AR202" i="9"/>
  <c r="AQ202" i="9"/>
  <c r="AP202" i="9"/>
  <c r="AO202" i="9"/>
  <c r="AN202" i="9"/>
  <c r="AV201" i="9"/>
  <c r="AU201" i="9"/>
  <c r="AT201" i="9"/>
  <c r="AS201" i="9"/>
  <c r="AR201" i="9"/>
  <c r="AQ201" i="9"/>
  <c r="AP201" i="9"/>
  <c r="AO201" i="9"/>
  <c r="AN201" i="9"/>
  <c r="AV200" i="9"/>
  <c r="AU200" i="9"/>
  <c r="AT200" i="9"/>
  <c r="AS200" i="9"/>
  <c r="AR200" i="9"/>
  <c r="AQ200" i="9"/>
  <c r="AP200" i="9"/>
  <c r="AO200" i="9"/>
  <c r="AN200" i="9"/>
  <c r="AV199" i="9"/>
  <c r="AU199" i="9"/>
  <c r="AT199" i="9"/>
  <c r="AS199" i="9"/>
  <c r="AR199" i="9"/>
  <c r="AQ199" i="9"/>
  <c r="AP199" i="9"/>
  <c r="AO199" i="9"/>
  <c r="AN199" i="9"/>
  <c r="AV198" i="9"/>
  <c r="AU198" i="9"/>
  <c r="AT198" i="9"/>
  <c r="AS198" i="9"/>
  <c r="AR198" i="9"/>
  <c r="AQ198" i="9"/>
  <c r="AP198" i="9"/>
  <c r="AO198" i="9"/>
  <c r="AN198" i="9"/>
  <c r="AV197" i="9"/>
  <c r="AU197" i="9"/>
  <c r="AT197" i="9"/>
  <c r="AS197" i="9"/>
  <c r="AR197" i="9"/>
  <c r="AQ197" i="9"/>
  <c r="AP197" i="9"/>
  <c r="AO197" i="9"/>
  <c r="AN197" i="9"/>
  <c r="AV196" i="9"/>
  <c r="AU196" i="9"/>
  <c r="AT196" i="9"/>
  <c r="AS196" i="9"/>
  <c r="AR196" i="9"/>
  <c r="AQ196" i="9"/>
  <c r="AP196" i="9"/>
  <c r="AO196" i="9"/>
  <c r="AN196" i="9"/>
  <c r="AV195" i="9"/>
  <c r="AU195" i="9"/>
  <c r="AT195" i="9"/>
  <c r="AS195" i="9"/>
  <c r="AR195" i="9"/>
  <c r="AQ195" i="9"/>
  <c r="AP195" i="9"/>
  <c r="AO195" i="9"/>
  <c r="AN195" i="9"/>
  <c r="AV194" i="9"/>
  <c r="AU194" i="9"/>
  <c r="AT194" i="9"/>
  <c r="AS194" i="9"/>
  <c r="AR194" i="9"/>
  <c r="AQ194" i="9"/>
  <c r="AP194" i="9"/>
  <c r="AO194" i="9"/>
  <c r="AN194" i="9"/>
  <c r="AV193" i="9"/>
  <c r="AU193" i="9"/>
  <c r="AT193" i="9"/>
  <c r="AS193" i="9"/>
  <c r="AR193" i="9"/>
  <c r="AQ193" i="9"/>
  <c r="AP193" i="9"/>
  <c r="AO193" i="9"/>
  <c r="AN193" i="9"/>
  <c r="AV192" i="9"/>
  <c r="AU192" i="9"/>
  <c r="AT192" i="9"/>
  <c r="AS192" i="9"/>
  <c r="AR192" i="9"/>
  <c r="AQ192" i="9"/>
  <c r="AP192" i="9"/>
  <c r="AO192" i="9"/>
  <c r="AN192" i="9"/>
  <c r="AV191" i="9"/>
  <c r="AU191" i="9"/>
  <c r="AT191" i="9"/>
  <c r="AS191" i="9"/>
  <c r="AR191" i="9"/>
  <c r="AQ191" i="9"/>
  <c r="AP191" i="9"/>
  <c r="AO191" i="9"/>
  <c r="AN191" i="9"/>
  <c r="AV190" i="9"/>
  <c r="AU190" i="9"/>
  <c r="AT190" i="9"/>
  <c r="AS190" i="9"/>
  <c r="AR190" i="9"/>
  <c r="AQ190" i="9"/>
  <c r="AP190" i="9"/>
  <c r="AO190" i="9"/>
  <c r="AN190" i="9"/>
  <c r="AV189" i="9"/>
  <c r="AU189" i="9"/>
  <c r="AT189" i="9"/>
  <c r="AS189" i="9"/>
  <c r="AR189" i="9"/>
  <c r="AQ189" i="9"/>
  <c r="AP189" i="9"/>
  <c r="AO189" i="9"/>
  <c r="AN189" i="9"/>
  <c r="AV188" i="9"/>
  <c r="AU188" i="9"/>
  <c r="AT188" i="9"/>
  <c r="AS188" i="9"/>
  <c r="AR188" i="9"/>
  <c r="AQ188" i="9"/>
  <c r="AP188" i="9"/>
  <c r="AO188" i="9"/>
  <c r="AN188" i="9"/>
  <c r="AV187" i="9"/>
  <c r="AU187" i="9"/>
  <c r="AT187" i="9"/>
  <c r="AS187" i="9"/>
  <c r="AR187" i="9"/>
  <c r="AQ187" i="9"/>
  <c r="AP187" i="9"/>
  <c r="AO187" i="9"/>
  <c r="AN187" i="9"/>
  <c r="AV186" i="9"/>
  <c r="AU186" i="9"/>
  <c r="AT186" i="9"/>
  <c r="AS186" i="9"/>
  <c r="AR186" i="9"/>
  <c r="AQ186" i="9"/>
  <c r="AP186" i="9"/>
  <c r="AO186" i="9"/>
  <c r="AN186" i="9"/>
  <c r="AV185" i="9"/>
  <c r="AU185" i="9"/>
  <c r="AT185" i="9"/>
  <c r="AS185" i="9"/>
  <c r="AR185" i="9"/>
  <c r="AQ185" i="9"/>
  <c r="AP185" i="9"/>
  <c r="AO185" i="9"/>
  <c r="AN185" i="9"/>
  <c r="AV184" i="9"/>
  <c r="AU184" i="9"/>
  <c r="AT184" i="9"/>
  <c r="AS184" i="9"/>
  <c r="AR184" i="9"/>
  <c r="AQ184" i="9"/>
  <c r="AP184" i="9"/>
  <c r="AO184" i="9"/>
  <c r="AN184" i="9"/>
  <c r="AV183" i="9"/>
  <c r="AU183" i="9"/>
  <c r="AT183" i="9"/>
  <c r="AS183" i="9"/>
  <c r="AR183" i="9"/>
  <c r="AQ183" i="9"/>
  <c r="AP183" i="9"/>
  <c r="AO183" i="9"/>
  <c r="AN183" i="9"/>
  <c r="AV182" i="9"/>
  <c r="AU182" i="9"/>
  <c r="AT182" i="9"/>
  <c r="AS182" i="9"/>
  <c r="AR182" i="9"/>
  <c r="AQ182" i="9"/>
  <c r="AP182" i="9"/>
  <c r="AO182" i="9"/>
  <c r="AN182" i="9"/>
  <c r="AV181" i="9"/>
  <c r="AU181" i="9"/>
  <c r="AT181" i="9"/>
  <c r="AS181" i="9"/>
  <c r="AR181" i="9"/>
  <c r="AQ181" i="9"/>
  <c r="AP181" i="9"/>
  <c r="AO181" i="9"/>
  <c r="AN181" i="9"/>
  <c r="AV180" i="9"/>
  <c r="AU180" i="9"/>
  <c r="AT180" i="9"/>
  <c r="AS180" i="9"/>
  <c r="AR180" i="9"/>
  <c r="AQ180" i="9"/>
  <c r="AP180" i="9"/>
  <c r="AO180" i="9"/>
  <c r="AN180" i="9"/>
  <c r="AV179" i="9"/>
  <c r="AU179" i="9"/>
  <c r="AT179" i="9"/>
  <c r="AS179" i="9"/>
  <c r="AR179" i="9"/>
  <c r="AQ179" i="9"/>
  <c r="AP179" i="9"/>
  <c r="AO179" i="9"/>
  <c r="AN179" i="9"/>
  <c r="AV178" i="9"/>
  <c r="AU178" i="9"/>
  <c r="AT178" i="9"/>
  <c r="AS178" i="9"/>
  <c r="AR178" i="9"/>
  <c r="AQ178" i="9"/>
  <c r="AP178" i="9"/>
  <c r="AO178" i="9"/>
  <c r="AN178" i="9"/>
  <c r="AV177" i="9"/>
  <c r="AU177" i="9"/>
  <c r="AT177" i="9"/>
  <c r="AS177" i="9"/>
  <c r="AR177" i="9"/>
  <c r="AQ177" i="9"/>
  <c r="AP177" i="9"/>
  <c r="AO177" i="9"/>
  <c r="AN177" i="9"/>
  <c r="AV176" i="9"/>
  <c r="AU176" i="9"/>
  <c r="AT176" i="9"/>
  <c r="AS176" i="9"/>
  <c r="AR176" i="9"/>
  <c r="AQ176" i="9"/>
  <c r="AP176" i="9"/>
  <c r="AO176" i="9"/>
  <c r="AN176" i="9"/>
  <c r="AV175" i="9"/>
  <c r="AU175" i="9"/>
  <c r="AT175" i="9"/>
  <c r="AS175" i="9"/>
  <c r="AR175" i="9"/>
  <c r="AQ175" i="9"/>
  <c r="AP175" i="9"/>
  <c r="AO175" i="9"/>
  <c r="AN175" i="9"/>
  <c r="AV174" i="9"/>
  <c r="AU174" i="9"/>
  <c r="AT174" i="9"/>
  <c r="AS174" i="9"/>
  <c r="AR174" i="9"/>
  <c r="AQ174" i="9"/>
  <c r="AP174" i="9"/>
  <c r="AO174" i="9"/>
  <c r="AN174" i="9"/>
  <c r="AV173" i="9"/>
  <c r="AU173" i="9"/>
  <c r="AT173" i="9"/>
  <c r="AS173" i="9"/>
  <c r="AR173" i="9"/>
  <c r="AQ173" i="9"/>
  <c r="AP173" i="9"/>
  <c r="AO173" i="9"/>
  <c r="AN173" i="9"/>
  <c r="AV172" i="9"/>
  <c r="AU172" i="9"/>
  <c r="AT172" i="9"/>
  <c r="AS172" i="9"/>
  <c r="AR172" i="9"/>
  <c r="AQ172" i="9"/>
  <c r="AP172" i="9"/>
  <c r="AO172" i="9"/>
  <c r="AN172" i="9"/>
  <c r="AV171" i="9"/>
  <c r="AU171" i="9"/>
  <c r="AT171" i="9"/>
  <c r="AS171" i="9"/>
  <c r="AR171" i="9"/>
  <c r="AQ171" i="9"/>
  <c r="AP171" i="9"/>
  <c r="AO171" i="9"/>
  <c r="AN171" i="9"/>
  <c r="AV170" i="9"/>
  <c r="AU170" i="9"/>
  <c r="AT170" i="9"/>
  <c r="AS170" i="9"/>
  <c r="AR170" i="9"/>
  <c r="AQ170" i="9"/>
  <c r="AP170" i="9"/>
  <c r="AO170" i="9"/>
  <c r="AN170" i="9"/>
  <c r="AV169" i="9"/>
  <c r="AU169" i="9"/>
  <c r="AT169" i="9"/>
  <c r="AS169" i="9"/>
  <c r="AR169" i="9"/>
  <c r="AQ169" i="9"/>
  <c r="AP169" i="9"/>
  <c r="AO169" i="9"/>
  <c r="AN169" i="9"/>
  <c r="AV168" i="9"/>
  <c r="AU168" i="9"/>
  <c r="AT168" i="9"/>
  <c r="AS168" i="9"/>
  <c r="AR168" i="9"/>
  <c r="AQ168" i="9"/>
  <c r="AP168" i="9"/>
  <c r="AO168" i="9"/>
  <c r="AN168" i="9"/>
  <c r="AV167" i="9"/>
  <c r="AU167" i="9"/>
  <c r="AT167" i="9"/>
  <c r="AS167" i="9"/>
  <c r="AR167" i="9"/>
  <c r="AQ167" i="9"/>
  <c r="AP167" i="9"/>
  <c r="AO167" i="9"/>
  <c r="AN167" i="9"/>
  <c r="AV166" i="9"/>
  <c r="AU166" i="9"/>
  <c r="AT166" i="9"/>
  <c r="AS166" i="9"/>
  <c r="AR166" i="9"/>
  <c r="AQ166" i="9"/>
  <c r="AP166" i="9"/>
  <c r="AO166" i="9"/>
  <c r="AN166" i="9"/>
  <c r="AV165" i="9"/>
  <c r="AU165" i="9"/>
  <c r="AT165" i="9"/>
  <c r="AS165" i="9"/>
  <c r="AR165" i="9"/>
  <c r="AQ165" i="9"/>
  <c r="AP165" i="9"/>
  <c r="AO165" i="9"/>
  <c r="AN165" i="9"/>
  <c r="AV164" i="9"/>
  <c r="AU164" i="9"/>
  <c r="AT164" i="9"/>
  <c r="AS164" i="9"/>
  <c r="AR164" i="9"/>
  <c r="AQ164" i="9"/>
  <c r="AP164" i="9"/>
  <c r="AO164" i="9"/>
  <c r="AN164" i="9"/>
  <c r="AV163" i="9"/>
  <c r="AU163" i="9"/>
  <c r="AT163" i="9"/>
  <c r="AS163" i="9"/>
  <c r="AR163" i="9"/>
  <c r="AQ163" i="9"/>
  <c r="AP163" i="9"/>
  <c r="AO163" i="9"/>
  <c r="AN163" i="9"/>
  <c r="AV162" i="9"/>
  <c r="AU162" i="9"/>
  <c r="AT162" i="9"/>
  <c r="AS162" i="9"/>
  <c r="AR162" i="9"/>
  <c r="AQ162" i="9"/>
  <c r="AP162" i="9"/>
  <c r="AO162" i="9"/>
  <c r="AN162" i="9"/>
  <c r="AV161" i="9"/>
  <c r="AU161" i="9"/>
  <c r="AT161" i="9"/>
  <c r="AS161" i="9"/>
  <c r="AR161" i="9"/>
  <c r="AQ161" i="9"/>
  <c r="AP161" i="9"/>
  <c r="AO161" i="9"/>
  <c r="AN161" i="9"/>
  <c r="AV160" i="9"/>
  <c r="AU160" i="9"/>
  <c r="AT160" i="9"/>
  <c r="AS160" i="9"/>
  <c r="AR160" i="9"/>
  <c r="AQ160" i="9"/>
  <c r="AP160" i="9"/>
  <c r="AO160" i="9"/>
  <c r="AN160" i="9"/>
  <c r="AV159" i="9"/>
  <c r="AU159" i="9"/>
  <c r="AT159" i="9"/>
  <c r="AS159" i="9"/>
  <c r="AR159" i="9"/>
  <c r="AQ159" i="9"/>
  <c r="AP159" i="9"/>
  <c r="AO159" i="9"/>
  <c r="AN159" i="9"/>
  <c r="AV158" i="9"/>
  <c r="AU158" i="9"/>
  <c r="AT158" i="9"/>
  <c r="AS158" i="9"/>
  <c r="AR158" i="9"/>
  <c r="AQ158" i="9"/>
  <c r="AP158" i="9"/>
  <c r="AO158" i="9"/>
  <c r="AN158" i="9"/>
  <c r="AV157" i="9"/>
  <c r="AU157" i="9"/>
  <c r="AT157" i="9"/>
  <c r="AS157" i="9"/>
  <c r="AR157" i="9"/>
  <c r="AQ157" i="9"/>
  <c r="AP157" i="9"/>
  <c r="AO157" i="9"/>
  <c r="AN157" i="9"/>
  <c r="AV156" i="9"/>
  <c r="AU156" i="9"/>
  <c r="AT156" i="9"/>
  <c r="AS156" i="9"/>
  <c r="AR156" i="9"/>
  <c r="AQ156" i="9"/>
  <c r="AP156" i="9"/>
  <c r="AO156" i="9"/>
  <c r="AN156" i="9"/>
  <c r="AV155" i="9"/>
  <c r="AU155" i="9"/>
  <c r="AT155" i="9"/>
  <c r="AS155" i="9"/>
  <c r="AR155" i="9"/>
  <c r="AQ155" i="9"/>
  <c r="AP155" i="9"/>
  <c r="AO155" i="9"/>
  <c r="AN155" i="9"/>
  <c r="AV154" i="9"/>
  <c r="AU154" i="9"/>
  <c r="AT154" i="9"/>
  <c r="AS154" i="9"/>
  <c r="AR154" i="9"/>
  <c r="AQ154" i="9"/>
  <c r="AP154" i="9"/>
  <c r="AO154" i="9"/>
  <c r="AN154" i="9"/>
  <c r="AV153" i="9"/>
  <c r="AU153" i="9"/>
  <c r="AT153" i="9"/>
  <c r="AS153" i="9"/>
  <c r="AR153" i="9"/>
  <c r="AQ153" i="9"/>
  <c r="AP153" i="9"/>
  <c r="AO153" i="9"/>
  <c r="AN153" i="9"/>
  <c r="AV152" i="9"/>
  <c r="AU152" i="9"/>
  <c r="AT152" i="9"/>
  <c r="AS152" i="9"/>
  <c r="AR152" i="9"/>
  <c r="AQ152" i="9"/>
  <c r="AP152" i="9"/>
  <c r="AO152" i="9"/>
  <c r="AN152" i="9"/>
  <c r="AV151" i="9"/>
  <c r="AU151" i="9"/>
  <c r="AT151" i="9"/>
  <c r="AS151" i="9"/>
  <c r="AR151" i="9"/>
  <c r="AQ151" i="9"/>
  <c r="AP151" i="9"/>
  <c r="AO151" i="9"/>
  <c r="AN151" i="9"/>
  <c r="AV150" i="9"/>
  <c r="AU150" i="9"/>
  <c r="AT150" i="9"/>
  <c r="AS150" i="9"/>
  <c r="AR150" i="9"/>
  <c r="AQ150" i="9"/>
  <c r="AP150" i="9"/>
  <c r="AO150" i="9"/>
  <c r="AN150" i="9"/>
  <c r="AV149" i="9"/>
  <c r="AU149" i="9"/>
  <c r="AT149" i="9"/>
  <c r="AS149" i="9"/>
  <c r="AR149" i="9"/>
  <c r="AQ149" i="9"/>
  <c r="AP149" i="9"/>
  <c r="AO149" i="9"/>
  <c r="AN149" i="9"/>
  <c r="AV148" i="9"/>
  <c r="AU148" i="9"/>
  <c r="AT148" i="9"/>
  <c r="AS148" i="9"/>
  <c r="AR148" i="9"/>
  <c r="AQ148" i="9"/>
  <c r="AP148" i="9"/>
  <c r="AO148" i="9"/>
  <c r="AN148" i="9"/>
  <c r="AV147" i="9"/>
  <c r="AU147" i="9"/>
  <c r="AT147" i="9"/>
  <c r="AS147" i="9"/>
  <c r="AR147" i="9"/>
  <c r="AQ147" i="9"/>
  <c r="AP147" i="9"/>
  <c r="AO147" i="9"/>
  <c r="AN147" i="9"/>
  <c r="AV146" i="9"/>
  <c r="AU146" i="9"/>
  <c r="AT146" i="9"/>
  <c r="AS146" i="9"/>
  <c r="AR146" i="9"/>
  <c r="AQ146" i="9"/>
  <c r="AP146" i="9"/>
  <c r="AO146" i="9"/>
  <c r="AN146" i="9"/>
  <c r="AV145" i="9"/>
  <c r="AU145" i="9"/>
  <c r="AT145" i="9"/>
  <c r="AS145" i="9"/>
  <c r="AR145" i="9"/>
  <c r="AQ145" i="9"/>
  <c r="AP145" i="9"/>
  <c r="AO145" i="9"/>
  <c r="AN145" i="9"/>
  <c r="AV144" i="9"/>
  <c r="AU144" i="9"/>
  <c r="AT144" i="9"/>
  <c r="AS144" i="9"/>
  <c r="AR144" i="9"/>
  <c r="AQ144" i="9"/>
  <c r="AP144" i="9"/>
  <c r="AO144" i="9"/>
  <c r="AN144" i="9"/>
  <c r="AV143" i="9"/>
  <c r="AU143" i="9"/>
  <c r="AT143" i="9"/>
  <c r="AS143" i="9"/>
  <c r="AR143" i="9"/>
  <c r="AQ143" i="9"/>
  <c r="AP143" i="9"/>
  <c r="AO143" i="9"/>
  <c r="AN143" i="9"/>
  <c r="AV142" i="9"/>
  <c r="AU142" i="9"/>
  <c r="AT142" i="9"/>
  <c r="AS142" i="9"/>
  <c r="AR142" i="9"/>
  <c r="AQ142" i="9"/>
  <c r="AP142" i="9"/>
  <c r="AO142" i="9"/>
  <c r="AN142" i="9"/>
  <c r="AV141" i="9"/>
  <c r="AU141" i="9"/>
  <c r="AT141" i="9"/>
  <c r="AS141" i="9"/>
  <c r="AR141" i="9"/>
  <c r="AQ141" i="9"/>
  <c r="AP141" i="9"/>
  <c r="AO141" i="9"/>
  <c r="AN141" i="9"/>
  <c r="AV140" i="9"/>
  <c r="AU140" i="9"/>
  <c r="AT140" i="9"/>
  <c r="AS140" i="9"/>
  <c r="AR140" i="9"/>
  <c r="AQ140" i="9"/>
  <c r="AP140" i="9"/>
  <c r="AO140" i="9"/>
  <c r="AN140" i="9"/>
  <c r="AV139" i="9"/>
  <c r="AU139" i="9"/>
  <c r="AT139" i="9"/>
  <c r="AS139" i="9"/>
  <c r="AR139" i="9"/>
  <c r="AQ139" i="9"/>
  <c r="AP139" i="9"/>
  <c r="AO139" i="9"/>
  <c r="AN139" i="9"/>
  <c r="AV138" i="9"/>
  <c r="AU138" i="9"/>
  <c r="AT138" i="9"/>
  <c r="AS138" i="9"/>
  <c r="AR138" i="9"/>
  <c r="AQ138" i="9"/>
  <c r="AP138" i="9"/>
  <c r="AO138" i="9"/>
  <c r="AN138" i="9"/>
  <c r="AV137" i="9"/>
  <c r="AU137" i="9"/>
  <c r="AT137" i="9"/>
  <c r="AS137" i="9"/>
  <c r="AR137" i="9"/>
  <c r="AQ137" i="9"/>
  <c r="AP137" i="9"/>
  <c r="AO137" i="9"/>
  <c r="AN137" i="9"/>
  <c r="AV136" i="9"/>
  <c r="AU136" i="9"/>
  <c r="AT136" i="9"/>
  <c r="AS136" i="9"/>
  <c r="AR136" i="9"/>
  <c r="AQ136" i="9"/>
  <c r="AP136" i="9"/>
  <c r="AO136" i="9"/>
  <c r="AN136" i="9"/>
  <c r="AV135" i="9"/>
  <c r="AU135" i="9"/>
  <c r="AT135" i="9"/>
  <c r="AS135" i="9"/>
  <c r="AR135" i="9"/>
  <c r="AQ135" i="9"/>
  <c r="AP135" i="9"/>
  <c r="AO135" i="9"/>
  <c r="AN135" i="9"/>
  <c r="AV134" i="9"/>
  <c r="AU134" i="9"/>
  <c r="AT134" i="9"/>
  <c r="AS134" i="9"/>
  <c r="AR134" i="9"/>
  <c r="AQ134" i="9"/>
  <c r="AP134" i="9"/>
  <c r="AO134" i="9"/>
  <c r="AN134" i="9"/>
  <c r="AV133" i="9"/>
  <c r="AU133" i="9"/>
  <c r="AT133" i="9"/>
  <c r="AS133" i="9"/>
  <c r="AR133" i="9"/>
  <c r="AQ133" i="9"/>
  <c r="AP133" i="9"/>
  <c r="AO133" i="9"/>
  <c r="AN133" i="9"/>
  <c r="AV132" i="9"/>
  <c r="AU132" i="9"/>
  <c r="AT132" i="9"/>
  <c r="AS132" i="9"/>
  <c r="AR132" i="9"/>
  <c r="AQ132" i="9"/>
  <c r="AP132" i="9"/>
  <c r="AO132" i="9"/>
  <c r="AN132" i="9"/>
  <c r="AV131" i="9"/>
  <c r="AU131" i="9"/>
  <c r="AT131" i="9"/>
  <c r="AS131" i="9"/>
  <c r="AR131" i="9"/>
  <c r="AQ131" i="9"/>
  <c r="AP131" i="9"/>
  <c r="AO131" i="9"/>
  <c r="AN131" i="9"/>
  <c r="AV130" i="9"/>
  <c r="AU130" i="9"/>
  <c r="AT130" i="9"/>
  <c r="AS130" i="9"/>
  <c r="AR130" i="9"/>
  <c r="AQ130" i="9"/>
  <c r="AP130" i="9"/>
  <c r="AO130" i="9"/>
  <c r="AN130" i="9"/>
  <c r="AV129" i="9"/>
  <c r="AU129" i="9"/>
  <c r="AT129" i="9"/>
  <c r="AS129" i="9"/>
  <c r="AR129" i="9"/>
  <c r="AQ129" i="9"/>
  <c r="AP129" i="9"/>
  <c r="AO129" i="9"/>
  <c r="AN129" i="9"/>
  <c r="AV128" i="9"/>
  <c r="AU128" i="9"/>
  <c r="AT128" i="9"/>
  <c r="AS128" i="9"/>
  <c r="AR128" i="9"/>
  <c r="AQ128" i="9"/>
  <c r="AP128" i="9"/>
  <c r="AO128" i="9"/>
  <c r="AN128" i="9"/>
  <c r="AV127" i="9"/>
  <c r="AU127" i="9"/>
  <c r="AT127" i="9"/>
  <c r="AS127" i="9"/>
  <c r="AR127" i="9"/>
  <c r="AQ127" i="9"/>
  <c r="AP127" i="9"/>
  <c r="AO127" i="9"/>
  <c r="AN127" i="9"/>
  <c r="AV126" i="9"/>
  <c r="AU126" i="9"/>
  <c r="AT126" i="9"/>
  <c r="AS126" i="9"/>
  <c r="AR126" i="9"/>
  <c r="AQ126" i="9"/>
  <c r="AP126" i="9"/>
  <c r="AO126" i="9"/>
  <c r="AN126" i="9"/>
  <c r="AV125" i="9"/>
  <c r="AU125" i="9"/>
  <c r="AT125" i="9"/>
  <c r="AS125" i="9"/>
  <c r="AR125" i="9"/>
  <c r="AQ125" i="9"/>
  <c r="AP125" i="9"/>
  <c r="AO125" i="9"/>
  <c r="AN125" i="9"/>
  <c r="AV124" i="9"/>
  <c r="AU124" i="9"/>
  <c r="AT124" i="9"/>
  <c r="AS124" i="9"/>
  <c r="AR124" i="9"/>
  <c r="AQ124" i="9"/>
  <c r="AP124" i="9"/>
  <c r="AO124" i="9"/>
  <c r="AN124" i="9"/>
  <c r="AV123" i="9"/>
  <c r="AU123" i="9"/>
  <c r="AT123" i="9"/>
  <c r="AS123" i="9"/>
  <c r="AR123" i="9"/>
  <c r="AQ123" i="9"/>
  <c r="AP123" i="9"/>
  <c r="AO123" i="9"/>
  <c r="AN123" i="9"/>
  <c r="AV122" i="9"/>
  <c r="AU122" i="9"/>
  <c r="AT122" i="9"/>
  <c r="AS122" i="9"/>
  <c r="AR122" i="9"/>
  <c r="AQ122" i="9"/>
  <c r="AP122" i="9"/>
  <c r="AO122" i="9"/>
  <c r="AN122" i="9"/>
  <c r="AV121" i="9"/>
  <c r="AU121" i="9"/>
  <c r="AT121" i="9"/>
  <c r="AS121" i="9"/>
  <c r="AR121" i="9"/>
  <c r="AQ121" i="9"/>
  <c r="AP121" i="9"/>
  <c r="AO121" i="9"/>
  <c r="AN121" i="9"/>
  <c r="AV120" i="9"/>
  <c r="AU120" i="9"/>
  <c r="AT120" i="9"/>
  <c r="AS120" i="9"/>
  <c r="AR120" i="9"/>
  <c r="AQ120" i="9"/>
  <c r="AP120" i="9"/>
  <c r="AO120" i="9"/>
  <c r="AN120" i="9"/>
  <c r="AV119" i="9"/>
  <c r="AU119" i="9"/>
  <c r="AT119" i="9"/>
  <c r="AS119" i="9"/>
  <c r="AR119" i="9"/>
  <c r="AQ119" i="9"/>
  <c r="AP119" i="9"/>
  <c r="AO119" i="9"/>
  <c r="AN119" i="9"/>
  <c r="AV118" i="9"/>
  <c r="AU118" i="9"/>
  <c r="AT118" i="9"/>
  <c r="AS118" i="9"/>
  <c r="AR118" i="9"/>
  <c r="AQ118" i="9"/>
  <c r="AP118" i="9"/>
  <c r="AO118" i="9"/>
  <c r="AN118" i="9"/>
  <c r="AV117" i="9"/>
  <c r="AU117" i="9"/>
  <c r="AT117" i="9"/>
  <c r="AS117" i="9"/>
  <c r="AR117" i="9"/>
  <c r="AQ117" i="9"/>
  <c r="AP117" i="9"/>
  <c r="AO117" i="9"/>
  <c r="AN117" i="9"/>
  <c r="AV116" i="9"/>
  <c r="AU116" i="9"/>
  <c r="AT116" i="9"/>
  <c r="AS116" i="9"/>
  <c r="AR116" i="9"/>
  <c r="AQ116" i="9"/>
  <c r="AP116" i="9"/>
  <c r="AO116" i="9"/>
  <c r="AN116" i="9"/>
  <c r="AV115" i="9"/>
  <c r="AU115" i="9"/>
  <c r="AT115" i="9"/>
  <c r="AS115" i="9"/>
  <c r="AR115" i="9"/>
  <c r="AQ115" i="9"/>
  <c r="AP115" i="9"/>
  <c r="AO115" i="9"/>
  <c r="AN115" i="9"/>
  <c r="AV114" i="9"/>
  <c r="AU114" i="9"/>
  <c r="AT114" i="9"/>
  <c r="AS114" i="9"/>
  <c r="AR114" i="9"/>
  <c r="AQ114" i="9"/>
  <c r="AP114" i="9"/>
  <c r="AO114" i="9"/>
  <c r="AN114" i="9"/>
  <c r="AV113" i="9"/>
  <c r="AU113" i="9"/>
  <c r="AT113" i="9"/>
  <c r="AS113" i="9"/>
  <c r="AR113" i="9"/>
  <c r="AQ113" i="9"/>
  <c r="AP113" i="9"/>
  <c r="AO113" i="9"/>
  <c r="AN113" i="9"/>
  <c r="AV112" i="9"/>
  <c r="AU112" i="9"/>
  <c r="AT112" i="9"/>
  <c r="AS112" i="9"/>
  <c r="AR112" i="9"/>
  <c r="AQ112" i="9"/>
  <c r="AP112" i="9"/>
  <c r="AO112" i="9"/>
  <c r="AN112" i="9"/>
  <c r="AV111" i="9"/>
  <c r="AU111" i="9"/>
  <c r="AT111" i="9"/>
  <c r="AS111" i="9"/>
  <c r="AR111" i="9"/>
  <c r="AQ111" i="9"/>
  <c r="AP111" i="9"/>
  <c r="AO111" i="9"/>
  <c r="AN111" i="9"/>
  <c r="AV110" i="9"/>
  <c r="AU110" i="9"/>
  <c r="AT110" i="9"/>
  <c r="AS110" i="9"/>
  <c r="AR110" i="9"/>
  <c r="AQ110" i="9"/>
  <c r="AP110" i="9"/>
  <c r="AO110" i="9"/>
  <c r="AN110" i="9"/>
  <c r="AV109" i="9"/>
  <c r="AU109" i="9"/>
  <c r="AT109" i="9"/>
  <c r="AS109" i="9"/>
  <c r="AR109" i="9"/>
  <c r="AQ109" i="9"/>
  <c r="AP109" i="9"/>
  <c r="AO109" i="9"/>
  <c r="AN109" i="9"/>
  <c r="AV108" i="9"/>
  <c r="AU108" i="9"/>
  <c r="AT108" i="9"/>
  <c r="AS108" i="9"/>
  <c r="AR108" i="9"/>
  <c r="AQ108" i="9"/>
  <c r="AP108" i="9"/>
  <c r="AO108" i="9"/>
  <c r="AN108" i="9"/>
  <c r="AV107" i="9"/>
  <c r="AU107" i="9"/>
  <c r="AT107" i="9"/>
  <c r="AS107" i="9"/>
  <c r="AR107" i="9"/>
  <c r="AQ107" i="9"/>
  <c r="AP107" i="9"/>
  <c r="AO107" i="9"/>
  <c r="AN107" i="9"/>
  <c r="AV106" i="9"/>
  <c r="AU106" i="9"/>
  <c r="AT106" i="9"/>
  <c r="AS106" i="9"/>
  <c r="AR106" i="9"/>
  <c r="AQ106" i="9"/>
  <c r="AP106" i="9"/>
  <c r="AO106" i="9"/>
  <c r="AN106" i="9"/>
  <c r="AV105" i="9"/>
  <c r="AU105" i="9"/>
  <c r="AT105" i="9"/>
  <c r="AS105" i="9"/>
  <c r="AR105" i="9"/>
  <c r="AQ105" i="9"/>
  <c r="AP105" i="9"/>
  <c r="AO105" i="9"/>
  <c r="AN105" i="9"/>
  <c r="AV104" i="9"/>
  <c r="AU104" i="9"/>
  <c r="AT104" i="9"/>
  <c r="AS104" i="9"/>
  <c r="AR104" i="9"/>
  <c r="AQ104" i="9"/>
  <c r="AP104" i="9"/>
  <c r="AO104" i="9"/>
  <c r="AN104" i="9"/>
  <c r="AV103" i="9"/>
  <c r="AU103" i="9"/>
  <c r="AT103" i="9"/>
  <c r="AS103" i="9"/>
  <c r="AR103" i="9"/>
  <c r="AQ103" i="9"/>
  <c r="AP103" i="9"/>
  <c r="AO103" i="9"/>
  <c r="AN103" i="9"/>
  <c r="AV102" i="9"/>
  <c r="AU102" i="9"/>
  <c r="AT102" i="9"/>
  <c r="AS102" i="9"/>
  <c r="AR102" i="9"/>
  <c r="AQ102" i="9"/>
  <c r="AP102" i="9"/>
  <c r="AO102" i="9"/>
  <c r="AN102" i="9"/>
  <c r="AV101" i="9"/>
  <c r="AU101" i="9"/>
  <c r="AT101" i="9"/>
  <c r="AS101" i="9"/>
  <c r="AR101" i="9"/>
  <c r="AQ101" i="9"/>
  <c r="AP101" i="9"/>
  <c r="AO101" i="9"/>
  <c r="AN101" i="9"/>
  <c r="AV100" i="9"/>
  <c r="AU100" i="9"/>
  <c r="AT100" i="9"/>
  <c r="AS100" i="9"/>
  <c r="AR100" i="9"/>
  <c r="AQ100" i="9"/>
  <c r="AP100" i="9"/>
  <c r="AO100" i="9"/>
  <c r="AN100" i="9"/>
  <c r="AV99" i="9"/>
  <c r="AU99" i="9"/>
  <c r="AT99" i="9"/>
  <c r="AS99" i="9"/>
  <c r="AR99" i="9"/>
  <c r="AQ99" i="9"/>
  <c r="AP99" i="9"/>
  <c r="AO99" i="9"/>
  <c r="AN99" i="9"/>
  <c r="AV98" i="9"/>
  <c r="AU98" i="9"/>
  <c r="AT98" i="9"/>
  <c r="AS98" i="9"/>
  <c r="AR98" i="9"/>
  <c r="AQ98" i="9"/>
  <c r="AP98" i="9"/>
  <c r="AO98" i="9"/>
  <c r="AN98" i="9"/>
  <c r="AV97" i="9"/>
  <c r="AU97" i="9"/>
  <c r="AT97" i="9"/>
  <c r="AS97" i="9"/>
  <c r="AR97" i="9"/>
  <c r="AQ97" i="9"/>
  <c r="AP97" i="9"/>
  <c r="AO97" i="9"/>
  <c r="AN97" i="9"/>
  <c r="AV96" i="9"/>
  <c r="AU96" i="9"/>
  <c r="AT96" i="9"/>
  <c r="AS96" i="9"/>
  <c r="AR96" i="9"/>
  <c r="AQ96" i="9"/>
  <c r="AP96" i="9"/>
  <c r="AO96" i="9"/>
  <c r="AN96" i="9"/>
  <c r="AV95" i="9"/>
  <c r="AU95" i="9"/>
  <c r="AT95" i="9"/>
  <c r="AS95" i="9"/>
  <c r="AR95" i="9"/>
  <c r="AQ95" i="9"/>
  <c r="AP95" i="9"/>
  <c r="AO95" i="9"/>
  <c r="AN95" i="9"/>
  <c r="AV94" i="9"/>
  <c r="AU94" i="9"/>
  <c r="AT94" i="9"/>
  <c r="AS94" i="9"/>
  <c r="AR94" i="9"/>
  <c r="AQ94" i="9"/>
  <c r="AP94" i="9"/>
  <c r="AO94" i="9"/>
  <c r="AN94" i="9"/>
  <c r="AV93" i="9"/>
  <c r="AU93" i="9"/>
  <c r="AT93" i="9"/>
  <c r="AS93" i="9"/>
  <c r="AR93" i="9"/>
  <c r="AQ93" i="9"/>
  <c r="AP93" i="9"/>
  <c r="AO93" i="9"/>
  <c r="AN93" i="9"/>
  <c r="AV92" i="9"/>
  <c r="AU92" i="9"/>
  <c r="AT92" i="9"/>
  <c r="AS92" i="9"/>
  <c r="AR92" i="9"/>
  <c r="AQ92" i="9"/>
  <c r="AP92" i="9"/>
  <c r="AO92" i="9"/>
  <c r="AN92" i="9"/>
  <c r="AV91" i="9"/>
  <c r="AU91" i="9"/>
  <c r="AT91" i="9"/>
  <c r="AS91" i="9"/>
  <c r="AR91" i="9"/>
  <c r="AQ91" i="9"/>
  <c r="AP91" i="9"/>
  <c r="AO91" i="9"/>
  <c r="AN91" i="9"/>
  <c r="AV90" i="9"/>
  <c r="AU90" i="9"/>
  <c r="AT90" i="9"/>
  <c r="AS90" i="9"/>
  <c r="AR90" i="9"/>
  <c r="AQ90" i="9"/>
  <c r="AP90" i="9"/>
  <c r="AO90" i="9"/>
  <c r="AN90" i="9"/>
  <c r="AV89" i="9"/>
  <c r="AU89" i="9"/>
  <c r="AT89" i="9"/>
  <c r="AS89" i="9"/>
  <c r="AR89" i="9"/>
  <c r="AQ89" i="9"/>
  <c r="AP89" i="9"/>
  <c r="AO89" i="9"/>
  <c r="AN89" i="9"/>
  <c r="AV88" i="9"/>
  <c r="AU88" i="9"/>
  <c r="AT88" i="9"/>
  <c r="AS88" i="9"/>
  <c r="AR88" i="9"/>
  <c r="AQ88" i="9"/>
  <c r="AP88" i="9"/>
  <c r="AO88" i="9"/>
  <c r="AN88" i="9"/>
  <c r="AV87" i="9"/>
  <c r="AU87" i="9"/>
  <c r="AT87" i="9"/>
  <c r="AS87" i="9"/>
  <c r="AR87" i="9"/>
  <c r="AQ87" i="9"/>
  <c r="AP87" i="9"/>
  <c r="AO87" i="9"/>
  <c r="AN87" i="9"/>
  <c r="AV86" i="9"/>
  <c r="AU86" i="9"/>
  <c r="AT86" i="9"/>
  <c r="AS86" i="9"/>
  <c r="AR86" i="9"/>
  <c r="AQ86" i="9"/>
  <c r="AP86" i="9"/>
  <c r="AO86" i="9"/>
  <c r="AN86" i="9"/>
  <c r="AV85" i="9"/>
  <c r="AU85" i="9"/>
  <c r="AT85" i="9"/>
  <c r="AS85" i="9"/>
  <c r="AR85" i="9"/>
  <c r="AQ85" i="9"/>
  <c r="AP85" i="9"/>
  <c r="AO85" i="9"/>
  <c r="AN85" i="9"/>
  <c r="AV84" i="9"/>
  <c r="AU84" i="9"/>
  <c r="AT84" i="9"/>
  <c r="AS84" i="9"/>
  <c r="AR84" i="9"/>
  <c r="AQ84" i="9"/>
  <c r="AP84" i="9"/>
  <c r="AO84" i="9"/>
  <c r="AN84" i="9"/>
  <c r="AV83" i="9"/>
  <c r="AU83" i="9"/>
  <c r="AT83" i="9"/>
  <c r="AS83" i="9"/>
  <c r="AR83" i="9"/>
  <c r="AQ83" i="9"/>
  <c r="AP83" i="9"/>
  <c r="AO83" i="9"/>
  <c r="AN83" i="9"/>
  <c r="AV82" i="9"/>
  <c r="AU82" i="9"/>
  <c r="AT82" i="9"/>
  <c r="AS82" i="9"/>
  <c r="AR82" i="9"/>
  <c r="AQ82" i="9"/>
  <c r="AP82" i="9"/>
  <c r="AO82" i="9"/>
  <c r="AN82" i="9"/>
  <c r="AV81" i="9"/>
  <c r="AU81" i="9"/>
  <c r="AT81" i="9"/>
  <c r="AS81" i="9"/>
  <c r="AR81" i="9"/>
  <c r="AQ81" i="9"/>
  <c r="AP81" i="9"/>
  <c r="AO81" i="9"/>
  <c r="AN81" i="9"/>
  <c r="AV80" i="9"/>
  <c r="AU80" i="9"/>
  <c r="AT80" i="9"/>
  <c r="AS80" i="9"/>
  <c r="AR80" i="9"/>
  <c r="AQ80" i="9"/>
  <c r="AP80" i="9"/>
  <c r="AO80" i="9"/>
  <c r="AN80" i="9"/>
  <c r="AV79" i="9"/>
  <c r="AU79" i="9"/>
  <c r="AT79" i="9"/>
  <c r="AS79" i="9"/>
  <c r="AR79" i="9"/>
  <c r="AQ79" i="9"/>
  <c r="AP79" i="9"/>
  <c r="AO79" i="9"/>
  <c r="AN79" i="9"/>
  <c r="AV78" i="9"/>
  <c r="AU78" i="9"/>
  <c r="AT78" i="9"/>
  <c r="AS78" i="9"/>
  <c r="AR78" i="9"/>
  <c r="AQ78" i="9"/>
  <c r="AP78" i="9"/>
  <c r="AO78" i="9"/>
  <c r="AN78" i="9"/>
  <c r="AV77" i="9"/>
  <c r="AU77" i="9"/>
  <c r="AT77" i="9"/>
  <c r="AS77" i="9"/>
  <c r="AR77" i="9"/>
  <c r="AQ77" i="9"/>
  <c r="AP77" i="9"/>
  <c r="AO77" i="9"/>
  <c r="AN77" i="9"/>
  <c r="AV76" i="9"/>
  <c r="AU76" i="9"/>
  <c r="AT76" i="9"/>
  <c r="AS76" i="9"/>
  <c r="AR76" i="9"/>
  <c r="AQ76" i="9"/>
  <c r="AP76" i="9"/>
  <c r="AO76" i="9"/>
  <c r="AN76" i="9"/>
  <c r="AV75" i="9"/>
  <c r="AU75" i="9"/>
  <c r="AT75" i="9"/>
  <c r="AS75" i="9"/>
  <c r="AR75" i="9"/>
  <c r="AQ75" i="9"/>
  <c r="AP75" i="9"/>
  <c r="AO75" i="9"/>
  <c r="AN75" i="9"/>
  <c r="AV74" i="9"/>
  <c r="AU74" i="9"/>
  <c r="AT74" i="9"/>
  <c r="AS74" i="9"/>
  <c r="AR74" i="9"/>
  <c r="AQ74" i="9"/>
  <c r="AP74" i="9"/>
  <c r="AO74" i="9"/>
  <c r="AN74" i="9"/>
  <c r="AV73" i="9"/>
  <c r="AU73" i="9"/>
  <c r="AT73" i="9"/>
  <c r="AS73" i="9"/>
  <c r="AR73" i="9"/>
  <c r="AQ73" i="9"/>
  <c r="AP73" i="9"/>
  <c r="AO73" i="9"/>
  <c r="AN73" i="9"/>
  <c r="AV72" i="9"/>
  <c r="AU72" i="9"/>
  <c r="AT72" i="9"/>
  <c r="AS72" i="9"/>
  <c r="AR72" i="9"/>
  <c r="AQ72" i="9"/>
  <c r="AP72" i="9"/>
  <c r="AO72" i="9"/>
  <c r="AN72" i="9"/>
  <c r="AV71" i="9"/>
  <c r="AU71" i="9"/>
  <c r="AT71" i="9"/>
  <c r="AS71" i="9"/>
  <c r="AR71" i="9"/>
  <c r="AQ71" i="9"/>
  <c r="AP71" i="9"/>
  <c r="AO71" i="9"/>
  <c r="AN71" i="9"/>
  <c r="AV70" i="9"/>
  <c r="AU70" i="9"/>
  <c r="AT70" i="9"/>
  <c r="AS70" i="9"/>
  <c r="AR70" i="9"/>
  <c r="AQ70" i="9"/>
  <c r="AP70" i="9"/>
  <c r="AO70" i="9"/>
  <c r="AN70" i="9"/>
  <c r="AV69" i="9"/>
  <c r="AU69" i="9"/>
  <c r="AT69" i="9"/>
  <c r="AS69" i="9"/>
  <c r="AR69" i="9"/>
  <c r="AQ69" i="9"/>
  <c r="AP69" i="9"/>
  <c r="AO69" i="9"/>
  <c r="AN69" i="9"/>
  <c r="AV68" i="9"/>
  <c r="AU68" i="9"/>
  <c r="AT68" i="9"/>
  <c r="AS68" i="9"/>
  <c r="AR68" i="9"/>
  <c r="AQ68" i="9"/>
  <c r="AP68" i="9"/>
  <c r="AO68" i="9"/>
  <c r="AN68" i="9"/>
  <c r="AV67" i="9"/>
  <c r="AU67" i="9"/>
  <c r="AT67" i="9"/>
  <c r="AS67" i="9"/>
  <c r="AR67" i="9"/>
  <c r="AQ67" i="9"/>
  <c r="AP67" i="9"/>
  <c r="AO67" i="9"/>
  <c r="AN67" i="9"/>
  <c r="AV66" i="9"/>
  <c r="AU66" i="9"/>
  <c r="AT66" i="9"/>
  <c r="AS66" i="9"/>
  <c r="AR66" i="9"/>
  <c r="AQ66" i="9"/>
  <c r="AP66" i="9"/>
  <c r="AO66" i="9"/>
  <c r="AN66" i="9"/>
  <c r="AV65" i="9"/>
  <c r="AU65" i="9"/>
  <c r="AT65" i="9"/>
  <c r="AS65" i="9"/>
  <c r="AR65" i="9"/>
  <c r="AQ65" i="9"/>
  <c r="AP65" i="9"/>
  <c r="AO65" i="9"/>
  <c r="AN65" i="9"/>
  <c r="AV64" i="9"/>
  <c r="AU64" i="9"/>
  <c r="AT64" i="9"/>
  <c r="AS64" i="9"/>
  <c r="AR64" i="9"/>
  <c r="AQ64" i="9"/>
  <c r="AP64" i="9"/>
  <c r="AO64" i="9"/>
  <c r="AN64" i="9"/>
  <c r="AV63" i="9"/>
  <c r="AU63" i="9"/>
  <c r="AT63" i="9"/>
  <c r="AS63" i="9"/>
  <c r="AR63" i="9"/>
  <c r="AQ63" i="9"/>
  <c r="AP63" i="9"/>
  <c r="AO63" i="9"/>
  <c r="AN63" i="9"/>
  <c r="AV62" i="9"/>
  <c r="AU62" i="9"/>
  <c r="AT62" i="9"/>
  <c r="AS62" i="9"/>
  <c r="AR62" i="9"/>
  <c r="AQ62" i="9"/>
  <c r="AP62" i="9"/>
  <c r="AO62" i="9"/>
  <c r="AN62" i="9"/>
  <c r="AV61" i="9"/>
  <c r="AU61" i="9"/>
  <c r="AT61" i="9"/>
  <c r="AS61" i="9"/>
  <c r="AR61" i="9"/>
  <c r="AQ61" i="9"/>
  <c r="AP61" i="9"/>
  <c r="AO61" i="9"/>
  <c r="AN61" i="9"/>
  <c r="AV60" i="9"/>
  <c r="AU60" i="9"/>
  <c r="AT60" i="9"/>
  <c r="AS60" i="9"/>
  <c r="AR60" i="9"/>
  <c r="AQ60" i="9"/>
  <c r="AP60" i="9"/>
  <c r="AO60" i="9"/>
  <c r="AN60" i="9"/>
  <c r="AV59" i="9"/>
  <c r="AU59" i="9"/>
  <c r="AT59" i="9"/>
  <c r="AS59" i="9"/>
  <c r="AR59" i="9"/>
  <c r="AQ59" i="9"/>
  <c r="AP59" i="9"/>
  <c r="AO59" i="9"/>
  <c r="AN59" i="9"/>
  <c r="AV58" i="9"/>
  <c r="AU58" i="9"/>
  <c r="AT58" i="9"/>
  <c r="AS58" i="9"/>
  <c r="AR58" i="9"/>
  <c r="AQ58" i="9"/>
  <c r="AP58" i="9"/>
  <c r="AO58" i="9"/>
  <c r="AN58" i="9"/>
  <c r="AV57" i="9"/>
  <c r="AU57" i="9"/>
  <c r="AT57" i="9"/>
  <c r="AS57" i="9"/>
  <c r="AR57" i="9"/>
  <c r="AQ57" i="9"/>
  <c r="AP57" i="9"/>
  <c r="AO57" i="9"/>
  <c r="AN57" i="9"/>
  <c r="AV56" i="9"/>
  <c r="AU56" i="9"/>
  <c r="AT56" i="9"/>
  <c r="AS56" i="9"/>
  <c r="AR56" i="9"/>
  <c r="AQ56" i="9"/>
  <c r="AP56" i="9"/>
  <c r="AO56" i="9"/>
  <c r="AN56" i="9"/>
  <c r="AV55" i="9"/>
  <c r="AU55" i="9"/>
  <c r="AT55" i="9"/>
  <c r="AS55" i="9"/>
  <c r="AR55" i="9"/>
  <c r="AQ55" i="9"/>
  <c r="AP55" i="9"/>
  <c r="AO55" i="9"/>
  <c r="AN55" i="9"/>
  <c r="AV54" i="9"/>
  <c r="AU54" i="9"/>
  <c r="AT54" i="9"/>
  <c r="AS54" i="9"/>
  <c r="AR54" i="9"/>
  <c r="AQ54" i="9"/>
  <c r="AP54" i="9"/>
  <c r="AO54" i="9"/>
  <c r="AN54" i="9"/>
  <c r="AV53" i="9"/>
  <c r="AU53" i="9"/>
  <c r="AT53" i="9"/>
  <c r="AS53" i="9"/>
  <c r="AR53" i="9"/>
  <c r="AQ53" i="9"/>
  <c r="AP53" i="9"/>
  <c r="AO53" i="9"/>
  <c r="AN53" i="9"/>
  <c r="AV52" i="9"/>
  <c r="AU52" i="9"/>
  <c r="AT52" i="9"/>
  <c r="AS52" i="9"/>
  <c r="AR52" i="9"/>
  <c r="AQ52" i="9"/>
  <c r="AP52" i="9"/>
  <c r="AO52" i="9"/>
  <c r="AN52" i="9"/>
  <c r="AV51" i="9"/>
  <c r="AU51" i="9"/>
  <c r="AT51" i="9"/>
  <c r="AS51" i="9"/>
  <c r="AR51" i="9"/>
  <c r="AQ51" i="9"/>
  <c r="AP51" i="9"/>
  <c r="AO51" i="9"/>
  <c r="AN51" i="9"/>
  <c r="AV50" i="9"/>
  <c r="AU50" i="9"/>
  <c r="AT50" i="9"/>
  <c r="AS50" i="9"/>
  <c r="AR50" i="9"/>
  <c r="AQ50" i="9"/>
  <c r="AP50" i="9"/>
  <c r="AO50" i="9"/>
  <c r="AN50" i="9"/>
  <c r="AV49" i="9"/>
  <c r="AU49" i="9"/>
  <c r="AT49" i="9"/>
  <c r="AS49" i="9"/>
  <c r="AR49" i="9"/>
  <c r="AQ49" i="9"/>
  <c r="AP49" i="9"/>
  <c r="AO49" i="9"/>
  <c r="AN49" i="9"/>
  <c r="AV48" i="9"/>
  <c r="AU48" i="9"/>
  <c r="AT48" i="9"/>
  <c r="AS48" i="9"/>
  <c r="AR48" i="9"/>
  <c r="AQ48" i="9"/>
  <c r="AP48" i="9"/>
  <c r="AO48" i="9"/>
  <c r="AN48" i="9"/>
  <c r="AV47" i="9"/>
  <c r="AU47" i="9"/>
  <c r="AT47" i="9"/>
  <c r="AS47" i="9"/>
  <c r="AR47" i="9"/>
  <c r="AQ47" i="9"/>
  <c r="AP47" i="9"/>
  <c r="AO47" i="9"/>
  <c r="AN47" i="9"/>
  <c r="AV46" i="9"/>
  <c r="AU46" i="9"/>
  <c r="AT46" i="9"/>
  <c r="AS46" i="9"/>
  <c r="AR46" i="9"/>
  <c r="AQ46" i="9"/>
  <c r="AP46" i="9"/>
  <c r="AO46" i="9"/>
  <c r="AN46" i="9"/>
  <c r="AV45" i="9"/>
  <c r="AU45" i="9"/>
  <c r="AT45" i="9"/>
  <c r="AS45" i="9"/>
  <c r="AR45" i="9"/>
  <c r="AQ45" i="9"/>
  <c r="AP45" i="9"/>
  <c r="AO45" i="9"/>
  <c r="AN45" i="9"/>
  <c r="AV44" i="9"/>
  <c r="AU44" i="9"/>
  <c r="AT44" i="9"/>
  <c r="AS44" i="9"/>
  <c r="AR44" i="9"/>
  <c r="AQ44" i="9"/>
  <c r="AP44" i="9"/>
  <c r="AO44" i="9"/>
  <c r="AN44" i="9"/>
  <c r="AV43" i="9"/>
  <c r="AU43" i="9"/>
  <c r="AT43" i="9"/>
  <c r="AS43" i="9"/>
  <c r="AR43" i="9"/>
  <c r="AQ43" i="9"/>
  <c r="AP43" i="9"/>
  <c r="AO43" i="9"/>
  <c r="AN43" i="9"/>
  <c r="AV42" i="9"/>
  <c r="AU42" i="9"/>
  <c r="AT42" i="9"/>
  <c r="AS42" i="9"/>
  <c r="AR42" i="9"/>
  <c r="AQ42" i="9"/>
  <c r="AP42" i="9"/>
  <c r="AO42" i="9"/>
  <c r="AN42" i="9"/>
  <c r="AV41" i="9"/>
  <c r="AU41" i="9"/>
  <c r="AT41" i="9"/>
  <c r="AS41" i="9"/>
  <c r="AR41" i="9"/>
  <c r="AQ41" i="9"/>
  <c r="AP41" i="9"/>
  <c r="AO41" i="9"/>
  <c r="AN41" i="9"/>
  <c r="AV40" i="9"/>
  <c r="AU40" i="9"/>
  <c r="AT40" i="9"/>
  <c r="AS40" i="9"/>
  <c r="AR40" i="9"/>
  <c r="AQ40" i="9"/>
  <c r="AP40" i="9"/>
  <c r="AO40" i="9"/>
  <c r="AN40" i="9"/>
  <c r="AV39" i="9"/>
  <c r="AU39" i="9"/>
  <c r="AT39" i="9"/>
  <c r="AS39" i="9"/>
  <c r="AR39" i="9"/>
  <c r="AQ39" i="9"/>
  <c r="AP39" i="9"/>
  <c r="AO39" i="9"/>
  <c r="AN39" i="9"/>
  <c r="AV38" i="9"/>
  <c r="AU38" i="9"/>
  <c r="AT38" i="9"/>
  <c r="AS38" i="9"/>
  <c r="AR38" i="9"/>
  <c r="AQ38" i="9"/>
  <c r="AP38" i="9"/>
  <c r="AO38" i="9"/>
  <c r="AN38" i="9"/>
  <c r="AV37" i="9"/>
  <c r="AU37" i="9"/>
  <c r="AT37" i="9"/>
  <c r="AS37" i="9"/>
  <c r="AR37" i="9"/>
  <c r="AQ37" i="9"/>
  <c r="AP37" i="9"/>
  <c r="AO37" i="9"/>
  <c r="AN37" i="9"/>
  <c r="AV36" i="9"/>
  <c r="AU36" i="9"/>
  <c r="AT36" i="9"/>
  <c r="AS36" i="9"/>
  <c r="AR36" i="9"/>
  <c r="AQ36" i="9"/>
  <c r="AP36" i="9"/>
  <c r="AO36" i="9"/>
  <c r="AN36" i="9"/>
  <c r="AV35" i="9"/>
  <c r="AU35" i="9"/>
  <c r="AT35" i="9"/>
  <c r="AS35" i="9"/>
  <c r="AR35" i="9"/>
  <c r="AQ35" i="9"/>
  <c r="AP35" i="9"/>
  <c r="AO35" i="9"/>
  <c r="AN35" i="9"/>
  <c r="AV34" i="9"/>
  <c r="AU34" i="9"/>
  <c r="AT34" i="9"/>
  <c r="AS34" i="9"/>
  <c r="AR34" i="9"/>
  <c r="AQ34" i="9"/>
  <c r="AP34" i="9"/>
  <c r="AO34" i="9"/>
  <c r="AN34" i="9"/>
  <c r="AV33" i="9"/>
  <c r="AU33" i="9"/>
  <c r="AT33" i="9"/>
  <c r="AS33" i="9"/>
  <c r="AR33" i="9"/>
  <c r="AQ33" i="9"/>
  <c r="AP33" i="9"/>
  <c r="AO33" i="9"/>
  <c r="AN33" i="9"/>
  <c r="AV32" i="9"/>
  <c r="AU32" i="9"/>
  <c r="AT32" i="9"/>
  <c r="AS32" i="9"/>
  <c r="AR32" i="9"/>
  <c r="AQ32" i="9"/>
  <c r="AP32" i="9"/>
  <c r="AO32" i="9"/>
  <c r="AN32" i="9"/>
  <c r="AV31" i="9"/>
  <c r="AU31" i="9"/>
  <c r="AT31" i="9"/>
  <c r="AS31" i="9"/>
  <c r="AR31" i="9"/>
  <c r="AQ31" i="9"/>
  <c r="AP31" i="9"/>
  <c r="AO31" i="9"/>
  <c r="AN31" i="9"/>
  <c r="AV30" i="9"/>
  <c r="AU30" i="9"/>
  <c r="AT30" i="9"/>
  <c r="AS30" i="9"/>
  <c r="AR30" i="9"/>
  <c r="AQ30" i="9"/>
  <c r="AP30" i="9"/>
  <c r="AO30" i="9"/>
  <c r="AN30" i="9"/>
  <c r="AV29" i="9"/>
  <c r="AU29" i="9"/>
  <c r="AT29" i="9"/>
  <c r="AS29" i="9"/>
  <c r="AR29" i="9"/>
  <c r="AQ29" i="9"/>
  <c r="AP29" i="9"/>
  <c r="AO29" i="9"/>
  <c r="AN29" i="9"/>
  <c r="AV28" i="9"/>
  <c r="AU28" i="9"/>
  <c r="AT28" i="9"/>
  <c r="AS28" i="9"/>
  <c r="AR28" i="9"/>
  <c r="AQ28" i="9"/>
  <c r="AP28" i="9"/>
  <c r="AO28" i="9"/>
  <c r="AN28" i="9"/>
  <c r="AV27" i="9"/>
  <c r="AU27" i="9"/>
  <c r="AT27" i="9"/>
  <c r="AS27" i="9"/>
  <c r="AR27" i="9"/>
  <c r="AQ27" i="9"/>
  <c r="AP27" i="9"/>
  <c r="AO27" i="9"/>
  <c r="AN27" i="9"/>
  <c r="AV26" i="9"/>
  <c r="AU26" i="9"/>
  <c r="AT26" i="9"/>
  <c r="AS26" i="9"/>
  <c r="AR26" i="9"/>
  <c r="AQ26" i="9"/>
  <c r="AP26" i="9"/>
  <c r="AO26" i="9"/>
  <c r="AN26" i="9"/>
  <c r="AV25" i="9"/>
  <c r="AU25" i="9"/>
  <c r="AT25" i="9"/>
  <c r="AS25" i="9"/>
  <c r="AR25" i="9"/>
  <c r="AQ25" i="9"/>
  <c r="AP25" i="9"/>
  <c r="AO25" i="9"/>
  <c r="AN25" i="9"/>
  <c r="AV24" i="9"/>
  <c r="AU24" i="9"/>
  <c r="AT24" i="9"/>
  <c r="AS24" i="9"/>
  <c r="AR24" i="9"/>
  <c r="AQ24" i="9"/>
  <c r="AP24" i="9"/>
  <c r="AO24" i="9"/>
  <c r="AN24" i="9"/>
  <c r="AV23" i="9"/>
  <c r="AU23" i="9"/>
  <c r="AT23" i="9"/>
  <c r="AS23" i="9"/>
  <c r="AR23" i="9"/>
  <c r="AQ23" i="9"/>
  <c r="AP23" i="9"/>
  <c r="AO23" i="9"/>
  <c r="AN23" i="9"/>
  <c r="AV22" i="9"/>
  <c r="AU22" i="9"/>
  <c r="AT22" i="9"/>
  <c r="AS22" i="9"/>
  <c r="AR22" i="9"/>
  <c r="AQ22" i="9"/>
  <c r="AP22" i="9"/>
  <c r="AO22" i="9"/>
  <c r="AN22" i="9"/>
  <c r="AV21" i="9"/>
  <c r="AU21" i="9"/>
  <c r="AT21" i="9"/>
  <c r="AS21" i="9"/>
  <c r="AR21" i="9"/>
  <c r="AQ21" i="9"/>
  <c r="AP21" i="9"/>
  <c r="AO21" i="9"/>
  <c r="AN21" i="9"/>
  <c r="AV20" i="9"/>
  <c r="AU20" i="9"/>
  <c r="AT20" i="9"/>
  <c r="AS20" i="9"/>
  <c r="AR20" i="9"/>
  <c r="AQ20" i="9"/>
  <c r="AP20" i="9"/>
  <c r="AO20" i="9"/>
  <c r="AN20" i="9"/>
  <c r="AV19" i="9"/>
  <c r="AU19" i="9"/>
  <c r="AT19" i="9"/>
  <c r="AS19" i="9"/>
  <c r="AR19" i="9"/>
  <c r="AQ19" i="9"/>
  <c r="AP19" i="9"/>
  <c r="AO19" i="9"/>
  <c r="AN19" i="9"/>
  <c r="AV18" i="9"/>
  <c r="AU18" i="9"/>
  <c r="AT18" i="9"/>
  <c r="AS18" i="9"/>
  <c r="AR18" i="9"/>
  <c r="AQ18" i="9"/>
  <c r="AP18" i="9"/>
  <c r="AO18" i="9"/>
  <c r="AN18" i="9"/>
  <c r="AV17" i="9"/>
  <c r="AU17" i="9"/>
  <c r="AT17" i="9"/>
  <c r="AS17" i="9"/>
  <c r="AR17" i="9"/>
  <c r="AQ17" i="9"/>
  <c r="AP17" i="9"/>
  <c r="AO17" i="9"/>
  <c r="AN17" i="9"/>
  <c r="AV16" i="9"/>
  <c r="AU16" i="9"/>
  <c r="AT16" i="9"/>
  <c r="AS16" i="9"/>
  <c r="AR16" i="9"/>
  <c r="AQ16" i="9"/>
  <c r="AP16" i="9"/>
  <c r="AO16" i="9"/>
  <c r="AN16" i="9"/>
  <c r="AV15" i="9"/>
  <c r="AU15" i="9"/>
  <c r="AT15" i="9"/>
  <c r="AS15" i="9"/>
  <c r="AR15" i="9"/>
  <c r="AQ15" i="9"/>
  <c r="AP15" i="9"/>
  <c r="AO15" i="9"/>
  <c r="AN15" i="9"/>
  <c r="AV14" i="9"/>
  <c r="AU14" i="9"/>
  <c r="AT14" i="9"/>
  <c r="AS14" i="9"/>
  <c r="AR14" i="9"/>
  <c r="AQ14" i="9"/>
  <c r="AP14" i="9"/>
  <c r="AO14" i="9"/>
  <c r="AN14" i="9"/>
  <c r="AV13" i="9"/>
  <c r="AU13" i="9"/>
  <c r="AT13" i="9"/>
  <c r="AS13" i="9"/>
  <c r="AR13" i="9"/>
  <c r="AQ13" i="9"/>
  <c r="AP13" i="9"/>
  <c r="AO13" i="9"/>
  <c r="AN13" i="9"/>
  <c r="AV12" i="9"/>
  <c r="AU12" i="9"/>
  <c r="AT12" i="9"/>
  <c r="AS12" i="9"/>
  <c r="AR12" i="9"/>
  <c r="AQ12" i="9"/>
  <c r="AP12" i="9"/>
  <c r="AO12" i="9"/>
  <c r="AN12" i="9"/>
  <c r="AV11" i="9"/>
  <c r="AU11" i="9"/>
  <c r="AT11" i="9"/>
  <c r="AS11" i="9"/>
  <c r="AR11" i="9"/>
  <c r="AQ11" i="9"/>
  <c r="AP11" i="9"/>
  <c r="AO11" i="9"/>
  <c r="AN11" i="9"/>
  <c r="AV10" i="9"/>
  <c r="AV3" i="9" s="1"/>
  <c r="AU10" i="9"/>
  <c r="AT10" i="9"/>
  <c r="AS10" i="9"/>
  <c r="AR10" i="9"/>
  <c r="AQ10" i="9"/>
  <c r="AP10" i="9"/>
  <c r="AO10" i="9"/>
  <c r="AN10" i="9"/>
  <c r="AN2" i="9" s="1"/>
  <c r="AV9" i="9"/>
  <c r="AU9" i="9"/>
  <c r="AT9" i="9"/>
  <c r="AS9" i="9"/>
  <c r="AS3" i="9" s="1"/>
  <c r="AR9" i="9"/>
  <c r="AQ9" i="9"/>
  <c r="AP9" i="9"/>
  <c r="AO9" i="9"/>
  <c r="AO3" i="9" s="1"/>
  <c r="AN9" i="9"/>
  <c r="AV8" i="9"/>
  <c r="AU8" i="9"/>
  <c r="AT8" i="9"/>
  <c r="AS8" i="9"/>
  <c r="AR8" i="9"/>
  <c r="AQ8" i="9"/>
  <c r="AP8" i="9"/>
  <c r="AP2" i="9" s="1"/>
  <c r="AO8" i="9"/>
  <c r="AN8" i="9"/>
  <c r="AV7" i="9"/>
  <c r="AV2" i="9" s="1"/>
  <c r="AU7" i="9"/>
  <c r="AU2" i="9" s="1"/>
  <c r="AT7" i="9"/>
  <c r="AS7" i="9"/>
  <c r="AR7" i="9"/>
  <c r="AR2" i="9" s="1"/>
  <c r="AQ7" i="9"/>
  <c r="AQ2" i="9" s="1"/>
  <c r="AP7" i="9"/>
  <c r="AO7" i="9"/>
  <c r="AN7" i="9"/>
  <c r="AN3" i="9" s="1"/>
  <c r="AV6" i="9"/>
  <c r="AU6" i="9"/>
  <c r="AT6" i="9"/>
  <c r="AS6" i="9"/>
  <c r="AR6" i="9"/>
  <c r="AQ6" i="9"/>
  <c r="AP6" i="9"/>
  <c r="AO6" i="9"/>
  <c r="AT2" i="9"/>
  <c r="AN6" i="9"/>
  <c r="AC6" i="9"/>
  <c r="AR3" i="9"/>
  <c r="AQ3" i="9"/>
  <c r="G13" i="18"/>
  <c r="G12" i="18"/>
  <c r="G11" i="18"/>
  <c r="G10" i="18"/>
  <c r="G9" i="18"/>
  <c r="G8" i="18"/>
  <c r="G7" i="18"/>
  <c r="G6" i="18"/>
  <c r="G5" i="18"/>
  <c r="K13" i="18"/>
  <c r="K12" i="18"/>
  <c r="K11" i="18"/>
  <c r="K10" i="18"/>
  <c r="K9" i="18"/>
  <c r="K8" i="18"/>
  <c r="K7" i="18"/>
  <c r="K6" i="18"/>
  <c r="Z4" i="9"/>
  <c r="Y4" i="9"/>
  <c r="X4" i="9"/>
  <c r="W4" i="9"/>
  <c r="V4" i="9"/>
  <c r="U4" i="9"/>
  <c r="T4" i="9"/>
  <c r="S4" i="9"/>
  <c r="R4" i="9"/>
  <c r="Z205" i="9"/>
  <c r="Y205" i="9"/>
  <c r="X205" i="9"/>
  <c r="W205" i="9"/>
  <c r="V205" i="9"/>
  <c r="U205" i="9"/>
  <c r="T205" i="9"/>
  <c r="S205" i="9"/>
  <c r="R205" i="9"/>
  <c r="Z204" i="9"/>
  <c r="Y204" i="9"/>
  <c r="X204" i="9"/>
  <c r="W204" i="9"/>
  <c r="V204" i="9"/>
  <c r="U204" i="9"/>
  <c r="T204" i="9"/>
  <c r="S204" i="9"/>
  <c r="R204" i="9"/>
  <c r="Z203" i="9"/>
  <c r="Y203" i="9"/>
  <c r="X203" i="9"/>
  <c r="W203" i="9"/>
  <c r="V203" i="9"/>
  <c r="U203" i="9"/>
  <c r="T203" i="9"/>
  <c r="S203" i="9"/>
  <c r="R203" i="9"/>
  <c r="Z202" i="9"/>
  <c r="Y202" i="9"/>
  <c r="X202" i="9"/>
  <c r="W202" i="9"/>
  <c r="V202" i="9"/>
  <c r="U202" i="9"/>
  <c r="T202" i="9"/>
  <c r="S202" i="9"/>
  <c r="R202" i="9"/>
  <c r="Z201" i="9"/>
  <c r="Y201" i="9"/>
  <c r="X201" i="9"/>
  <c r="W201" i="9"/>
  <c r="V201" i="9"/>
  <c r="U201" i="9"/>
  <c r="T201" i="9"/>
  <c r="S201" i="9"/>
  <c r="R201" i="9"/>
  <c r="Z200" i="9"/>
  <c r="Y200" i="9"/>
  <c r="X200" i="9"/>
  <c r="W200" i="9"/>
  <c r="V200" i="9"/>
  <c r="U200" i="9"/>
  <c r="T200" i="9"/>
  <c r="S200" i="9"/>
  <c r="R200" i="9"/>
  <c r="Z199" i="9"/>
  <c r="Y199" i="9"/>
  <c r="X199" i="9"/>
  <c r="W199" i="9"/>
  <c r="V199" i="9"/>
  <c r="U199" i="9"/>
  <c r="T199" i="9"/>
  <c r="S199" i="9"/>
  <c r="R199" i="9"/>
  <c r="Z198" i="9"/>
  <c r="Y198" i="9"/>
  <c r="X198" i="9"/>
  <c r="W198" i="9"/>
  <c r="V198" i="9"/>
  <c r="U198" i="9"/>
  <c r="T198" i="9"/>
  <c r="S198" i="9"/>
  <c r="R198" i="9"/>
  <c r="Z197" i="9"/>
  <c r="Y197" i="9"/>
  <c r="X197" i="9"/>
  <c r="W197" i="9"/>
  <c r="V197" i="9"/>
  <c r="U197" i="9"/>
  <c r="T197" i="9"/>
  <c r="S197" i="9"/>
  <c r="R197" i="9"/>
  <c r="Z196" i="9"/>
  <c r="Y196" i="9"/>
  <c r="X196" i="9"/>
  <c r="W196" i="9"/>
  <c r="V196" i="9"/>
  <c r="U196" i="9"/>
  <c r="T196" i="9"/>
  <c r="S196" i="9"/>
  <c r="R196" i="9"/>
  <c r="Z195" i="9"/>
  <c r="Y195" i="9"/>
  <c r="X195" i="9"/>
  <c r="W195" i="9"/>
  <c r="V195" i="9"/>
  <c r="U195" i="9"/>
  <c r="T195" i="9"/>
  <c r="S195" i="9"/>
  <c r="R195" i="9"/>
  <c r="Z194" i="9"/>
  <c r="Y194" i="9"/>
  <c r="X194" i="9"/>
  <c r="W194" i="9"/>
  <c r="V194" i="9"/>
  <c r="U194" i="9"/>
  <c r="T194" i="9"/>
  <c r="S194" i="9"/>
  <c r="R194" i="9"/>
  <c r="Z193" i="9"/>
  <c r="Y193" i="9"/>
  <c r="X193" i="9"/>
  <c r="W193" i="9"/>
  <c r="V193" i="9"/>
  <c r="U193" i="9"/>
  <c r="T193" i="9"/>
  <c r="S193" i="9"/>
  <c r="R193" i="9"/>
  <c r="Z192" i="9"/>
  <c r="Y192" i="9"/>
  <c r="X192" i="9"/>
  <c r="W192" i="9"/>
  <c r="V192" i="9"/>
  <c r="U192" i="9"/>
  <c r="T192" i="9"/>
  <c r="S192" i="9"/>
  <c r="R192" i="9"/>
  <c r="Z191" i="9"/>
  <c r="Y191" i="9"/>
  <c r="X191" i="9"/>
  <c r="W191" i="9"/>
  <c r="V191" i="9"/>
  <c r="U191" i="9"/>
  <c r="T191" i="9"/>
  <c r="S191" i="9"/>
  <c r="R191" i="9"/>
  <c r="Z190" i="9"/>
  <c r="Y190" i="9"/>
  <c r="X190" i="9"/>
  <c r="W190" i="9"/>
  <c r="V190" i="9"/>
  <c r="U190" i="9"/>
  <c r="T190" i="9"/>
  <c r="S190" i="9"/>
  <c r="R190" i="9"/>
  <c r="Z189" i="9"/>
  <c r="Y189" i="9"/>
  <c r="X189" i="9"/>
  <c r="W189" i="9"/>
  <c r="V189" i="9"/>
  <c r="U189" i="9"/>
  <c r="T189" i="9"/>
  <c r="S189" i="9"/>
  <c r="R189" i="9"/>
  <c r="Z188" i="9"/>
  <c r="Y188" i="9"/>
  <c r="X188" i="9"/>
  <c r="W188" i="9"/>
  <c r="V188" i="9"/>
  <c r="U188" i="9"/>
  <c r="T188" i="9"/>
  <c r="S188" i="9"/>
  <c r="R188" i="9"/>
  <c r="Z187" i="9"/>
  <c r="Y187" i="9"/>
  <c r="X187" i="9"/>
  <c r="W187" i="9"/>
  <c r="V187" i="9"/>
  <c r="U187" i="9"/>
  <c r="T187" i="9"/>
  <c r="S187" i="9"/>
  <c r="R187" i="9"/>
  <c r="Z186" i="9"/>
  <c r="Y186" i="9"/>
  <c r="X186" i="9"/>
  <c r="W186" i="9"/>
  <c r="V186" i="9"/>
  <c r="U186" i="9"/>
  <c r="T186" i="9"/>
  <c r="S186" i="9"/>
  <c r="R186" i="9"/>
  <c r="Z185" i="9"/>
  <c r="Y185" i="9"/>
  <c r="X185" i="9"/>
  <c r="W185" i="9"/>
  <c r="V185" i="9"/>
  <c r="U185" i="9"/>
  <c r="T185" i="9"/>
  <c r="S185" i="9"/>
  <c r="R185" i="9"/>
  <c r="Z184" i="9"/>
  <c r="Y184" i="9"/>
  <c r="X184" i="9"/>
  <c r="W184" i="9"/>
  <c r="V184" i="9"/>
  <c r="U184" i="9"/>
  <c r="T184" i="9"/>
  <c r="S184" i="9"/>
  <c r="R184" i="9"/>
  <c r="Z183" i="9"/>
  <c r="Y183" i="9"/>
  <c r="X183" i="9"/>
  <c r="W183" i="9"/>
  <c r="V183" i="9"/>
  <c r="U183" i="9"/>
  <c r="T183" i="9"/>
  <c r="S183" i="9"/>
  <c r="R183" i="9"/>
  <c r="Z182" i="9"/>
  <c r="Y182" i="9"/>
  <c r="X182" i="9"/>
  <c r="W182" i="9"/>
  <c r="V182" i="9"/>
  <c r="U182" i="9"/>
  <c r="T182" i="9"/>
  <c r="S182" i="9"/>
  <c r="R182" i="9"/>
  <c r="Z181" i="9"/>
  <c r="Y181" i="9"/>
  <c r="X181" i="9"/>
  <c r="W181" i="9"/>
  <c r="V181" i="9"/>
  <c r="U181" i="9"/>
  <c r="T181" i="9"/>
  <c r="S181" i="9"/>
  <c r="R181" i="9"/>
  <c r="Z180" i="9"/>
  <c r="Y180" i="9"/>
  <c r="X180" i="9"/>
  <c r="W180" i="9"/>
  <c r="V180" i="9"/>
  <c r="U180" i="9"/>
  <c r="T180" i="9"/>
  <c r="S180" i="9"/>
  <c r="R180" i="9"/>
  <c r="Z179" i="9"/>
  <c r="Y179" i="9"/>
  <c r="X179" i="9"/>
  <c r="W179" i="9"/>
  <c r="V179" i="9"/>
  <c r="U179" i="9"/>
  <c r="T179" i="9"/>
  <c r="S179" i="9"/>
  <c r="R179" i="9"/>
  <c r="Z178" i="9"/>
  <c r="Y178" i="9"/>
  <c r="X178" i="9"/>
  <c r="W178" i="9"/>
  <c r="V178" i="9"/>
  <c r="U178" i="9"/>
  <c r="T178" i="9"/>
  <c r="S178" i="9"/>
  <c r="R178" i="9"/>
  <c r="Z177" i="9"/>
  <c r="Y177" i="9"/>
  <c r="X177" i="9"/>
  <c r="W177" i="9"/>
  <c r="V177" i="9"/>
  <c r="U177" i="9"/>
  <c r="T177" i="9"/>
  <c r="S177" i="9"/>
  <c r="R177" i="9"/>
  <c r="Z176" i="9"/>
  <c r="Y176" i="9"/>
  <c r="X176" i="9"/>
  <c r="W176" i="9"/>
  <c r="V176" i="9"/>
  <c r="U176" i="9"/>
  <c r="T176" i="9"/>
  <c r="S176" i="9"/>
  <c r="R176" i="9"/>
  <c r="Z175" i="9"/>
  <c r="Y175" i="9"/>
  <c r="X175" i="9"/>
  <c r="W175" i="9"/>
  <c r="V175" i="9"/>
  <c r="U175" i="9"/>
  <c r="T175" i="9"/>
  <c r="S175" i="9"/>
  <c r="R175" i="9"/>
  <c r="Z174" i="9"/>
  <c r="Y174" i="9"/>
  <c r="X174" i="9"/>
  <c r="W174" i="9"/>
  <c r="V174" i="9"/>
  <c r="U174" i="9"/>
  <c r="T174" i="9"/>
  <c r="S174" i="9"/>
  <c r="R174" i="9"/>
  <c r="Z173" i="9"/>
  <c r="Y173" i="9"/>
  <c r="X173" i="9"/>
  <c r="W173" i="9"/>
  <c r="V173" i="9"/>
  <c r="U173" i="9"/>
  <c r="T173" i="9"/>
  <c r="S173" i="9"/>
  <c r="R173" i="9"/>
  <c r="Z172" i="9"/>
  <c r="Y172" i="9"/>
  <c r="X172" i="9"/>
  <c r="W172" i="9"/>
  <c r="V172" i="9"/>
  <c r="U172" i="9"/>
  <c r="T172" i="9"/>
  <c r="S172" i="9"/>
  <c r="R172" i="9"/>
  <c r="Z171" i="9"/>
  <c r="Y171" i="9"/>
  <c r="X171" i="9"/>
  <c r="W171" i="9"/>
  <c r="V171" i="9"/>
  <c r="U171" i="9"/>
  <c r="T171" i="9"/>
  <c r="S171" i="9"/>
  <c r="R171" i="9"/>
  <c r="Z170" i="9"/>
  <c r="Y170" i="9"/>
  <c r="X170" i="9"/>
  <c r="W170" i="9"/>
  <c r="V170" i="9"/>
  <c r="U170" i="9"/>
  <c r="T170" i="9"/>
  <c r="S170" i="9"/>
  <c r="R170" i="9"/>
  <c r="Z169" i="9"/>
  <c r="Y169" i="9"/>
  <c r="X169" i="9"/>
  <c r="W169" i="9"/>
  <c r="V169" i="9"/>
  <c r="U169" i="9"/>
  <c r="T169" i="9"/>
  <c r="S169" i="9"/>
  <c r="R169" i="9"/>
  <c r="Z168" i="9"/>
  <c r="Y168" i="9"/>
  <c r="X168" i="9"/>
  <c r="W168" i="9"/>
  <c r="V168" i="9"/>
  <c r="U168" i="9"/>
  <c r="T168" i="9"/>
  <c r="S168" i="9"/>
  <c r="R168" i="9"/>
  <c r="Z167" i="9"/>
  <c r="Y167" i="9"/>
  <c r="X167" i="9"/>
  <c r="W167" i="9"/>
  <c r="V167" i="9"/>
  <c r="U167" i="9"/>
  <c r="T167" i="9"/>
  <c r="S167" i="9"/>
  <c r="R167" i="9"/>
  <c r="Z166" i="9"/>
  <c r="Y166" i="9"/>
  <c r="X166" i="9"/>
  <c r="W166" i="9"/>
  <c r="V166" i="9"/>
  <c r="U166" i="9"/>
  <c r="T166" i="9"/>
  <c r="S166" i="9"/>
  <c r="R166" i="9"/>
  <c r="Z165" i="9"/>
  <c r="Y165" i="9"/>
  <c r="X165" i="9"/>
  <c r="W165" i="9"/>
  <c r="V165" i="9"/>
  <c r="U165" i="9"/>
  <c r="T165" i="9"/>
  <c r="S165" i="9"/>
  <c r="R165" i="9"/>
  <c r="Z164" i="9"/>
  <c r="Y164" i="9"/>
  <c r="X164" i="9"/>
  <c r="W164" i="9"/>
  <c r="V164" i="9"/>
  <c r="U164" i="9"/>
  <c r="T164" i="9"/>
  <c r="S164" i="9"/>
  <c r="R164" i="9"/>
  <c r="Z163" i="9"/>
  <c r="Y163" i="9"/>
  <c r="X163" i="9"/>
  <c r="W163" i="9"/>
  <c r="V163" i="9"/>
  <c r="U163" i="9"/>
  <c r="T163" i="9"/>
  <c r="S163" i="9"/>
  <c r="R163" i="9"/>
  <c r="Z162" i="9"/>
  <c r="Y162" i="9"/>
  <c r="X162" i="9"/>
  <c r="W162" i="9"/>
  <c r="V162" i="9"/>
  <c r="U162" i="9"/>
  <c r="T162" i="9"/>
  <c r="S162" i="9"/>
  <c r="R162" i="9"/>
  <c r="Z161" i="9"/>
  <c r="Y161" i="9"/>
  <c r="X161" i="9"/>
  <c r="W161" i="9"/>
  <c r="V161" i="9"/>
  <c r="U161" i="9"/>
  <c r="T161" i="9"/>
  <c r="S161" i="9"/>
  <c r="R161" i="9"/>
  <c r="Z160" i="9"/>
  <c r="Y160" i="9"/>
  <c r="X160" i="9"/>
  <c r="W160" i="9"/>
  <c r="V160" i="9"/>
  <c r="U160" i="9"/>
  <c r="T160" i="9"/>
  <c r="S160" i="9"/>
  <c r="R160" i="9"/>
  <c r="Z159" i="9"/>
  <c r="Y159" i="9"/>
  <c r="X159" i="9"/>
  <c r="W159" i="9"/>
  <c r="V159" i="9"/>
  <c r="U159" i="9"/>
  <c r="T159" i="9"/>
  <c r="S159" i="9"/>
  <c r="R159" i="9"/>
  <c r="Z158" i="9"/>
  <c r="Y158" i="9"/>
  <c r="X158" i="9"/>
  <c r="W158" i="9"/>
  <c r="V158" i="9"/>
  <c r="U158" i="9"/>
  <c r="T158" i="9"/>
  <c r="S158" i="9"/>
  <c r="R158" i="9"/>
  <c r="Z157" i="9"/>
  <c r="Y157" i="9"/>
  <c r="X157" i="9"/>
  <c r="W157" i="9"/>
  <c r="V157" i="9"/>
  <c r="U157" i="9"/>
  <c r="T157" i="9"/>
  <c r="S157" i="9"/>
  <c r="R157" i="9"/>
  <c r="Z156" i="9"/>
  <c r="Y156" i="9"/>
  <c r="X156" i="9"/>
  <c r="W156" i="9"/>
  <c r="V156" i="9"/>
  <c r="U156" i="9"/>
  <c r="T156" i="9"/>
  <c r="S156" i="9"/>
  <c r="R156" i="9"/>
  <c r="Z155" i="9"/>
  <c r="Y155" i="9"/>
  <c r="X155" i="9"/>
  <c r="W155" i="9"/>
  <c r="V155" i="9"/>
  <c r="U155" i="9"/>
  <c r="T155" i="9"/>
  <c r="S155" i="9"/>
  <c r="R155" i="9"/>
  <c r="Z154" i="9"/>
  <c r="Y154" i="9"/>
  <c r="X154" i="9"/>
  <c r="W154" i="9"/>
  <c r="V154" i="9"/>
  <c r="U154" i="9"/>
  <c r="T154" i="9"/>
  <c r="S154" i="9"/>
  <c r="R154" i="9"/>
  <c r="Z153" i="9"/>
  <c r="Y153" i="9"/>
  <c r="X153" i="9"/>
  <c r="W153" i="9"/>
  <c r="V153" i="9"/>
  <c r="U153" i="9"/>
  <c r="T153" i="9"/>
  <c r="S153" i="9"/>
  <c r="R153" i="9"/>
  <c r="Z152" i="9"/>
  <c r="Y152" i="9"/>
  <c r="X152" i="9"/>
  <c r="W152" i="9"/>
  <c r="V152" i="9"/>
  <c r="U152" i="9"/>
  <c r="T152" i="9"/>
  <c r="S152" i="9"/>
  <c r="R152" i="9"/>
  <c r="Z151" i="9"/>
  <c r="Y151" i="9"/>
  <c r="X151" i="9"/>
  <c r="W151" i="9"/>
  <c r="V151" i="9"/>
  <c r="U151" i="9"/>
  <c r="T151" i="9"/>
  <c r="S151" i="9"/>
  <c r="R151" i="9"/>
  <c r="Z150" i="9"/>
  <c r="Y150" i="9"/>
  <c r="X150" i="9"/>
  <c r="W150" i="9"/>
  <c r="V150" i="9"/>
  <c r="U150" i="9"/>
  <c r="T150" i="9"/>
  <c r="S150" i="9"/>
  <c r="R150" i="9"/>
  <c r="Z149" i="9"/>
  <c r="Y149" i="9"/>
  <c r="X149" i="9"/>
  <c r="W149" i="9"/>
  <c r="V149" i="9"/>
  <c r="U149" i="9"/>
  <c r="T149" i="9"/>
  <c r="S149" i="9"/>
  <c r="R149" i="9"/>
  <c r="Z148" i="9"/>
  <c r="Y148" i="9"/>
  <c r="X148" i="9"/>
  <c r="W148" i="9"/>
  <c r="V148" i="9"/>
  <c r="U148" i="9"/>
  <c r="T148" i="9"/>
  <c r="S148" i="9"/>
  <c r="R148" i="9"/>
  <c r="Z147" i="9"/>
  <c r="Y147" i="9"/>
  <c r="X147" i="9"/>
  <c r="W147" i="9"/>
  <c r="V147" i="9"/>
  <c r="U147" i="9"/>
  <c r="T147" i="9"/>
  <c r="S147" i="9"/>
  <c r="R147" i="9"/>
  <c r="Z146" i="9"/>
  <c r="Y146" i="9"/>
  <c r="X146" i="9"/>
  <c r="W146" i="9"/>
  <c r="V146" i="9"/>
  <c r="U146" i="9"/>
  <c r="T146" i="9"/>
  <c r="S146" i="9"/>
  <c r="R146" i="9"/>
  <c r="Z145" i="9"/>
  <c r="Y145" i="9"/>
  <c r="X145" i="9"/>
  <c r="W145" i="9"/>
  <c r="V145" i="9"/>
  <c r="U145" i="9"/>
  <c r="T145" i="9"/>
  <c r="S145" i="9"/>
  <c r="R145" i="9"/>
  <c r="Z144" i="9"/>
  <c r="Y144" i="9"/>
  <c r="X144" i="9"/>
  <c r="W144" i="9"/>
  <c r="V144" i="9"/>
  <c r="U144" i="9"/>
  <c r="T144" i="9"/>
  <c r="S144" i="9"/>
  <c r="R144" i="9"/>
  <c r="Z143" i="9"/>
  <c r="Y143" i="9"/>
  <c r="X143" i="9"/>
  <c r="W143" i="9"/>
  <c r="V143" i="9"/>
  <c r="U143" i="9"/>
  <c r="T143" i="9"/>
  <c r="S143" i="9"/>
  <c r="R143" i="9"/>
  <c r="Z142" i="9"/>
  <c r="Y142" i="9"/>
  <c r="X142" i="9"/>
  <c r="W142" i="9"/>
  <c r="V142" i="9"/>
  <c r="U142" i="9"/>
  <c r="T142" i="9"/>
  <c r="S142" i="9"/>
  <c r="R142" i="9"/>
  <c r="Z141" i="9"/>
  <c r="Y141" i="9"/>
  <c r="X141" i="9"/>
  <c r="W141" i="9"/>
  <c r="V141" i="9"/>
  <c r="U141" i="9"/>
  <c r="T141" i="9"/>
  <c r="S141" i="9"/>
  <c r="R141" i="9"/>
  <c r="Z140" i="9"/>
  <c r="Y140" i="9"/>
  <c r="X140" i="9"/>
  <c r="W140" i="9"/>
  <c r="V140" i="9"/>
  <c r="U140" i="9"/>
  <c r="T140" i="9"/>
  <c r="S140" i="9"/>
  <c r="R140" i="9"/>
  <c r="Z139" i="9"/>
  <c r="Y139" i="9"/>
  <c r="X139" i="9"/>
  <c r="W139" i="9"/>
  <c r="V139" i="9"/>
  <c r="U139" i="9"/>
  <c r="T139" i="9"/>
  <c r="S139" i="9"/>
  <c r="R139" i="9"/>
  <c r="Z138" i="9"/>
  <c r="Y138" i="9"/>
  <c r="X138" i="9"/>
  <c r="W138" i="9"/>
  <c r="V138" i="9"/>
  <c r="U138" i="9"/>
  <c r="T138" i="9"/>
  <c r="S138" i="9"/>
  <c r="R138" i="9"/>
  <c r="Z137" i="9"/>
  <c r="Y137" i="9"/>
  <c r="X137" i="9"/>
  <c r="W137" i="9"/>
  <c r="V137" i="9"/>
  <c r="U137" i="9"/>
  <c r="T137" i="9"/>
  <c r="S137" i="9"/>
  <c r="R137" i="9"/>
  <c r="Z136" i="9"/>
  <c r="Y136" i="9"/>
  <c r="X136" i="9"/>
  <c r="W136" i="9"/>
  <c r="V136" i="9"/>
  <c r="U136" i="9"/>
  <c r="T136" i="9"/>
  <c r="S136" i="9"/>
  <c r="R136" i="9"/>
  <c r="Z135" i="9"/>
  <c r="Y135" i="9"/>
  <c r="X135" i="9"/>
  <c r="W135" i="9"/>
  <c r="V135" i="9"/>
  <c r="U135" i="9"/>
  <c r="T135" i="9"/>
  <c r="S135" i="9"/>
  <c r="R135" i="9"/>
  <c r="Z134" i="9"/>
  <c r="Y134" i="9"/>
  <c r="X134" i="9"/>
  <c r="W134" i="9"/>
  <c r="V134" i="9"/>
  <c r="U134" i="9"/>
  <c r="T134" i="9"/>
  <c r="S134" i="9"/>
  <c r="R134" i="9"/>
  <c r="Z133" i="9"/>
  <c r="Y133" i="9"/>
  <c r="X133" i="9"/>
  <c r="W133" i="9"/>
  <c r="V133" i="9"/>
  <c r="U133" i="9"/>
  <c r="T133" i="9"/>
  <c r="S133" i="9"/>
  <c r="R133" i="9"/>
  <c r="Z132" i="9"/>
  <c r="Y132" i="9"/>
  <c r="X132" i="9"/>
  <c r="W132" i="9"/>
  <c r="V132" i="9"/>
  <c r="U132" i="9"/>
  <c r="T132" i="9"/>
  <c r="S132" i="9"/>
  <c r="R132" i="9"/>
  <c r="Z131" i="9"/>
  <c r="Y131" i="9"/>
  <c r="X131" i="9"/>
  <c r="W131" i="9"/>
  <c r="V131" i="9"/>
  <c r="U131" i="9"/>
  <c r="T131" i="9"/>
  <c r="S131" i="9"/>
  <c r="R131" i="9"/>
  <c r="Z130" i="9"/>
  <c r="Y130" i="9"/>
  <c r="X130" i="9"/>
  <c r="W130" i="9"/>
  <c r="V130" i="9"/>
  <c r="U130" i="9"/>
  <c r="T130" i="9"/>
  <c r="S130" i="9"/>
  <c r="R130" i="9"/>
  <c r="Z129" i="9"/>
  <c r="Y129" i="9"/>
  <c r="X129" i="9"/>
  <c r="W129" i="9"/>
  <c r="V129" i="9"/>
  <c r="U129" i="9"/>
  <c r="T129" i="9"/>
  <c r="S129" i="9"/>
  <c r="R129" i="9"/>
  <c r="Z128" i="9"/>
  <c r="Y128" i="9"/>
  <c r="X128" i="9"/>
  <c r="W128" i="9"/>
  <c r="V128" i="9"/>
  <c r="U128" i="9"/>
  <c r="T128" i="9"/>
  <c r="S128" i="9"/>
  <c r="R128" i="9"/>
  <c r="Z127" i="9"/>
  <c r="Y127" i="9"/>
  <c r="X127" i="9"/>
  <c r="W127" i="9"/>
  <c r="V127" i="9"/>
  <c r="U127" i="9"/>
  <c r="T127" i="9"/>
  <c r="S127" i="9"/>
  <c r="R127" i="9"/>
  <c r="Z126" i="9"/>
  <c r="Y126" i="9"/>
  <c r="X126" i="9"/>
  <c r="W126" i="9"/>
  <c r="V126" i="9"/>
  <c r="U126" i="9"/>
  <c r="T126" i="9"/>
  <c r="S126" i="9"/>
  <c r="R126" i="9"/>
  <c r="Z125" i="9"/>
  <c r="Y125" i="9"/>
  <c r="X125" i="9"/>
  <c r="W125" i="9"/>
  <c r="V125" i="9"/>
  <c r="U125" i="9"/>
  <c r="T125" i="9"/>
  <c r="S125" i="9"/>
  <c r="R125" i="9"/>
  <c r="Z124" i="9"/>
  <c r="Y124" i="9"/>
  <c r="X124" i="9"/>
  <c r="W124" i="9"/>
  <c r="V124" i="9"/>
  <c r="U124" i="9"/>
  <c r="T124" i="9"/>
  <c r="S124" i="9"/>
  <c r="R124" i="9"/>
  <c r="Z123" i="9"/>
  <c r="Y123" i="9"/>
  <c r="X123" i="9"/>
  <c r="W123" i="9"/>
  <c r="V123" i="9"/>
  <c r="U123" i="9"/>
  <c r="T123" i="9"/>
  <c r="S123" i="9"/>
  <c r="R123" i="9"/>
  <c r="Z122" i="9"/>
  <c r="Y122" i="9"/>
  <c r="X122" i="9"/>
  <c r="W122" i="9"/>
  <c r="V122" i="9"/>
  <c r="U122" i="9"/>
  <c r="T122" i="9"/>
  <c r="S122" i="9"/>
  <c r="R122" i="9"/>
  <c r="Z121" i="9"/>
  <c r="Y121" i="9"/>
  <c r="X121" i="9"/>
  <c r="W121" i="9"/>
  <c r="V121" i="9"/>
  <c r="U121" i="9"/>
  <c r="T121" i="9"/>
  <c r="S121" i="9"/>
  <c r="R121" i="9"/>
  <c r="Z120" i="9"/>
  <c r="Y120" i="9"/>
  <c r="X120" i="9"/>
  <c r="W120" i="9"/>
  <c r="V120" i="9"/>
  <c r="U120" i="9"/>
  <c r="T120" i="9"/>
  <c r="S120" i="9"/>
  <c r="R120" i="9"/>
  <c r="Z119" i="9"/>
  <c r="Y119" i="9"/>
  <c r="X119" i="9"/>
  <c r="W119" i="9"/>
  <c r="V119" i="9"/>
  <c r="U119" i="9"/>
  <c r="T119" i="9"/>
  <c r="S119" i="9"/>
  <c r="R119" i="9"/>
  <c r="Z118" i="9"/>
  <c r="Y118" i="9"/>
  <c r="X118" i="9"/>
  <c r="W118" i="9"/>
  <c r="V118" i="9"/>
  <c r="U118" i="9"/>
  <c r="T118" i="9"/>
  <c r="S118" i="9"/>
  <c r="R118" i="9"/>
  <c r="Z117" i="9"/>
  <c r="Y117" i="9"/>
  <c r="X117" i="9"/>
  <c r="W117" i="9"/>
  <c r="V117" i="9"/>
  <c r="U117" i="9"/>
  <c r="T117" i="9"/>
  <c r="S117" i="9"/>
  <c r="R117" i="9"/>
  <c r="Z116" i="9"/>
  <c r="Y116" i="9"/>
  <c r="X116" i="9"/>
  <c r="W116" i="9"/>
  <c r="V116" i="9"/>
  <c r="U116" i="9"/>
  <c r="T116" i="9"/>
  <c r="S116" i="9"/>
  <c r="R116" i="9"/>
  <c r="Z115" i="9"/>
  <c r="Y115" i="9"/>
  <c r="X115" i="9"/>
  <c r="W115" i="9"/>
  <c r="V115" i="9"/>
  <c r="U115" i="9"/>
  <c r="T115" i="9"/>
  <c r="S115" i="9"/>
  <c r="R115" i="9"/>
  <c r="Z114" i="9"/>
  <c r="Y114" i="9"/>
  <c r="X114" i="9"/>
  <c r="W114" i="9"/>
  <c r="V114" i="9"/>
  <c r="U114" i="9"/>
  <c r="T114" i="9"/>
  <c r="S114" i="9"/>
  <c r="R114" i="9"/>
  <c r="Z113" i="9"/>
  <c r="Y113" i="9"/>
  <c r="X113" i="9"/>
  <c r="W113" i="9"/>
  <c r="V113" i="9"/>
  <c r="U113" i="9"/>
  <c r="T113" i="9"/>
  <c r="S113" i="9"/>
  <c r="R113" i="9"/>
  <c r="Z112" i="9"/>
  <c r="Y112" i="9"/>
  <c r="X112" i="9"/>
  <c r="W112" i="9"/>
  <c r="V112" i="9"/>
  <c r="U112" i="9"/>
  <c r="T112" i="9"/>
  <c r="S112" i="9"/>
  <c r="R112" i="9"/>
  <c r="Z111" i="9"/>
  <c r="Y111" i="9"/>
  <c r="X111" i="9"/>
  <c r="W111" i="9"/>
  <c r="V111" i="9"/>
  <c r="U111" i="9"/>
  <c r="T111" i="9"/>
  <c r="S111" i="9"/>
  <c r="R111" i="9"/>
  <c r="Z110" i="9"/>
  <c r="Y110" i="9"/>
  <c r="X110" i="9"/>
  <c r="W110" i="9"/>
  <c r="V110" i="9"/>
  <c r="U110" i="9"/>
  <c r="T110" i="9"/>
  <c r="S110" i="9"/>
  <c r="R110" i="9"/>
  <c r="Z109" i="9"/>
  <c r="Y109" i="9"/>
  <c r="X109" i="9"/>
  <c r="W109" i="9"/>
  <c r="V109" i="9"/>
  <c r="U109" i="9"/>
  <c r="T109" i="9"/>
  <c r="S109" i="9"/>
  <c r="R109" i="9"/>
  <c r="Z108" i="9"/>
  <c r="Y108" i="9"/>
  <c r="X108" i="9"/>
  <c r="W108" i="9"/>
  <c r="V108" i="9"/>
  <c r="U108" i="9"/>
  <c r="T108" i="9"/>
  <c r="S108" i="9"/>
  <c r="R108" i="9"/>
  <c r="Z107" i="9"/>
  <c r="Y107" i="9"/>
  <c r="X107" i="9"/>
  <c r="W107" i="9"/>
  <c r="V107" i="9"/>
  <c r="U107" i="9"/>
  <c r="T107" i="9"/>
  <c r="S107" i="9"/>
  <c r="R107" i="9"/>
  <c r="Z106" i="9"/>
  <c r="Y106" i="9"/>
  <c r="X106" i="9"/>
  <c r="W106" i="9"/>
  <c r="V106" i="9"/>
  <c r="U106" i="9"/>
  <c r="T106" i="9"/>
  <c r="S106" i="9"/>
  <c r="R106" i="9"/>
  <c r="Z105" i="9"/>
  <c r="Y105" i="9"/>
  <c r="X105" i="9"/>
  <c r="W105" i="9"/>
  <c r="V105" i="9"/>
  <c r="U105" i="9"/>
  <c r="T105" i="9"/>
  <c r="S105" i="9"/>
  <c r="R105" i="9"/>
  <c r="Z104" i="9"/>
  <c r="Y104" i="9"/>
  <c r="X104" i="9"/>
  <c r="W104" i="9"/>
  <c r="V104" i="9"/>
  <c r="U104" i="9"/>
  <c r="T104" i="9"/>
  <c r="S104" i="9"/>
  <c r="R104" i="9"/>
  <c r="Z103" i="9"/>
  <c r="Y103" i="9"/>
  <c r="X103" i="9"/>
  <c r="W103" i="9"/>
  <c r="V103" i="9"/>
  <c r="U103" i="9"/>
  <c r="T103" i="9"/>
  <c r="S103" i="9"/>
  <c r="R103" i="9"/>
  <c r="Z102" i="9"/>
  <c r="Y102" i="9"/>
  <c r="X102" i="9"/>
  <c r="W102" i="9"/>
  <c r="V102" i="9"/>
  <c r="U102" i="9"/>
  <c r="T102" i="9"/>
  <c r="S102" i="9"/>
  <c r="R102" i="9"/>
  <c r="Z101" i="9"/>
  <c r="Y101" i="9"/>
  <c r="X101" i="9"/>
  <c r="W101" i="9"/>
  <c r="V101" i="9"/>
  <c r="U101" i="9"/>
  <c r="T101" i="9"/>
  <c r="S101" i="9"/>
  <c r="R101" i="9"/>
  <c r="Z100" i="9"/>
  <c r="Y100" i="9"/>
  <c r="X100" i="9"/>
  <c r="W100" i="9"/>
  <c r="V100" i="9"/>
  <c r="U100" i="9"/>
  <c r="T100" i="9"/>
  <c r="S100" i="9"/>
  <c r="R100" i="9"/>
  <c r="Z99" i="9"/>
  <c r="Y99" i="9"/>
  <c r="X99" i="9"/>
  <c r="W99" i="9"/>
  <c r="V99" i="9"/>
  <c r="U99" i="9"/>
  <c r="T99" i="9"/>
  <c r="S99" i="9"/>
  <c r="R99" i="9"/>
  <c r="Z98" i="9"/>
  <c r="Y98" i="9"/>
  <c r="X98" i="9"/>
  <c r="W98" i="9"/>
  <c r="V98" i="9"/>
  <c r="U98" i="9"/>
  <c r="T98" i="9"/>
  <c r="S98" i="9"/>
  <c r="R98" i="9"/>
  <c r="Z97" i="9"/>
  <c r="Y97" i="9"/>
  <c r="X97" i="9"/>
  <c r="W97" i="9"/>
  <c r="V97" i="9"/>
  <c r="U97" i="9"/>
  <c r="T97" i="9"/>
  <c r="S97" i="9"/>
  <c r="R97" i="9"/>
  <c r="Z96" i="9"/>
  <c r="Y96" i="9"/>
  <c r="X96" i="9"/>
  <c r="W96" i="9"/>
  <c r="V96" i="9"/>
  <c r="U96" i="9"/>
  <c r="T96" i="9"/>
  <c r="S96" i="9"/>
  <c r="R96" i="9"/>
  <c r="Z95" i="9"/>
  <c r="Y95" i="9"/>
  <c r="X95" i="9"/>
  <c r="W95" i="9"/>
  <c r="V95" i="9"/>
  <c r="U95" i="9"/>
  <c r="T95" i="9"/>
  <c r="S95" i="9"/>
  <c r="R95" i="9"/>
  <c r="Z94" i="9"/>
  <c r="Y94" i="9"/>
  <c r="X94" i="9"/>
  <c r="W94" i="9"/>
  <c r="V94" i="9"/>
  <c r="U94" i="9"/>
  <c r="T94" i="9"/>
  <c r="S94" i="9"/>
  <c r="R94" i="9"/>
  <c r="Z93" i="9"/>
  <c r="Y93" i="9"/>
  <c r="X93" i="9"/>
  <c r="W93" i="9"/>
  <c r="V93" i="9"/>
  <c r="U93" i="9"/>
  <c r="T93" i="9"/>
  <c r="S93" i="9"/>
  <c r="R93" i="9"/>
  <c r="Z92" i="9"/>
  <c r="Y92" i="9"/>
  <c r="X92" i="9"/>
  <c r="W92" i="9"/>
  <c r="V92" i="9"/>
  <c r="U92" i="9"/>
  <c r="T92" i="9"/>
  <c r="S92" i="9"/>
  <c r="R92" i="9"/>
  <c r="Z91" i="9"/>
  <c r="Y91" i="9"/>
  <c r="X91" i="9"/>
  <c r="W91" i="9"/>
  <c r="V91" i="9"/>
  <c r="U91" i="9"/>
  <c r="T91" i="9"/>
  <c r="S91" i="9"/>
  <c r="R91" i="9"/>
  <c r="Z90" i="9"/>
  <c r="Y90" i="9"/>
  <c r="X90" i="9"/>
  <c r="W90" i="9"/>
  <c r="V90" i="9"/>
  <c r="U90" i="9"/>
  <c r="T90" i="9"/>
  <c r="S90" i="9"/>
  <c r="R90" i="9"/>
  <c r="Z89" i="9"/>
  <c r="Y89" i="9"/>
  <c r="X89" i="9"/>
  <c r="W89" i="9"/>
  <c r="V89" i="9"/>
  <c r="U89" i="9"/>
  <c r="T89" i="9"/>
  <c r="S89" i="9"/>
  <c r="R89" i="9"/>
  <c r="Z88" i="9"/>
  <c r="Y88" i="9"/>
  <c r="X88" i="9"/>
  <c r="W88" i="9"/>
  <c r="V88" i="9"/>
  <c r="U88" i="9"/>
  <c r="T88" i="9"/>
  <c r="S88" i="9"/>
  <c r="R88" i="9"/>
  <c r="Z87" i="9"/>
  <c r="Y87" i="9"/>
  <c r="X87" i="9"/>
  <c r="W87" i="9"/>
  <c r="V87" i="9"/>
  <c r="U87" i="9"/>
  <c r="T87" i="9"/>
  <c r="S87" i="9"/>
  <c r="R87" i="9"/>
  <c r="Z86" i="9"/>
  <c r="Y86" i="9"/>
  <c r="X86" i="9"/>
  <c r="W86" i="9"/>
  <c r="V86" i="9"/>
  <c r="U86" i="9"/>
  <c r="T86" i="9"/>
  <c r="S86" i="9"/>
  <c r="R86" i="9"/>
  <c r="Z85" i="9"/>
  <c r="Y85" i="9"/>
  <c r="X85" i="9"/>
  <c r="W85" i="9"/>
  <c r="V85" i="9"/>
  <c r="U85" i="9"/>
  <c r="T85" i="9"/>
  <c r="S85" i="9"/>
  <c r="R85" i="9"/>
  <c r="Z84" i="9"/>
  <c r="Y84" i="9"/>
  <c r="X84" i="9"/>
  <c r="W84" i="9"/>
  <c r="V84" i="9"/>
  <c r="U84" i="9"/>
  <c r="T84" i="9"/>
  <c r="S84" i="9"/>
  <c r="R84" i="9"/>
  <c r="Z83" i="9"/>
  <c r="Y83" i="9"/>
  <c r="X83" i="9"/>
  <c r="W83" i="9"/>
  <c r="V83" i="9"/>
  <c r="U83" i="9"/>
  <c r="T83" i="9"/>
  <c r="S83" i="9"/>
  <c r="R83" i="9"/>
  <c r="Z82" i="9"/>
  <c r="Y82" i="9"/>
  <c r="X82" i="9"/>
  <c r="W82" i="9"/>
  <c r="V82" i="9"/>
  <c r="U82" i="9"/>
  <c r="T82" i="9"/>
  <c r="S82" i="9"/>
  <c r="R82" i="9"/>
  <c r="Z81" i="9"/>
  <c r="Y81" i="9"/>
  <c r="X81" i="9"/>
  <c r="W81" i="9"/>
  <c r="V81" i="9"/>
  <c r="U81" i="9"/>
  <c r="T81" i="9"/>
  <c r="S81" i="9"/>
  <c r="R81" i="9"/>
  <c r="Z80" i="9"/>
  <c r="Y80" i="9"/>
  <c r="X80" i="9"/>
  <c r="W80" i="9"/>
  <c r="V80" i="9"/>
  <c r="U80" i="9"/>
  <c r="T80" i="9"/>
  <c r="S80" i="9"/>
  <c r="R80" i="9"/>
  <c r="Z79" i="9"/>
  <c r="Y79" i="9"/>
  <c r="X79" i="9"/>
  <c r="W79" i="9"/>
  <c r="V79" i="9"/>
  <c r="U79" i="9"/>
  <c r="T79" i="9"/>
  <c r="S79" i="9"/>
  <c r="R79" i="9"/>
  <c r="Z78" i="9"/>
  <c r="Y78" i="9"/>
  <c r="X78" i="9"/>
  <c r="W78" i="9"/>
  <c r="V78" i="9"/>
  <c r="U78" i="9"/>
  <c r="T78" i="9"/>
  <c r="S78" i="9"/>
  <c r="R78" i="9"/>
  <c r="AO76" i="13"/>
  <c r="AN76" i="13"/>
  <c r="AM76" i="13"/>
  <c r="AL76" i="13"/>
  <c r="AK76" i="13"/>
  <c r="AJ76" i="13"/>
  <c r="AI76" i="13"/>
  <c r="AH76" i="13"/>
  <c r="AG76" i="13"/>
  <c r="AF76" i="13"/>
  <c r="AO75" i="13"/>
  <c r="AN75" i="13"/>
  <c r="AM75" i="13"/>
  <c r="AL75" i="13"/>
  <c r="AK75" i="13"/>
  <c r="AJ75" i="13"/>
  <c r="AI75" i="13"/>
  <c r="AH75" i="13"/>
  <c r="AG75" i="13"/>
  <c r="AF75" i="13"/>
  <c r="AO74" i="13"/>
  <c r="AN74" i="13"/>
  <c r="AM74" i="13"/>
  <c r="AL74" i="13"/>
  <c r="AK74" i="13"/>
  <c r="AJ74" i="13"/>
  <c r="AI74" i="13"/>
  <c r="AH74" i="13"/>
  <c r="AG74" i="13"/>
  <c r="AF74" i="13"/>
  <c r="AO73" i="13"/>
  <c r="AN73" i="13"/>
  <c r="AM73" i="13"/>
  <c r="AL73" i="13"/>
  <c r="AK73" i="13"/>
  <c r="AJ73" i="13"/>
  <c r="AI73" i="13"/>
  <c r="AH73" i="13"/>
  <c r="AG73" i="13"/>
  <c r="AF73" i="13"/>
  <c r="AO72" i="13"/>
  <c r="AN72" i="13"/>
  <c r="AM72" i="13"/>
  <c r="AL72" i="13"/>
  <c r="AK72" i="13"/>
  <c r="AJ72" i="13"/>
  <c r="AI72" i="13"/>
  <c r="AH72" i="13"/>
  <c r="AG72" i="13"/>
  <c r="AF72" i="13"/>
  <c r="AO71" i="13"/>
  <c r="AN71" i="13"/>
  <c r="AM71" i="13"/>
  <c r="AL71" i="13"/>
  <c r="AK71" i="13"/>
  <c r="AJ71" i="13"/>
  <c r="AI71" i="13"/>
  <c r="AH71" i="13"/>
  <c r="AG71" i="13"/>
  <c r="AF71" i="13"/>
  <c r="AO70" i="13"/>
  <c r="AN70" i="13"/>
  <c r="AM70" i="13"/>
  <c r="AL70" i="13"/>
  <c r="AK70" i="13"/>
  <c r="AJ70" i="13"/>
  <c r="AI70" i="13"/>
  <c r="AH70" i="13"/>
  <c r="AG70" i="13"/>
  <c r="AF70" i="13"/>
  <c r="AO69" i="13"/>
  <c r="AN69" i="13"/>
  <c r="AM69" i="13"/>
  <c r="AL69" i="13"/>
  <c r="AK69" i="13"/>
  <c r="AJ69" i="13"/>
  <c r="AI69" i="13"/>
  <c r="AH69" i="13"/>
  <c r="AG69" i="13"/>
  <c r="AF69" i="13"/>
  <c r="AO68" i="13"/>
  <c r="AN68" i="13"/>
  <c r="AM68" i="13"/>
  <c r="AL68" i="13"/>
  <c r="AK68" i="13"/>
  <c r="AJ68" i="13"/>
  <c r="AI68" i="13"/>
  <c r="AH68" i="13"/>
  <c r="AG68" i="13"/>
  <c r="AF68" i="13"/>
  <c r="AO67" i="13"/>
  <c r="AN67" i="13"/>
  <c r="AM67" i="13"/>
  <c r="AL67" i="13"/>
  <c r="AK67" i="13"/>
  <c r="AJ67" i="13"/>
  <c r="AI67" i="13"/>
  <c r="AH67" i="13"/>
  <c r="AG67" i="13"/>
  <c r="AF67" i="13"/>
  <c r="AO66" i="13"/>
  <c r="AN66" i="13"/>
  <c r="AM66" i="13"/>
  <c r="AL66" i="13"/>
  <c r="AK66" i="13"/>
  <c r="AJ66" i="13"/>
  <c r="AI66" i="13"/>
  <c r="AH66" i="13"/>
  <c r="AG66" i="13"/>
  <c r="AF66" i="13"/>
  <c r="AO65" i="13"/>
  <c r="AN65" i="13"/>
  <c r="AM65" i="13"/>
  <c r="AL65" i="13"/>
  <c r="AK65" i="13"/>
  <c r="AJ65" i="13"/>
  <c r="AI65" i="13"/>
  <c r="AH65" i="13"/>
  <c r="AG65" i="13"/>
  <c r="AF65" i="13"/>
  <c r="AO64" i="13"/>
  <c r="AN64" i="13"/>
  <c r="AM64" i="13"/>
  <c r="AL64" i="13"/>
  <c r="AK64" i="13"/>
  <c r="AJ64" i="13"/>
  <c r="AI64" i="13"/>
  <c r="AH64" i="13"/>
  <c r="AG64" i="13"/>
  <c r="AF64" i="13"/>
  <c r="AO63" i="13"/>
  <c r="AN63" i="13"/>
  <c r="AM63" i="13"/>
  <c r="AL63" i="13"/>
  <c r="AK63" i="13"/>
  <c r="AJ63" i="13"/>
  <c r="AI63" i="13"/>
  <c r="AH63" i="13"/>
  <c r="AG63" i="13"/>
  <c r="AF63" i="13"/>
  <c r="AO62" i="13"/>
  <c r="AN62" i="13"/>
  <c r="AM62" i="13"/>
  <c r="AL62" i="13"/>
  <c r="AK62" i="13"/>
  <c r="AJ62" i="13"/>
  <c r="AI62" i="13"/>
  <c r="AH62" i="13"/>
  <c r="AG62" i="13"/>
  <c r="AF62" i="13"/>
  <c r="AO61" i="13"/>
  <c r="AN61" i="13"/>
  <c r="AM61" i="13"/>
  <c r="AL61" i="13"/>
  <c r="AK61" i="13"/>
  <c r="AJ61" i="13"/>
  <c r="AI61" i="13"/>
  <c r="AH61" i="13"/>
  <c r="AG61" i="13"/>
  <c r="AF61" i="13"/>
  <c r="AO60" i="13"/>
  <c r="AN60" i="13"/>
  <c r="AM60" i="13"/>
  <c r="AL60" i="13"/>
  <c r="AK60" i="13"/>
  <c r="AJ60" i="13"/>
  <c r="AI60" i="13"/>
  <c r="AH60" i="13"/>
  <c r="AG60" i="13"/>
  <c r="AF60" i="13"/>
  <c r="AO59" i="13"/>
  <c r="AN59" i="13"/>
  <c r="AM59" i="13"/>
  <c r="AL59" i="13"/>
  <c r="AK59" i="13"/>
  <c r="AJ59" i="13"/>
  <c r="AI59" i="13"/>
  <c r="AH59" i="13"/>
  <c r="AG59" i="13"/>
  <c r="AF59" i="13"/>
  <c r="AO58" i="13"/>
  <c r="AN58" i="13"/>
  <c r="AM58" i="13"/>
  <c r="AL58" i="13"/>
  <c r="AK58" i="13"/>
  <c r="AJ58" i="13"/>
  <c r="AI58" i="13"/>
  <c r="AH58" i="13"/>
  <c r="AG58" i="13"/>
  <c r="AF58" i="13"/>
  <c r="AO57" i="13"/>
  <c r="AN57" i="13"/>
  <c r="AM57" i="13"/>
  <c r="AL57" i="13"/>
  <c r="AK57" i="13"/>
  <c r="AJ57" i="13"/>
  <c r="AI57" i="13"/>
  <c r="AH57" i="13"/>
  <c r="AG57" i="13"/>
  <c r="AF57" i="13"/>
  <c r="AO56" i="13"/>
  <c r="AN56" i="13"/>
  <c r="AM56" i="13"/>
  <c r="AL56" i="13"/>
  <c r="AK56" i="13"/>
  <c r="AJ56" i="13"/>
  <c r="AI56" i="13"/>
  <c r="AH56" i="13"/>
  <c r="AG56" i="13"/>
  <c r="AF56" i="13"/>
  <c r="AO55" i="13"/>
  <c r="AN55" i="13"/>
  <c r="AM55" i="13"/>
  <c r="AL55" i="13"/>
  <c r="AK55" i="13"/>
  <c r="AJ55" i="13"/>
  <c r="AI55" i="13"/>
  <c r="AH55" i="13"/>
  <c r="AG55" i="13"/>
  <c r="AF55" i="13"/>
  <c r="AO54" i="13"/>
  <c r="AN54" i="13"/>
  <c r="AM54" i="13"/>
  <c r="AL54" i="13"/>
  <c r="AK54" i="13"/>
  <c r="AJ54" i="13"/>
  <c r="AI54" i="13"/>
  <c r="AH54" i="13"/>
  <c r="AG54" i="13"/>
  <c r="AF54" i="13"/>
  <c r="AO53" i="13"/>
  <c r="AN53" i="13"/>
  <c r="AM53" i="13"/>
  <c r="AL53" i="13"/>
  <c r="AK53" i="13"/>
  <c r="AJ53" i="13"/>
  <c r="AI53" i="13"/>
  <c r="AH53" i="13"/>
  <c r="AG53" i="13"/>
  <c r="AF53" i="13"/>
  <c r="AO52" i="13"/>
  <c r="AN52" i="13"/>
  <c r="AM52" i="13"/>
  <c r="AL52" i="13"/>
  <c r="AK52" i="13"/>
  <c r="AJ52" i="13"/>
  <c r="AI52" i="13"/>
  <c r="AH52" i="13"/>
  <c r="AG52" i="13"/>
  <c r="AF52" i="13"/>
  <c r="AO51" i="13"/>
  <c r="AN51" i="13"/>
  <c r="AM51" i="13"/>
  <c r="AL51" i="13"/>
  <c r="AK51" i="13"/>
  <c r="AJ51" i="13"/>
  <c r="AI51" i="13"/>
  <c r="AH51" i="13"/>
  <c r="AG51" i="13"/>
  <c r="AF51" i="13"/>
  <c r="AO50" i="13"/>
  <c r="AN50" i="13"/>
  <c r="AM50" i="13"/>
  <c r="AL50" i="13"/>
  <c r="AK50" i="13"/>
  <c r="AJ50" i="13"/>
  <c r="AI50" i="13"/>
  <c r="AH50" i="13"/>
  <c r="AG50" i="13"/>
  <c r="AF50" i="13"/>
  <c r="AO49" i="13"/>
  <c r="AN49" i="13"/>
  <c r="AM49" i="13"/>
  <c r="AL49" i="13"/>
  <c r="AK49" i="13"/>
  <c r="AJ49" i="13"/>
  <c r="AI49" i="13"/>
  <c r="AH49" i="13"/>
  <c r="AG49" i="13"/>
  <c r="AF49" i="13"/>
  <c r="AO48" i="13"/>
  <c r="AN48" i="13"/>
  <c r="AM48" i="13"/>
  <c r="AL48" i="13"/>
  <c r="AK48" i="13"/>
  <c r="AJ48" i="13"/>
  <c r="AI48" i="13"/>
  <c r="AH48" i="13"/>
  <c r="AG48" i="13"/>
  <c r="AF48" i="13"/>
  <c r="AO47" i="13"/>
  <c r="AN47" i="13"/>
  <c r="AM47" i="13"/>
  <c r="AL47" i="13"/>
  <c r="AK47" i="13"/>
  <c r="AJ47" i="13"/>
  <c r="AI47" i="13"/>
  <c r="AH47" i="13"/>
  <c r="AG47" i="13"/>
  <c r="AF47" i="13"/>
  <c r="AO46" i="13"/>
  <c r="AN46" i="13"/>
  <c r="AM46" i="13"/>
  <c r="AL46" i="13"/>
  <c r="AK46" i="13"/>
  <c r="AJ46" i="13"/>
  <c r="AI46" i="13"/>
  <c r="AH46" i="13"/>
  <c r="AG46" i="13"/>
  <c r="AF46" i="13"/>
  <c r="AO45" i="13"/>
  <c r="AN45" i="13"/>
  <c r="AM45" i="13"/>
  <c r="AL45" i="13"/>
  <c r="AK45" i="13"/>
  <c r="AJ45" i="13"/>
  <c r="AI45" i="13"/>
  <c r="AH45" i="13"/>
  <c r="AG45" i="13"/>
  <c r="AF45" i="13"/>
  <c r="AO44" i="13"/>
  <c r="AN44" i="13"/>
  <c r="AM44" i="13"/>
  <c r="AL44" i="13"/>
  <c r="AK44" i="13"/>
  <c r="AJ44" i="13"/>
  <c r="AI44" i="13"/>
  <c r="AH44" i="13"/>
  <c r="AG44" i="13"/>
  <c r="AF44" i="13"/>
  <c r="AO43" i="13"/>
  <c r="AN43" i="13"/>
  <c r="AM43" i="13"/>
  <c r="AL43" i="13"/>
  <c r="AK43" i="13"/>
  <c r="AJ43" i="13"/>
  <c r="AI43" i="13"/>
  <c r="AH43" i="13"/>
  <c r="AG43" i="13"/>
  <c r="AF43" i="13"/>
  <c r="AO42" i="13"/>
  <c r="AN42" i="13"/>
  <c r="AM42" i="13"/>
  <c r="AL42" i="13"/>
  <c r="AK42" i="13"/>
  <c r="AJ42" i="13"/>
  <c r="AI42" i="13"/>
  <c r="AH42" i="13"/>
  <c r="AG42" i="13"/>
  <c r="AF42" i="13"/>
  <c r="AO41" i="13"/>
  <c r="AN41" i="13"/>
  <c r="AM41" i="13"/>
  <c r="AL41" i="13"/>
  <c r="AK41" i="13"/>
  <c r="AJ41" i="13"/>
  <c r="AI41" i="13"/>
  <c r="AH41" i="13"/>
  <c r="AG41" i="13"/>
  <c r="AF41" i="13"/>
  <c r="AO40" i="13"/>
  <c r="AN40" i="13"/>
  <c r="AM40" i="13"/>
  <c r="AL40" i="13"/>
  <c r="AK40" i="13"/>
  <c r="AJ40" i="13"/>
  <c r="AI40" i="13"/>
  <c r="AH40" i="13"/>
  <c r="AG40" i="13"/>
  <c r="AF40" i="13"/>
  <c r="AO39" i="13"/>
  <c r="AN39" i="13"/>
  <c r="AM39" i="13"/>
  <c r="AL39" i="13"/>
  <c r="AK39" i="13"/>
  <c r="AJ39" i="13"/>
  <c r="AI39" i="13"/>
  <c r="AH39" i="13"/>
  <c r="AG39" i="13"/>
  <c r="AF39" i="13"/>
  <c r="AO38" i="13"/>
  <c r="AN38" i="13"/>
  <c r="AM38" i="13"/>
  <c r="AL38" i="13"/>
  <c r="AK38" i="13"/>
  <c r="AJ38" i="13"/>
  <c r="AI38" i="13"/>
  <c r="AH38" i="13"/>
  <c r="AG38" i="13"/>
  <c r="AF38" i="13"/>
  <c r="AO37" i="13"/>
  <c r="AN37" i="13"/>
  <c r="AM37" i="13"/>
  <c r="AL37" i="13"/>
  <c r="AK37" i="13"/>
  <c r="AJ37" i="13"/>
  <c r="AI37" i="13"/>
  <c r="AH37" i="13"/>
  <c r="AG37" i="13"/>
  <c r="AF37" i="13"/>
  <c r="AO36" i="13"/>
  <c r="AN36" i="13"/>
  <c r="AM36" i="13"/>
  <c r="AL36" i="13"/>
  <c r="AK36" i="13"/>
  <c r="AJ36" i="13"/>
  <c r="AI36" i="13"/>
  <c r="AH36" i="13"/>
  <c r="AG36" i="13"/>
  <c r="AF36" i="13"/>
  <c r="AO35" i="13"/>
  <c r="AN35" i="13"/>
  <c r="AM35" i="13"/>
  <c r="AL35" i="13"/>
  <c r="AK35" i="13"/>
  <c r="AJ35" i="13"/>
  <c r="AI35" i="13"/>
  <c r="AH35" i="13"/>
  <c r="AG35" i="13"/>
  <c r="AF35" i="13"/>
  <c r="AO34" i="13"/>
  <c r="AN34" i="13"/>
  <c r="AM34" i="13"/>
  <c r="AL34" i="13"/>
  <c r="AK34" i="13"/>
  <c r="AJ34" i="13"/>
  <c r="AI34" i="13"/>
  <c r="AH34" i="13"/>
  <c r="AG34" i="13"/>
  <c r="AF34" i="13"/>
  <c r="AO33" i="13"/>
  <c r="AN33" i="13"/>
  <c r="AM33" i="13"/>
  <c r="AL33" i="13"/>
  <c r="AK33" i="13"/>
  <c r="AJ33" i="13"/>
  <c r="AI33" i="13"/>
  <c r="AH33" i="13"/>
  <c r="AG33" i="13"/>
  <c r="AF33" i="13"/>
  <c r="AO32" i="13"/>
  <c r="AN32" i="13"/>
  <c r="AM32" i="13"/>
  <c r="AL32" i="13"/>
  <c r="AK32" i="13"/>
  <c r="AJ32" i="13"/>
  <c r="AI32" i="13"/>
  <c r="AH32" i="13"/>
  <c r="AG32" i="13"/>
  <c r="AF32" i="13"/>
  <c r="AO31" i="13"/>
  <c r="AN31" i="13"/>
  <c r="AM31" i="13"/>
  <c r="AL31" i="13"/>
  <c r="AK31" i="13"/>
  <c r="AJ31" i="13"/>
  <c r="AI31" i="13"/>
  <c r="AH31" i="13"/>
  <c r="AG31" i="13"/>
  <c r="AF31" i="13"/>
  <c r="AO30" i="13"/>
  <c r="AN30" i="13"/>
  <c r="AM30" i="13"/>
  <c r="AL30" i="13"/>
  <c r="AK30" i="13"/>
  <c r="AJ30" i="13"/>
  <c r="AI30" i="13"/>
  <c r="AH30" i="13"/>
  <c r="AG30" i="13"/>
  <c r="AF30" i="13"/>
  <c r="AO29" i="13"/>
  <c r="AN29" i="13"/>
  <c r="AM29" i="13"/>
  <c r="AL29" i="13"/>
  <c r="AK29" i="13"/>
  <c r="AJ29" i="13"/>
  <c r="AI29" i="13"/>
  <c r="AH29" i="13"/>
  <c r="AG29" i="13"/>
  <c r="AF29" i="13"/>
  <c r="AO28" i="13"/>
  <c r="AN28" i="13"/>
  <c r="AM28" i="13"/>
  <c r="AL28" i="13"/>
  <c r="AK28" i="13"/>
  <c r="AJ28" i="13"/>
  <c r="AI28" i="13"/>
  <c r="AH28" i="13"/>
  <c r="AG28" i="13"/>
  <c r="AF28" i="13"/>
  <c r="AO27" i="13"/>
  <c r="AN27" i="13"/>
  <c r="AM27" i="13"/>
  <c r="AL27" i="13"/>
  <c r="AK27" i="13"/>
  <c r="AJ27" i="13"/>
  <c r="AI27" i="13"/>
  <c r="AH27" i="13"/>
  <c r="AG27" i="13"/>
  <c r="AF27" i="13"/>
  <c r="AO26" i="13"/>
  <c r="AN26" i="13"/>
  <c r="AM26" i="13"/>
  <c r="AL26" i="13"/>
  <c r="AK26" i="13"/>
  <c r="AJ26" i="13"/>
  <c r="AI26" i="13"/>
  <c r="AH26" i="13"/>
  <c r="AG26" i="13"/>
  <c r="AF26" i="13"/>
  <c r="AO25" i="13"/>
  <c r="AN25" i="13"/>
  <c r="AM25" i="13"/>
  <c r="AL25" i="13"/>
  <c r="AK25" i="13"/>
  <c r="AJ25" i="13"/>
  <c r="AI25" i="13"/>
  <c r="AH25" i="13"/>
  <c r="AG25" i="13"/>
  <c r="AF25" i="13"/>
  <c r="AO24" i="13"/>
  <c r="AN24" i="13"/>
  <c r="AM24" i="13"/>
  <c r="AL24" i="13"/>
  <c r="AK24" i="13"/>
  <c r="AJ24" i="13"/>
  <c r="AI24" i="13"/>
  <c r="AH24" i="13"/>
  <c r="AG24" i="13"/>
  <c r="AF24" i="13"/>
  <c r="AO23" i="13"/>
  <c r="AN23" i="13"/>
  <c r="AM23" i="13"/>
  <c r="AL23" i="13"/>
  <c r="AK23" i="13"/>
  <c r="AJ23" i="13"/>
  <c r="AI23" i="13"/>
  <c r="AH23" i="13"/>
  <c r="AG23" i="13"/>
  <c r="AF23" i="13"/>
  <c r="AO22" i="13"/>
  <c r="AN22" i="13"/>
  <c r="AM22" i="13"/>
  <c r="AL22" i="13"/>
  <c r="AK22" i="13"/>
  <c r="AJ22" i="13"/>
  <c r="AI22" i="13"/>
  <c r="AH22" i="13"/>
  <c r="AG22" i="13"/>
  <c r="AF22" i="13"/>
  <c r="AO21" i="13"/>
  <c r="AN21" i="13"/>
  <c r="AM21" i="13"/>
  <c r="AL21" i="13"/>
  <c r="AK21" i="13"/>
  <c r="AJ21" i="13"/>
  <c r="AI21" i="13"/>
  <c r="AH21" i="13"/>
  <c r="AG21" i="13"/>
  <c r="AF21" i="13"/>
  <c r="AO20" i="13"/>
  <c r="AN20" i="13"/>
  <c r="AM20" i="13"/>
  <c r="AL20" i="13"/>
  <c r="AK20" i="13"/>
  <c r="AJ20" i="13"/>
  <c r="AI20" i="13"/>
  <c r="AH20" i="13"/>
  <c r="AG20" i="13"/>
  <c r="AF20" i="13"/>
  <c r="AO19" i="13"/>
  <c r="AN19" i="13"/>
  <c r="AM19" i="13"/>
  <c r="AL19" i="13"/>
  <c r="AK19" i="13"/>
  <c r="AJ19" i="13"/>
  <c r="AI19" i="13"/>
  <c r="AH19" i="13"/>
  <c r="AG19" i="13"/>
  <c r="AF19" i="13"/>
  <c r="AO18" i="13"/>
  <c r="AN18" i="13"/>
  <c r="AM18" i="13"/>
  <c r="AL18" i="13"/>
  <c r="AK18" i="13"/>
  <c r="AJ18" i="13"/>
  <c r="AI18" i="13"/>
  <c r="AH18" i="13"/>
  <c r="AG18" i="13"/>
  <c r="AF18" i="13"/>
  <c r="AO17" i="13"/>
  <c r="AN17" i="13"/>
  <c r="AM17" i="13"/>
  <c r="AL17" i="13"/>
  <c r="AK17" i="13"/>
  <c r="AJ17" i="13"/>
  <c r="AI17" i="13"/>
  <c r="AH17" i="13"/>
  <c r="AG17" i="13"/>
  <c r="AF17" i="13"/>
  <c r="AO16" i="13"/>
  <c r="AN16" i="13"/>
  <c r="AM16" i="13"/>
  <c r="AL16" i="13"/>
  <c r="AK16" i="13"/>
  <c r="AJ16" i="13"/>
  <c r="AI16" i="13"/>
  <c r="AH16" i="13"/>
  <c r="AG16" i="13"/>
  <c r="AF16" i="13"/>
  <c r="AO15" i="13"/>
  <c r="AN15" i="13"/>
  <c r="AM15" i="13"/>
  <c r="AL15" i="13"/>
  <c r="AK15" i="13"/>
  <c r="AJ15" i="13"/>
  <c r="AI15" i="13"/>
  <c r="AH15" i="13"/>
  <c r="AG15" i="13"/>
  <c r="AF15" i="13"/>
  <c r="AO14" i="13"/>
  <c r="AN14" i="13"/>
  <c r="AM14" i="13"/>
  <c r="AL14" i="13"/>
  <c r="AK14" i="13"/>
  <c r="AJ14" i="13"/>
  <c r="AI14" i="13"/>
  <c r="AH14" i="13"/>
  <c r="AG14" i="13"/>
  <c r="AF14" i="13"/>
  <c r="AO13" i="13"/>
  <c r="AN13" i="13"/>
  <c r="AM13" i="13"/>
  <c r="AL13" i="13"/>
  <c r="AK13" i="13"/>
  <c r="AJ13" i="13"/>
  <c r="AI13" i="13"/>
  <c r="AH13" i="13"/>
  <c r="AG13" i="13"/>
  <c r="AF13" i="13"/>
  <c r="AO12" i="13"/>
  <c r="AN12" i="13"/>
  <c r="AM12" i="13"/>
  <c r="AL12" i="13"/>
  <c r="AK12" i="13"/>
  <c r="AJ12" i="13"/>
  <c r="AI12" i="13"/>
  <c r="AH12" i="13"/>
  <c r="AG12" i="13"/>
  <c r="AF12" i="13"/>
  <c r="AO11" i="13"/>
  <c r="AN11" i="13"/>
  <c r="AM11" i="13"/>
  <c r="AL11" i="13"/>
  <c r="AK11" i="13"/>
  <c r="AJ11" i="13"/>
  <c r="AI11" i="13"/>
  <c r="AH11" i="13"/>
  <c r="AG11" i="13"/>
  <c r="AF11" i="13"/>
  <c r="AO10" i="13"/>
  <c r="AN10" i="13"/>
  <c r="AM10" i="13"/>
  <c r="AL10" i="13"/>
  <c r="AK10" i="13"/>
  <c r="AJ10" i="13"/>
  <c r="AI10" i="13"/>
  <c r="AH10" i="13"/>
  <c r="AG10" i="13"/>
  <c r="AF10" i="13"/>
  <c r="AO9" i="13"/>
  <c r="AN9" i="13"/>
  <c r="AM9" i="13"/>
  <c r="AL9" i="13"/>
  <c r="AK9" i="13"/>
  <c r="AJ9" i="13"/>
  <c r="AI9" i="13"/>
  <c r="AH9" i="13"/>
  <c r="AG9" i="13"/>
  <c r="AF9" i="13"/>
  <c r="AO8" i="13"/>
  <c r="AN8" i="13"/>
  <c r="AM8" i="13"/>
  <c r="AL8" i="13"/>
  <c r="AK8" i="13"/>
  <c r="AJ8" i="13"/>
  <c r="AI8" i="13"/>
  <c r="AH8" i="13"/>
  <c r="AG8" i="13"/>
  <c r="AF8" i="13"/>
  <c r="AO7" i="13"/>
  <c r="AN7" i="13"/>
  <c r="AM7" i="13"/>
  <c r="AL7" i="13"/>
  <c r="AK7" i="13"/>
  <c r="AJ7" i="13"/>
  <c r="AI7" i="13"/>
  <c r="AH7" i="13"/>
  <c r="AG7" i="13"/>
  <c r="AF7" i="13"/>
  <c r="AO6" i="13"/>
  <c r="AN6" i="13"/>
  <c r="AM6" i="13"/>
  <c r="AL6" i="13"/>
  <c r="AK6" i="13"/>
  <c r="AJ6" i="13"/>
  <c r="AI6" i="13"/>
  <c r="AH6" i="13"/>
  <c r="AG6" i="13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X77" i="9" s="1"/>
  <c r="O76" i="9"/>
  <c r="Y76" i="9" s="1"/>
  <c r="O75" i="9"/>
  <c r="O74" i="9"/>
  <c r="O73" i="9"/>
  <c r="Y73" i="9" s="1"/>
  <c r="O72" i="9"/>
  <c r="X72" i="9" s="1"/>
  <c r="O71" i="9"/>
  <c r="O70" i="9"/>
  <c r="O69" i="9"/>
  <c r="V69" i="9" s="1"/>
  <c r="O68" i="9"/>
  <c r="Y68" i="9" s="1"/>
  <c r="O67" i="9"/>
  <c r="R67" i="9" s="1"/>
  <c r="O66" i="9"/>
  <c r="S66" i="9" s="1"/>
  <c r="O65" i="9"/>
  <c r="O64" i="9"/>
  <c r="O63" i="9"/>
  <c r="U63" i="9" s="1"/>
  <c r="O62" i="9"/>
  <c r="Y62" i="9" s="1"/>
  <c r="O61" i="9"/>
  <c r="S61" i="9" s="1"/>
  <c r="O60" i="9"/>
  <c r="U60" i="9" s="1"/>
  <c r="O59" i="9"/>
  <c r="Y59" i="9" s="1"/>
  <c r="O58" i="9"/>
  <c r="S58" i="9" s="1"/>
  <c r="O57" i="9"/>
  <c r="V57" i="9" s="1"/>
  <c r="O56" i="9"/>
  <c r="Y56" i="9" s="1"/>
  <c r="O55" i="9"/>
  <c r="O54" i="9"/>
  <c r="O53" i="9"/>
  <c r="X53" i="9" s="1"/>
  <c r="O52" i="9"/>
  <c r="V52" i="9" s="1"/>
  <c r="O51" i="9"/>
  <c r="O50" i="9"/>
  <c r="V50" i="9" s="1"/>
  <c r="O49" i="9"/>
  <c r="O48" i="9"/>
  <c r="R48" i="9" s="1"/>
  <c r="O47" i="9"/>
  <c r="O46" i="9"/>
  <c r="Y46" i="9" s="1"/>
  <c r="O45" i="9"/>
  <c r="O44" i="9"/>
  <c r="W44" i="9" s="1"/>
  <c r="O43" i="9"/>
  <c r="V43" i="9" s="1"/>
  <c r="O42" i="9"/>
  <c r="S42" i="9" s="1"/>
  <c r="O41" i="9"/>
  <c r="X41" i="9" s="1"/>
  <c r="O40" i="9"/>
  <c r="R40" i="9" s="1"/>
  <c r="O39" i="9"/>
  <c r="O38" i="9"/>
  <c r="X38" i="9" s="1"/>
  <c r="O37" i="9"/>
  <c r="U37" i="9" s="1"/>
  <c r="O36" i="9"/>
  <c r="W36" i="9" s="1"/>
  <c r="O35" i="9"/>
  <c r="S35" i="9" s="1"/>
  <c r="O34" i="9"/>
  <c r="S34" i="9" s="1"/>
  <c r="O33" i="9"/>
  <c r="O32" i="9"/>
  <c r="S32" i="9" s="1"/>
  <c r="O31" i="9"/>
  <c r="O30" i="9"/>
  <c r="X30" i="9" s="1"/>
  <c r="O29" i="9"/>
  <c r="U29" i="9" s="1"/>
  <c r="O28" i="9"/>
  <c r="U28" i="9" s="1"/>
  <c r="O27" i="9"/>
  <c r="X27" i="9" s="1"/>
  <c r="O26" i="9"/>
  <c r="X26" i="9" s="1"/>
  <c r="O25" i="9"/>
  <c r="O24" i="9"/>
  <c r="W24" i="9" s="1"/>
  <c r="O23" i="9"/>
  <c r="V23" i="9" s="1"/>
  <c r="O22" i="9"/>
  <c r="S22" i="9" s="1"/>
  <c r="O21" i="9"/>
  <c r="O20" i="9"/>
  <c r="W20" i="9" s="1"/>
  <c r="O19" i="9"/>
  <c r="X19" i="9" s="1"/>
  <c r="O18" i="9"/>
  <c r="O17" i="9"/>
  <c r="V17" i="9" s="1"/>
  <c r="O16" i="9"/>
  <c r="U16" i="9" s="1"/>
  <c r="O15" i="9"/>
  <c r="Z15" i="9" s="1"/>
  <c r="O14" i="9"/>
  <c r="W14" i="9" s="1"/>
  <c r="O13" i="9"/>
  <c r="V13" i="9" s="1"/>
  <c r="O12" i="9"/>
  <c r="U12" i="9" s="1"/>
  <c r="O11" i="9"/>
  <c r="O10" i="9"/>
  <c r="U10" i="9" s="1"/>
  <c r="O9" i="9"/>
  <c r="T9" i="9" s="1"/>
  <c r="O8" i="9"/>
  <c r="S8" i="9" s="1"/>
  <c r="O7" i="9"/>
  <c r="S7" i="9" s="1"/>
  <c r="O6" i="9"/>
  <c r="W6" i="9" s="1"/>
  <c r="T75" i="9"/>
  <c r="Y74" i="9"/>
  <c r="W73" i="9"/>
  <c r="R73" i="9"/>
  <c r="X71" i="9"/>
  <c r="R65" i="9"/>
  <c r="T57" i="9"/>
  <c r="Y55" i="9"/>
  <c r="Y54" i="9"/>
  <c r="R53" i="9"/>
  <c r="Y53" i="9"/>
  <c r="S51" i="9"/>
  <c r="U51" i="9"/>
  <c r="W47" i="9"/>
  <c r="U45" i="9"/>
  <c r="T39" i="9"/>
  <c r="V31" i="9"/>
  <c r="Z31" i="9"/>
  <c r="V27" i="9"/>
  <c r="U25" i="9"/>
  <c r="U21" i="9"/>
  <c r="Y11" i="9"/>
  <c r="W3" i="14" l="1"/>
  <c r="AH97" i="14" s="1"/>
  <c r="AS97" i="14" s="1"/>
  <c r="Z4" i="14"/>
  <c r="Y4" i="14"/>
  <c r="W4" i="14"/>
  <c r="Y3" i="14"/>
  <c r="AJ80" i="14" s="1"/>
  <c r="AU80" i="14" s="1"/>
  <c r="S3" i="14"/>
  <c r="AD93" i="14" s="1"/>
  <c r="AO93" i="14" s="1"/>
  <c r="Z3" i="14"/>
  <c r="R4" i="14"/>
  <c r="AJ107" i="14"/>
  <c r="AU107" i="14" s="1"/>
  <c r="AJ82" i="14"/>
  <c r="AU82" i="14" s="1"/>
  <c r="AJ60" i="14"/>
  <c r="AU60" i="14" s="1"/>
  <c r="AJ63" i="14"/>
  <c r="AU63" i="14" s="1"/>
  <c r="AJ34" i="14"/>
  <c r="AU34" i="14" s="1"/>
  <c r="AJ30" i="14"/>
  <c r="AU30" i="14" s="1"/>
  <c r="AJ45" i="14"/>
  <c r="AU45" i="14" s="1"/>
  <c r="AJ43" i="14"/>
  <c r="AU43" i="14" s="1"/>
  <c r="AJ17" i="14"/>
  <c r="AU17" i="14" s="1"/>
  <c r="AJ44" i="14"/>
  <c r="AU44" i="14" s="1"/>
  <c r="AJ16" i="14"/>
  <c r="AU16" i="14" s="1"/>
  <c r="AJ53" i="14"/>
  <c r="AU53" i="14" s="1"/>
  <c r="AJ37" i="14"/>
  <c r="AU37" i="14" s="1"/>
  <c r="AD104" i="14"/>
  <c r="AO104" i="14" s="1"/>
  <c r="AH102" i="14"/>
  <c r="AS102" i="14" s="1"/>
  <c r="AH98" i="14"/>
  <c r="AS98" i="14" s="1"/>
  <c r="AH94" i="14"/>
  <c r="AS94" i="14" s="1"/>
  <c r="AH90" i="14"/>
  <c r="AS90" i="14" s="1"/>
  <c r="AH89" i="14"/>
  <c r="AS89" i="14" s="1"/>
  <c r="AH82" i="14"/>
  <c r="AS82" i="14" s="1"/>
  <c r="AH106" i="14"/>
  <c r="AS106" i="14" s="1"/>
  <c r="AH78" i="14"/>
  <c r="AS78" i="14" s="1"/>
  <c r="AH50" i="14"/>
  <c r="AS50" i="14" s="1"/>
  <c r="AH46" i="14"/>
  <c r="AS46" i="14" s="1"/>
  <c r="AH108" i="14"/>
  <c r="AS108" i="14" s="1"/>
  <c r="AH61" i="14"/>
  <c r="AS61" i="14" s="1"/>
  <c r="AH57" i="14"/>
  <c r="AS57" i="14" s="1"/>
  <c r="AH45" i="14"/>
  <c r="AS45" i="14" s="1"/>
  <c r="AH40" i="14"/>
  <c r="AS40" i="14" s="1"/>
  <c r="AH37" i="14"/>
  <c r="AS37" i="14" s="1"/>
  <c r="AH33" i="14"/>
  <c r="AS33" i="14" s="1"/>
  <c r="AH29" i="14"/>
  <c r="AS29" i="14" s="1"/>
  <c r="AH25" i="14"/>
  <c r="AS25" i="14" s="1"/>
  <c r="AH24" i="14"/>
  <c r="AS24" i="14" s="1"/>
  <c r="AH17" i="14"/>
  <c r="AS17" i="14" s="1"/>
  <c r="AH16" i="14"/>
  <c r="AS16" i="14" s="1"/>
  <c r="AH13" i="14"/>
  <c r="AS13" i="14" s="1"/>
  <c r="AH8" i="14"/>
  <c r="AS8" i="14" s="1"/>
  <c r="AH63" i="14"/>
  <c r="AS63" i="14" s="1"/>
  <c r="AH80" i="14"/>
  <c r="AS80" i="14" s="1"/>
  <c r="AH67" i="14"/>
  <c r="AS67" i="14" s="1"/>
  <c r="AH56" i="14"/>
  <c r="AS56" i="14" s="1"/>
  <c r="AH51" i="14"/>
  <c r="AS51" i="14" s="1"/>
  <c r="AH104" i="14"/>
  <c r="AS104" i="14" s="1"/>
  <c r="AH79" i="14"/>
  <c r="AS79" i="14" s="1"/>
  <c r="AH71" i="14"/>
  <c r="AS71" i="14" s="1"/>
  <c r="AH55" i="14"/>
  <c r="AS55" i="14" s="1"/>
  <c r="AH52" i="14"/>
  <c r="AS52" i="14" s="1"/>
  <c r="T4" i="14"/>
  <c r="T3" i="14"/>
  <c r="X4" i="14"/>
  <c r="X3" i="14"/>
  <c r="S4" i="14"/>
  <c r="U4" i="14"/>
  <c r="U3" i="14"/>
  <c r="R3" i="14"/>
  <c r="V4" i="14"/>
  <c r="V3" i="14"/>
  <c r="BA2" i="13"/>
  <c r="AU3" i="13"/>
  <c r="AY3" i="13"/>
  <c r="AR2" i="13"/>
  <c r="AZ2" i="13"/>
  <c r="AS2" i="13"/>
  <c r="AW2" i="13"/>
  <c r="AV3" i="13"/>
  <c r="AU3" i="9"/>
  <c r="AS2" i="9"/>
  <c r="AP3" i="9"/>
  <c r="AT3" i="9"/>
  <c r="AO2" i="9"/>
  <c r="W12" i="9"/>
  <c r="U26" i="9"/>
  <c r="U34" i="9"/>
  <c r="T22" i="9"/>
  <c r="Y72" i="9"/>
  <c r="S24" i="9"/>
  <c r="Y28" i="9"/>
  <c r="U36" i="9"/>
  <c r="T76" i="9"/>
  <c r="U20" i="9"/>
  <c r="T77" i="9"/>
  <c r="U40" i="9"/>
  <c r="W32" i="9"/>
  <c r="R36" i="9"/>
  <c r="Z40" i="9"/>
  <c r="S72" i="9"/>
  <c r="U77" i="9"/>
  <c r="Y77" i="9"/>
  <c r="W40" i="9"/>
  <c r="T41" i="9"/>
  <c r="X43" i="9"/>
  <c r="X52" i="9"/>
  <c r="T53" i="9"/>
  <c r="R77" i="9"/>
  <c r="V77" i="9"/>
  <c r="Z77" i="9"/>
  <c r="S77" i="9"/>
  <c r="W77" i="9"/>
  <c r="T7" i="9"/>
  <c r="R15" i="9"/>
  <c r="X22" i="9"/>
  <c r="R27" i="9"/>
  <c r="R43" i="9"/>
  <c r="U22" i="9"/>
  <c r="U6" i="9"/>
  <c r="Y30" i="9"/>
  <c r="W7" i="9"/>
  <c r="S11" i="9"/>
  <c r="Z11" i="9"/>
  <c r="Y24" i="9"/>
  <c r="X25" i="9"/>
  <c r="X29" i="9"/>
  <c r="T30" i="9"/>
  <c r="Y32" i="9"/>
  <c r="T38" i="9"/>
  <c r="X45" i="9"/>
  <c r="S46" i="9"/>
  <c r="Z46" i="9"/>
  <c r="V48" i="9"/>
  <c r="U49" i="9"/>
  <c r="V61" i="9"/>
  <c r="V65" i="9"/>
  <c r="T68" i="9"/>
  <c r="Y75" i="9"/>
  <c r="S6" i="9"/>
  <c r="R7" i="9"/>
  <c r="X7" i="9"/>
  <c r="T11" i="9"/>
  <c r="V15" i="9"/>
  <c r="R20" i="9"/>
  <c r="Y22" i="9"/>
  <c r="R24" i="9"/>
  <c r="Z24" i="9"/>
  <c r="Z29" i="9"/>
  <c r="U30" i="9"/>
  <c r="S31" i="9"/>
  <c r="R32" i="9"/>
  <c r="Z32" i="9"/>
  <c r="X34" i="9"/>
  <c r="T37" i="9"/>
  <c r="U38" i="9"/>
  <c r="S40" i="9"/>
  <c r="T46" i="9"/>
  <c r="X48" i="9"/>
  <c r="W49" i="9"/>
  <c r="S53" i="9"/>
  <c r="Z53" i="9"/>
  <c r="Z61" i="9"/>
  <c r="X65" i="9"/>
  <c r="X67" i="9"/>
  <c r="X68" i="9"/>
  <c r="T72" i="9"/>
  <c r="S73" i="9"/>
  <c r="S74" i="9"/>
  <c r="W11" i="9"/>
  <c r="Y38" i="9"/>
  <c r="W46" i="9"/>
  <c r="R11" i="9"/>
  <c r="X11" i="9"/>
  <c r="U24" i="9"/>
  <c r="T25" i="9"/>
  <c r="R29" i="9"/>
  <c r="S30" i="9"/>
  <c r="U32" i="9"/>
  <c r="S38" i="9"/>
  <c r="Y40" i="9"/>
  <c r="S45" i="9"/>
  <c r="R46" i="9"/>
  <c r="X46" i="9"/>
  <c r="S49" i="9"/>
  <c r="W53" i="9"/>
  <c r="T59" i="9"/>
  <c r="W66" i="9"/>
  <c r="S68" i="9"/>
  <c r="S69" i="9"/>
  <c r="X73" i="9"/>
  <c r="Y33" i="9"/>
  <c r="R33" i="9"/>
  <c r="W10" i="9"/>
  <c r="T13" i="9"/>
  <c r="T17" i="9"/>
  <c r="S19" i="9"/>
  <c r="T21" i="9"/>
  <c r="T23" i="9"/>
  <c r="Y26" i="9"/>
  <c r="Z28" i="9"/>
  <c r="S28" i="9"/>
  <c r="U33" i="9"/>
  <c r="Y35" i="9"/>
  <c r="Z35" i="9"/>
  <c r="T35" i="9"/>
  <c r="W35" i="9"/>
  <c r="Y37" i="9"/>
  <c r="Y39" i="9"/>
  <c r="W39" i="9"/>
  <c r="R39" i="9"/>
  <c r="X39" i="9"/>
  <c r="U42" i="9"/>
  <c r="Y7" i="9"/>
  <c r="Z7" i="9"/>
  <c r="V7" i="9"/>
  <c r="X9" i="9"/>
  <c r="S12" i="9"/>
  <c r="R13" i="9"/>
  <c r="T15" i="9"/>
  <c r="R17" i="9"/>
  <c r="V19" i="9"/>
  <c r="Z20" i="9"/>
  <c r="S20" i="9"/>
  <c r="Y20" i="9"/>
  <c r="X21" i="9"/>
  <c r="S26" i="9"/>
  <c r="Y27" i="9"/>
  <c r="Z27" i="9"/>
  <c r="T27" i="9"/>
  <c r="W27" i="9"/>
  <c r="R28" i="9"/>
  <c r="Y29" i="9"/>
  <c r="Y31" i="9"/>
  <c r="W31" i="9"/>
  <c r="R31" i="9"/>
  <c r="X31" i="9"/>
  <c r="X33" i="9"/>
  <c r="R35" i="9"/>
  <c r="X35" i="9"/>
  <c r="R37" i="9"/>
  <c r="Z37" i="9"/>
  <c r="S39" i="9"/>
  <c r="Z39" i="9"/>
  <c r="Y41" i="9"/>
  <c r="R41" i="9"/>
  <c r="Z41" i="9"/>
  <c r="X42" i="9"/>
  <c r="S43" i="9"/>
  <c r="T45" i="9"/>
  <c r="T48" i="9"/>
  <c r="Z48" i="9"/>
  <c r="R52" i="9"/>
  <c r="R57" i="9"/>
  <c r="Z57" i="9"/>
  <c r="Y61" i="9"/>
  <c r="W61" i="9"/>
  <c r="R61" i="9"/>
  <c r="X61" i="9"/>
  <c r="Y65" i="9"/>
  <c r="Z65" i="9"/>
  <c r="T65" i="9"/>
  <c r="W65" i="9"/>
  <c r="R66" i="9"/>
  <c r="T67" i="9"/>
  <c r="R69" i="9"/>
  <c r="X69" i="9"/>
  <c r="T71" i="9"/>
  <c r="R71" i="9"/>
  <c r="W19" i="9"/>
  <c r="Y23" i="9"/>
  <c r="W23" i="9"/>
  <c r="R23" i="9"/>
  <c r="Z33" i="9"/>
  <c r="Y42" i="9"/>
  <c r="Z44" i="9"/>
  <c r="S44" i="9"/>
  <c r="Y44" i="9"/>
  <c r="Y50" i="9"/>
  <c r="Z50" i="9"/>
  <c r="T50" i="9"/>
  <c r="W50" i="9"/>
  <c r="W70" i="9"/>
  <c r="S70" i="9"/>
  <c r="X13" i="9"/>
  <c r="Y15" i="9"/>
  <c r="X15" i="9"/>
  <c r="S15" i="9"/>
  <c r="W15" i="9"/>
  <c r="W16" i="9"/>
  <c r="X17" i="9"/>
  <c r="R19" i="9"/>
  <c r="R21" i="9"/>
  <c r="Z21" i="9"/>
  <c r="S23" i="9"/>
  <c r="Z23" i="9"/>
  <c r="Y25" i="9"/>
  <c r="R25" i="9"/>
  <c r="Z25" i="9"/>
  <c r="S27" i="9"/>
  <c r="W28" i="9"/>
  <c r="T29" i="9"/>
  <c r="T31" i="9"/>
  <c r="T33" i="9"/>
  <c r="T34" i="9"/>
  <c r="Y34" i="9"/>
  <c r="V35" i="9"/>
  <c r="Z36" i="9"/>
  <c r="S36" i="9"/>
  <c r="Y36" i="9"/>
  <c r="X37" i="9"/>
  <c r="V39" i="9"/>
  <c r="U41" i="9"/>
  <c r="Y43" i="9"/>
  <c r="Z43" i="9"/>
  <c r="T43" i="9"/>
  <c r="W43" i="9"/>
  <c r="R44" i="9"/>
  <c r="Y45" i="9"/>
  <c r="R50" i="9"/>
  <c r="X50" i="9"/>
  <c r="Y51" i="9"/>
  <c r="T61" i="9"/>
  <c r="S65" i="9"/>
  <c r="Y66" i="9"/>
  <c r="Y67" i="9"/>
  <c r="R70" i="9"/>
  <c r="Y71" i="9"/>
  <c r="Z9" i="9"/>
  <c r="R9" i="9"/>
  <c r="Y19" i="9"/>
  <c r="Z19" i="9"/>
  <c r="T19" i="9"/>
  <c r="Y21" i="9"/>
  <c r="X23" i="9"/>
  <c r="T42" i="9"/>
  <c r="V9" i="9"/>
  <c r="Z13" i="9"/>
  <c r="Z17" i="9"/>
  <c r="T26" i="9"/>
  <c r="U44" i="9"/>
  <c r="S50" i="9"/>
  <c r="T52" i="9"/>
  <c r="Z52" i="9"/>
  <c r="Y57" i="9"/>
  <c r="X57" i="9"/>
  <c r="S57" i="9"/>
  <c r="W57" i="9"/>
  <c r="Y69" i="9"/>
  <c r="Z69" i="9"/>
  <c r="T69" i="9"/>
  <c r="W69" i="9"/>
  <c r="Y70" i="9"/>
  <c r="V11" i="9"/>
  <c r="V46" i="9"/>
  <c r="V53" i="9"/>
  <c r="T73" i="9"/>
  <c r="Z73" i="9"/>
  <c r="V73" i="9"/>
  <c r="Z14" i="9"/>
  <c r="V14" i="9"/>
  <c r="R14" i="9"/>
  <c r="X14" i="9"/>
  <c r="T14" i="9"/>
  <c r="U14" i="9"/>
  <c r="S14" i="9"/>
  <c r="X8" i="9"/>
  <c r="T8" i="9"/>
  <c r="Z8" i="9"/>
  <c r="V8" i="9"/>
  <c r="R8" i="9"/>
  <c r="W8" i="9"/>
  <c r="U8" i="9"/>
  <c r="Y8" i="9"/>
  <c r="Z18" i="9"/>
  <c r="V18" i="9"/>
  <c r="W18" i="9"/>
  <c r="R18" i="9"/>
  <c r="Y18" i="9"/>
  <c r="T18" i="9"/>
  <c r="X18" i="9"/>
  <c r="U18" i="9"/>
  <c r="S18" i="9"/>
  <c r="Y14" i="9"/>
  <c r="Z10" i="9"/>
  <c r="V10" i="9"/>
  <c r="R10" i="9"/>
  <c r="X10" i="9"/>
  <c r="T10" i="9"/>
  <c r="Y10" i="9"/>
  <c r="X16" i="9"/>
  <c r="T16" i="9"/>
  <c r="Z16" i="9"/>
  <c r="V16" i="9"/>
  <c r="R16" i="9"/>
  <c r="Y16" i="9"/>
  <c r="W55" i="9"/>
  <c r="S55" i="9"/>
  <c r="Z55" i="9"/>
  <c r="U55" i="9"/>
  <c r="X55" i="9"/>
  <c r="R55" i="9"/>
  <c r="V55" i="9"/>
  <c r="T55" i="9"/>
  <c r="Z64" i="9"/>
  <c r="V64" i="9"/>
  <c r="R64" i="9"/>
  <c r="X64" i="9"/>
  <c r="S64" i="9"/>
  <c r="T64" i="9"/>
  <c r="W64" i="9"/>
  <c r="U64" i="9"/>
  <c r="Y64" i="9"/>
  <c r="X47" i="9"/>
  <c r="T47" i="9"/>
  <c r="Z47" i="9"/>
  <c r="V47" i="9"/>
  <c r="R47" i="9"/>
  <c r="U47" i="9"/>
  <c r="Y47" i="9"/>
  <c r="S47" i="9"/>
  <c r="Z56" i="9"/>
  <c r="V56" i="9"/>
  <c r="R56" i="9"/>
  <c r="U56" i="9"/>
  <c r="X56" i="9"/>
  <c r="S56" i="9"/>
  <c r="W56" i="9"/>
  <c r="T56" i="9"/>
  <c r="Z6" i="9"/>
  <c r="V6" i="9"/>
  <c r="R6" i="9"/>
  <c r="X6" i="9"/>
  <c r="T6" i="9"/>
  <c r="Y6" i="9"/>
  <c r="S10" i="9"/>
  <c r="X12" i="9"/>
  <c r="T12" i="9"/>
  <c r="Z12" i="9"/>
  <c r="V12" i="9"/>
  <c r="R12" i="9"/>
  <c r="Y12" i="9"/>
  <c r="S16" i="9"/>
  <c r="X54" i="9"/>
  <c r="T54" i="9"/>
  <c r="Z54" i="9"/>
  <c r="U54" i="9"/>
  <c r="W54" i="9"/>
  <c r="R54" i="9"/>
  <c r="V54" i="9"/>
  <c r="S54" i="9"/>
  <c r="U9" i="9"/>
  <c r="Y9" i="9"/>
  <c r="U13" i="9"/>
  <c r="Y13" i="9"/>
  <c r="U17" i="9"/>
  <c r="Y17" i="9"/>
  <c r="X58" i="9"/>
  <c r="T58" i="9"/>
  <c r="Z58" i="9"/>
  <c r="U58" i="9"/>
  <c r="W58" i="9"/>
  <c r="R58" i="9"/>
  <c r="V58" i="9"/>
  <c r="Z60" i="9"/>
  <c r="V60" i="9"/>
  <c r="R60" i="9"/>
  <c r="X60" i="9"/>
  <c r="S60" i="9"/>
  <c r="W60" i="9"/>
  <c r="T60" i="9"/>
  <c r="Y60" i="9"/>
  <c r="X62" i="9"/>
  <c r="T62" i="9"/>
  <c r="W62" i="9"/>
  <c r="R62" i="9"/>
  <c r="Z62" i="9"/>
  <c r="S62" i="9"/>
  <c r="V62" i="9"/>
  <c r="U62" i="9"/>
  <c r="W63" i="9"/>
  <c r="S63" i="9"/>
  <c r="X63" i="9"/>
  <c r="R63" i="9"/>
  <c r="Z63" i="9"/>
  <c r="T63" i="9"/>
  <c r="V63" i="9"/>
  <c r="U7" i="9"/>
  <c r="S9" i="9"/>
  <c r="W9" i="9"/>
  <c r="U11" i="9"/>
  <c r="S13" i="9"/>
  <c r="W13" i="9"/>
  <c r="U15" i="9"/>
  <c r="S17" i="9"/>
  <c r="W17" i="9"/>
  <c r="X20" i="9"/>
  <c r="T20" i="9"/>
  <c r="V20" i="9"/>
  <c r="W21" i="9"/>
  <c r="S21" i="9"/>
  <c r="V21" i="9"/>
  <c r="Z22" i="9"/>
  <c r="V22" i="9"/>
  <c r="R22" i="9"/>
  <c r="W22" i="9"/>
  <c r="X24" i="9"/>
  <c r="T24" i="9"/>
  <c r="V24" i="9"/>
  <c r="W25" i="9"/>
  <c r="S25" i="9"/>
  <c r="V25" i="9"/>
  <c r="Z26" i="9"/>
  <c r="V26" i="9"/>
  <c r="R26" i="9"/>
  <c r="W26" i="9"/>
  <c r="X28" i="9"/>
  <c r="T28" i="9"/>
  <c r="V28" i="9"/>
  <c r="W29" i="9"/>
  <c r="S29" i="9"/>
  <c r="V29" i="9"/>
  <c r="Z30" i="9"/>
  <c r="V30" i="9"/>
  <c r="R30" i="9"/>
  <c r="W30" i="9"/>
  <c r="X32" i="9"/>
  <c r="T32" i="9"/>
  <c r="V32" i="9"/>
  <c r="W33" i="9"/>
  <c r="S33" i="9"/>
  <c r="V33" i="9"/>
  <c r="Z34" i="9"/>
  <c r="V34" i="9"/>
  <c r="R34" i="9"/>
  <c r="W34" i="9"/>
  <c r="X36" i="9"/>
  <c r="T36" i="9"/>
  <c r="V36" i="9"/>
  <c r="W37" i="9"/>
  <c r="S37" i="9"/>
  <c r="V37" i="9"/>
  <c r="Z38" i="9"/>
  <c r="V38" i="9"/>
  <c r="R38" i="9"/>
  <c r="W38" i="9"/>
  <c r="X40" i="9"/>
  <c r="T40" i="9"/>
  <c r="V40" i="9"/>
  <c r="W41" i="9"/>
  <c r="S41" i="9"/>
  <c r="V41" i="9"/>
  <c r="Z42" i="9"/>
  <c r="V42" i="9"/>
  <c r="R42" i="9"/>
  <c r="W42" i="9"/>
  <c r="X44" i="9"/>
  <c r="T44" i="9"/>
  <c r="V44" i="9"/>
  <c r="X51" i="9"/>
  <c r="T51" i="9"/>
  <c r="Z51" i="9"/>
  <c r="V51" i="9"/>
  <c r="R51" i="9"/>
  <c r="W51" i="9"/>
  <c r="Y58" i="9"/>
  <c r="W59" i="9"/>
  <c r="S59" i="9"/>
  <c r="Z59" i="9"/>
  <c r="U59" i="9"/>
  <c r="X59" i="9"/>
  <c r="R59" i="9"/>
  <c r="V59" i="9"/>
  <c r="Y63" i="9"/>
  <c r="U19" i="9"/>
  <c r="U23" i="9"/>
  <c r="U27" i="9"/>
  <c r="U31" i="9"/>
  <c r="U35" i="9"/>
  <c r="U39" i="9"/>
  <c r="U43" i="9"/>
  <c r="Z45" i="9"/>
  <c r="V45" i="9"/>
  <c r="R45" i="9"/>
  <c r="W45" i="9"/>
  <c r="Z49" i="9"/>
  <c r="V49" i="9"/>
  <c r="R49" i="9"/>
  <c r="X49" i="9"/>
  <c r="T49" i="9"/>
  <c r="Y49" i="9"/>
  <c r="U48" i="9"/>
  <c r="Y48" i="9"/>
  <c r="U52" i="9"/>
  <c r="Y52" i="9"/>
  <c r="U46" i="9"/>
  <c r="S48" i="9"/>
  <c r="W48" i="9"/>
  <c r="U50" i="9"/>
  <c r="S52" i="9"/>
  <c r="W52" i="9"/>
  <c r="X66" i="9"/>
  <c r="T66" i="9"/>
  <c r="V66" i="9"/>
  <c r="W67" i="9"/>
  <c r="S67" i="9"/>
  <c r="V67" i="9"/>
  <c r="Z68" i="9"/>
  <c r="V68" i="9"/>
  <c r="R68" i="9"/>
  <c r="W68" i="9"/>
  <c r="X70" i="9"/>
  <c r="T70" i="9"/>
  <c r="V70" i="9"/>
  <c r="W71" i="9"/>
  <c r="S71" i="9"/>
  <c r="V71" i="9"/>
  <c r="Z72" i="9"/>
  <c r="V72" i="9"/>
  <c r="R72" i="9"/>
  <c r="W72" i="9"/>
  <c r="X74" i="9"/>
  <c r="T74" i="9"/>
  <c r="V74" i="9"/>
  <c r="W75" i="9"/>
  <c r="S75" i="9"/>
  <c r="V75" i="9"/>
  <c r="Z76" i="9"/>
  <c r="V76" i="9"/>
  <c r="R76" i="9"/>
  <c r="W76" i="9"/>
  <c r="U53" i="9"/>
  <c r="U57" i="9"/>
  <c r="R74" i="9"/>
  <c r="W74" i="9"/>
  <c r="R75" i="9"/>
  <c r="X75" i="9"/>
  <c r="S76" i="9"/>
  <c r="X76" i="9"/>
  <c r="U66" i="9"/>
  <c r="Z66" i="9"/>
  <c r="U67" i="9"/>
  <c r="Z67" i="9"/>
  <c r="U68" i="9"/>
  <c r="U70" i="9"/>
  <c r="Z70" i="9"/>
  <c r="U71" i="9"/>
  <c r="Z71" i="9"/>
  <c r="U72" i="9"/>
  <c r="U74" i="9"/>
  <c r="Z74" i="9"/>
  <c r="U75" i="9"/>
  <c r="Z75" i="9"/>
  <c r="U76" i="9"/>
  <c r="U61" i="9"/>
  <c r="U65" i="9"/>
  <c r="U69" i="9"/>
  <c r="U73" i="9"/>
  <c r="AO3" i="13"/>
  <c r="AC76" i="13"/>
  <c r="AC75" i="13"/>
  <c r="AC74" i="13"/>
  <c r="AC73" i="13"/>
  <c r="AC72" i="13"/>
  <c r="AC71" i="13"/>
  <c r="AC70" i="13"/>
  <c r="AC69" i="13"/>
  <c r="AC68" i="13"/>
  <c r="AC67" i="13"/>
  <c r="AC66" i="13"/>
  <c r="AC65" i="13"/>
  <c r="AC64" i="13"/>
  <c r="AC63" i="13"/>
  <c r="AC62" i="13"/>
  <c r="AC61" i="13"/>
  <c r="AC60" i="13"/>
  <c r="AC59" i="13"/>
  <c r="AC58" i="13"/>
  <c r="AC57" i="13"/>
  <c r="AC56" i="13"/>
  <c r="AC55" i="13"/>
  <c r="AC54" i="13"/>
  <c r="AC53" i="13"/>
  <c r="AC52" i="13"/>
  <c r="AC51" i="13"/>
  <c r="AC50" i="13"/>
  <c r="AC49" i="13"/>
  <c r="AC48" i="13"/>
  <c r="AC47" i="13"/>
  <c r="AC46" i="13"/>
  <c r="AC45" i="13"/>
  <c r="AC44" i="13"/>
  <c r="AC43" i="13"/>
  <c r="AC42" i="13"/>
  <c r="AC41" i="13"/>
  <c r="AC40" i="13"/>
  <c r="AC39" i="13"/>
  <c r="AC38" i="13"/>
  <c r="AC37" i="13"/>
  <c r="AC36" i="13"/>
  <c r="AC35" i="13"/>
  <c r="AC34" i="13"/>
  <c r="AC33" i="13"/>
  <c r="AC32" i="13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9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6" i="13"/>
  <c r="AC3" i="13"/>
  <c r="Q76" i="13"/>
  <c r="Y76" i="13" s="1"/>
  <c r="Q75" i="13"/>
  <c r="Q74" i="13"/>
  <c r="Q73" i="13"/>
  <c r="T73" i="13" s="1"/>
  <c r="Q72" i="13"/>
  <c r="U72" i="13" s="1"/>
  <c r="Q71" i="13"/>
  <c r="Y71" i="13" s="1"/>
  <c r="Q70" i="13"/>
  <c r="Y70" i="13" s="1"/>
  <c r="Q69" i="13"/>
  <c r="Y69" i="13" s="1"/>
  <c r="Q68" i="13"/>
  <c r="Z68" i="13" s="1"/>
  <c r="Q67" i="13"/>
  <c r="Q66" i="13"/>
  <c r="Q65" i="13"/>
  <c r="T65" i="13" s="1"/>
  <c r="Q64" i="13"/>
  <c r="T64" i="13" s="1"/>
  <c r="Q63" i="13"/>
  <c r="Y63" i="13" s="1"/>
  <c r="Q62" i="13"/>
  <c r="Y62" i="13" s="1"/>
  <c r="Q61" i="13"/>
  <c r="T61" i="13" s="1"/>
  <c r="Q60" i="13"/>
  <c r="T60" i="13" s="1"/>
  <c r="Q59" i="13"/>
  <c r="Q58" i="13"/>
  <c r="Q57" i="13"/>
  <c r="T57" i="13" s="1"/>
  <c r="Q56" i="13"/>
  <c r="T56" i="13" s="1"/>
  <c r="Q55" i="13"/>
  <c r="Y55" i="13" s="1"/>
  <c r="Q54" i="13"/>
  <c r="Y54" i="13" s="1"/>
  <c r="Q53" i="13"/>
  <c r="T53" i="13" s="1"/>
  <c r="Q52" i="13"/>
  <c r="Y52" i="13" s="1"/>
  <c r="Q51" i="13"/>
  <c r="Q50" i="13"/>
  <c r="V50" i="13" s="1"/>
  <c r="Q49" i="13"/>
  <c r="T49" i="13" s="1"/>
  <c r="Q48" i="13"/>
  <c r="T48" i="13" s="1"/>
  <c r="Q47" i="13"/>
  <c r="Q46" i="13"/>
  <c r="V46" i="13" s="1"/>
  <c r="Q45" i="13"/>
  <c r="T45" i="13" s="1"/>
  <c r="Q44" i="13"/>
  <c r="Q43" i="13"/>
  <c r="Y43" i="13" s="1"/>
  <c r="Q42" i="13"/>
  <c r="V42" i="13" s="1"/>
  <c r="Q41" i="13"/>
  <c r="Q40" i="13"/>
  <c r="T40" i="13" s="1"/>
  <c r="Q39" i="13"/>
  <c r="Y39" i="13" s="1"/>
  <c r="Q38" i="13"/>
  <c r="V38" i="13" s="1"/>
  <c r="Q37" i="13"/>
  <c r="T37" i="13" s="1"/>
  <c r="Q36" i="13"/>
  <c r="V36" i="13" s="1"/>
  <c r="Q35" i="13"/>
  <c r="Q34" i="13"/>
  <c r="V34" i="13" s="1"/>
  <c r="Q33" i="13"/>
  <c r="Z33" i="13" s="1"/>
  <c r="Q32" i="13"/>
  <c r="T32" i="13" s="1"/>
  <c r="Q31" i="13"/>
  <c r="Y31" i="13" s="1"/>
  <c r="Q30" i="13"/>
  <c r="V30" i="13" s="1"/>
  <c r="Q29" i="13"/>
  <c r="U29" i="13" s="1"/>
  <c r="Q28" i="13"/>
  <c r="Q27" i="13"/>
  <c r="Z27" i="13" s="1"/>
  <c r="Q26" i="13"/>
  <c r="V26" i="13" s="1"/>
  <c r="Q25" i="13"/>
  <c r="T25" i="13" s="1"/>
  <c r="Q24" i="13"/>
  <c r="Y24" i="13" s="1"/>
  <c r="Q23" i="13"/>
  <c r="AB23" i="13" s="1"/>
  <c r="Q22" i="13"/>
  <c r="X22" i="13" s="1"/>
  <c r="Q21" i="13"/>
  <c r="T21" i="13" s="1"/>
  <c r="Q20" i="13"/>
  <c r="AB20" i="13" s="1"/>
  <c r="Q19" i="13"/>
  <c r="U19" i="13" s="1"/>
  <c r="Q18" i="13"/>
  <c r="AB18" i="13" s="1"/>
  <c r="Q17" i="13"/>
  <c r="T17" i="13" s="1"/>
  <c r="Q16" i="13"/>
  <c r="AB16" i="13" s="1"/>
  <c r="Q15" i="13"/>
  <c r="AB15" i="13" s="1"/>
  <c r="Q14" i="13"/>
  <c r="AB14" i="13" s="1"/>
  <c r="Q13" i="13"/>
  <c r="T13" i="13" s="1"/>
  <c r="Q12" i="13"/>
  <c r="AB12" i="13" s="1"/>
  <c r="Q11" i="13"/>
  <c r="AB11" i="13" s="1"/>
  <c r="Q10" i="13"/>
  <c r="AB10" i="13" s="1"/>
  <c r="Q9" i="13"/>
  <c r="U9" i="13" s="1"/>
  <c r="Q8" i="13"/>
  <c r="U8" i="13" s="1"/>
  <c r="Q7" i="13"/>
  <c r="U7" i="13" s="1"/>
  <c r="Q6" i="13"/>
  <c r="AD50" i="14" l="1"/>
  <c r="AO50" i="14" s="1"/>
  <c r="AD29" i="14"/>
  <c r="AO29" i="14" s="1"/>
  <c r="AD45" i="14"/>
  <c r="AO45" i="14" s="1"/>
  <c r="AD15" i="14"/>
  <c r="AO15" i="14" s="1"/>
  <c r="AH48" i="14"/>
  <c r="AS48" i="14" s="1"/>
  <c r="AH72" i="14"/>
  <c r="AS72" i="14" s="1"/>
  <c r="AH9" i="14"/>
  <c r="AS9" i="14" s="1"/>
  <c r="AH21" i="14"/>
  <c r="AS21" i="14" s="1"/>
  <c r="AH32" i="14"/>
  <c r="AS32" i="14" s="1"/>
  <c r="AH41" i="14"/>
  <c r="AS41" i="14" s="1"/>
  <c r="AH77" i="14"/>
  <c r="AS77" i="14" s="1"/>
  <c r="AH66" i="14"/>
  <c r="AS66" i="14" s="1"/>
  <c r="AH86" i="14"/>
  <c r="AS86" i="14" s="1"/>
  <c r="AJ15" i="14"/>
  <c r="AU15" i="14" s="1"/>
  <c r="AJ28" i="14"/>
  <c r="AU28" i="14" s="1"/>
  <c r="AJ81" i="14"/>
  <c r="AU81" i="14" s="1"/>
  <c r="AJ47" i="14"/>
  <c r="AU47" i="14" s="1"/>
  <c r="AJ102" i="14"/>
  <c r="AU102" i="14" s="1"/>
  <c r="C13" i="18"/>
  <c r="AK110" i="14"/>
  <c r="AV110" i="14" s="1"/>
  <c r="AK114" i="14"/>
  <c r="AV114" i="14" s="1"/>
  <c r="AK118" i="14"/>
  <c r="AV118" i="14" s="1"/>
  <c r="AK111" i="14"/>
  <c r="AV111" i="14" s="1"/>
  <c r="AK120" i="14"/>
  <c r="AV120" i="14" s="1"/>
  <c r="AK121" i="14"/>
  <c r="AV121" i="14" s="1"/>
  <c r="AK124" i="14"/>
  <c r="AV124" i="14" s="1"/>
  <c r="AK116" i="14"/>
  <c r="AV116" i="14" s="1"/>
  <c r="AK117" i="14"/>
  <c r="AV117" i="14" s="1"/>
  <c r="AK123" i="14"/>
  <c r="AV123" i="14" s="1"/>
  <c r="AK112" i="14"/>
  <c r="AV112" i="14" s="1"/>
  <c r="AK113" i="14"/>
  <c r="AV113" i="14" s="1"/>
  <c r="AK122" i="14"/>
  <c r="AV122" i="14" s="1"/>
  <c r="AK115" i="14"/>
  <c r="AV115" i="14" s="1"/>
  <c r="AK125" i="14"/>
  <c r="AV125" i="14" s="1"/>
  <c r="AK119" i="14"/>
  <c r="AV119" i="14" s="1"/>
  <c r="C11" i="18"/>
  <c r="AI112" i="14"/>
  <c r="AT112" i="14" s="1"/>
  <c r="AI116" i="14"/>
  <c r="AT116" i="14" s="1"/>
  <c r="AI120" i="14"/>
  <c r="AT120" i="14" s="1"/>
  <c r="AI113" i="14"/>
  <c r="AT113" i="14" s="1"/>
  <c r="AI114" i="14"/>
  <c r="AT114" i="14" s="1"/>
  <c r="AI115" i="14"/>
  <c r="AT115" i="14" s="1"/>
  <c r="AI122" i="14"/>
  <c r="AT122" i="14" s="1"/>
  <c r="AI111" i="14"/>
  <c r="AT111" i="14" s="1"/>
  <c r="AI125" i="14"/>
  <c r="AT125" i="14" s="1"/>
  <c r="AI110" i="14"/>
  <c r="AT110" i="14" s="1"/>
  <c r="AI124" i="14"/>
  <c r="AT124" i="14" s="1"/>
  <c r="AI118" i="14"/>
  <c r="AT118" i="14" s="1"/>
  <c r="AI123" i="14"/>
  <c r="AT123" i="14" s="1"/>
  <c r="AI117" i="14"/>
  <c r="AT117" i="14" s="1"/>
  <c r="AI121" i="14"/>
  <c r="AT121" i="14" s="1"/>
  <c r="AI119" i="14"/>
  <c r="AT119" i="14" s="1"/>
  <c r="C9" i="18"/>
  <c r="AG113" i="14"/>
  <c r="AR113" i="14" s="1"/>
  <c r="AG117" i="14"/>
  <c r="AR117" i="14" s="1"/>
  <c r="AG121" i="14"/>
  <c r="AR121" i="14" s="1"/>
  <c r="AG110" i="14"/>
  <c r="AR110" i="14" s="1"/>
  <c r="AG112" i="14"/>
  <c r="AR112" i="14" s="1"/>
  <c r="AG118" i="14"/>
  <c r="AR118" i="14" s="1"/>
  <c r="AG119" i="14"/>
  <c r="AR119" i="14" s="1"/>
  <c r="AG123" i="14"/>
  <c r="AR123" i="14" s="1"/>
  <c r="AG114" i="14"/>
  <c r="AR114" i="14" s="1"/>
  <c r="AG115" i="14"/>
  <c r="AR115" i="14" s="1"/>
  <c r="AG122" i="14"/>
  <c r="AR122" i="14" s="1"/>
  <c r="AG116" i="14"/>
  <c r="AR116" i="14" s="1"/>
  <c r="AG124" i="14"/>
  <c r="AR124" i="14" s="1"/>
  <c r="AG120" i="14"/>
  <c r="AR120" i="14" s="1"/>
  <c r="AG125" i="14"/>
  <c r="AR125" i="14" s="1"/>
  <c r="AG111" i="14"/>
  <c r="AR111" i="14" s="1"/>
  <c r="C7" i="18"/>
  <c r="AE110" i="14"/>
  <c r="AP110" i="14" s="1"/>
  <c r="AE111" i="14"/>
  <c r="AP111" i="14" s="1"/>
  <c r="AE115" i="14"/>
  <c r="AP115" i="14" s="1"/>
  <c r="AE119" i="14"/>
  <c r="AP119" i="14" s="1"/>
  <c r="AE120" i="14"/>
  <c r="AP120" i="14" s="1"/>
  <c r="AE121" i="14"/>
  <c r="AP121" i="14" s="1"/>
  <c r="AE125" i="14"/>
  <c r="AP125" i="14" s="1"/>
  <c r="AE116" i="14"/>
  <c r="AP116" i="14" s="1"/>
  <c r="AE117" i="14"/>
  <c r="AP117" i="14" s="1"/>
  <c r="AE118" i="14"/>
  <c r="AP118" i="14" s="1"/>
  <c r="AE124" i="14"/>
  <c r="AP124" i="14" s="1"/>
  <c r="AE123" i="14"/>
  <c r="AP123" i="14" s="1"/>
  <c r="AE122" i="14"/>
  <c r="AP122" i="14" s="1"/>
  <c r="AE112" i="14"/>
  <c r="AP112" i="14" s="1"/>
  <c r="AE114" i="14"/>
  <c r="AP114" i="14" s="1"/>
  <c r="AE113" i="14"/>
  <c r="AP113" i="14" s="1"/>
  <c r="AD14" i="14"/>
  <c r="AO14" i="14" s="1"/>
  <c r="AD42" i="14"/>
  <c r="AO42" i="14" s="1"/>
  <c r="AJ91" i="14"/>
  <c r="AU91" i="14" s="1"/>
  <c r="AJ93" i="14"/>
  <c r="AU93" i="14" s="1"/>
  <c r="AJ11" i="14"/>
  <c r="AU11" i="14" s="1"/>
  <c r="AJ54" i="14"/>
  <c r="AU54" i="14" s="1"/>
  <c r="C5" i="18"/>
  <c r="AC110" i="14"/>
  <c r="AN110" i="14" s="1"/>
  <c r="AC112" i="14"/>
  <c r="AN112" i="14" s="1"/>
  <c r="AC116" i="14"/>
  <c r="AN116" i="14" s="1"/>
  <c r="AC120" i="14"/>
  <c r="AN120" i="14" s="1"/>
  <c r="AC111" i="14"/>
  <c r="AN111" i="14" s="1"/>
  <c r="AC122" i="14"/>
  <c r="AN122" i="14" s="1"/>
  <c r="AC121" i="14"/>
  <c r="AN121" i="14" s="1"/>
  <c r="AC125" i="14"/>
  <c r="AN125" i="14" s="1"/>
  <c r="AC117" i="14"/>
  <c r="AN117" i="14" s="1"/>
  <c r="AC119" i="14"/>
  <c r="AN119" i="14" s="1"/>
  <c r="AC123" i="14"/>
  <c r="AN123" i="14" s="1"/>
  <c r="AC113" i="14"/>
  <c r="AN113" i="14" s="1"/>
  <c r="AC115" i="14"/>
  <c r="AN115" i="14" s="1"/>
  <c r="AC114" i="14"/>
  <c r="AN114" i="14" s="1"/>
  <c r="AC124" i="14"/>
  <c r="AN124" i="14" s="1"/>
  <c r="AC118" i="14"/>
  <c r="AN118" i="14" s="1"/>
  <c r="C6" i="18"/>
  <c r="AD110" i="14"/>
  <c r="AO110" i="14" s="1"/>
  <c r="AD111" i="14"/>
  <c r="AO111" i="14" s="1"/>
  <c r="AD112" i="14"/>
  <c r="AO112" i="14" s="1"/>
  <c r="AD113" i="14"/>
  <c r="AO113" i="14" s="1"/>
  <c r="AD114" i="14"/>
  <c r="AO114" i="14" s="1"/>
  <c r="AD115" i="14"/>
  <c r="AO115" i="14" s="1"/>
  <c r="AD116" i="14"/>
  <c r="AO116" i="14" s="1"/>
  <c r="AD117" i="14"/>
  <c r="AO117" i="14" s="1"/>
  <c r="AD118" i="14"/>
  <c r="AO118" i="14" s="1"/>
  <c r="AD119" i="14"/>
  <c r="AO119" i="14" s="1"/>
  <c r="AD120" i="14"/>
  <c r="AO120" i="14" s="1"/>
  <c r="AD121" i="14"/>
  <c r="AO121" i="14" s="1"/>
  <c r="AD122" i="14"/>
  <c r="AO122" i="14" s="1"/>
  <c r="AD123" i="14"/>
  <c r="AO123" i="14" s="1"/>
  <c r="AD124" i="14"/>
  <c r="AO124" i="14" s="1"/>
  <c r="AD125" i="14"/>
  <c r="AO125" i="14" s="1"/>
  <c r="C8" i="18"/>
  <c r="AF110" i="14"/>
  <c r="AQ110" i="14" s="1"/>
  <c r="AF114" i="14"/>
  <c r="AQ114" i="14" s="1"/>
  <c r="AF118" i="14"/>
  <c r="AQ118" i="14" s="1"/>
  <c r="AF116" i="14"/>
  <c r="AQ116" i="14" s="1"/>
  <c r="AF117" i="14"/>
  <c r="AQ117" i="14" s="1"/>
  <c r="AF124" i="14"/>
  <c r="AQ124" i="14" s="1"/>
  <c r="AF112" i="14"/>
  <c r="AQ112" i="14" s="1"/>
  <c r="AF113" i="14"/>
  <c r="AQ113" i="14" s="1"/>
  <c r="AF119" i="14"/>
  <c r="AQ119" i="14" s="1"/>
  <c r="AF123" i="14"/>
  <c r="AQ123" i="14" s="1"/>
  <c r="AF111" i="14"/>
  <c r="AQ111" i="14" s="1"/>
  <c r="AF120" i="14"/>
  <c r="AQ120" i="14" s="1"/>
  <c r="AF121" i="14"/>
  <c r="AQ121" i="14" s="1"/>
  <c r="AF125" i="14"/>
  <c r="AQ125" i="14" s="1"/>
  <c r="AF115" i="14"/>
  <c r="AQ115" i="14" s="1"/>
  <c r="AF122" i="14"/>
  <c r="AQ122" i="14" s="1"/>
  <c r="AD63" i="14"/>
  <c r="AO63" i="14" s="1"/>
  <c r="AD30" i="14"/>
  <c r="AO30" i="14" s="1"/>
  <c r="AD91" i="14"/>
  <c r="AO91" i="14" s="1"/>
  <c r="C12" i="18"/>
  <c r="AJ110" i="14"/>
  <c r="AU110" i="14" s="1"/>
  <c r="AJ111" i="14"/>
  <c r="AU111" i="14" s="1"/>
  <c r="AJ115" i="14"/>
  <c r="AU115" i="14" s="1"/>
  <c r="AJ119" i="14"/>
  <c r="AU119" i="14" s="1"/>
  <c r="AJ125" i="14"/>
  <c r="AU125" i="14" s="1"/>
  <c r="AJ120" i="14"/>
  <c r="AU120" i="14" s="1"/>
  <c r="AJ121" i="14"/>
  <c r="AU121" i="14" s="1"/>
  <c r="AJ124" i="14"/>
  <c r="AU124" i="14" s="1"/>
  <c r="AJ116" i="14"/>
  <c r="AU116" i="14" s="1"/>
  <c r="AJ118" i="14"/>
  <c r="AU118" i="14" s="1"/>
  <c r="AJ112" i="14"/>
  <c r="AU112" i="14" s="1"/>
  <c r="AJ113" i="14"/>
  <c r="AU113" i="14" s="1"/>
  <c r="AJ114" i="14"/>
  <c r="AU114" i="14" s="1"/>
  <c r="AJ122" i="14"/>
  <c r="AU122" i="14" s="1"/>
  <c r="AJ117" i="14"/>
  <c r="AU117" i="14" s="1"/>
  <c r="AJ123" i="14"/>
  <c r="AU123" i="14" s="1"/>
  <c r="C10" i="18"/>
  <c r="AH110" i="14"/>
  <c r="AS110" i="14" s="1"/>
  <c r="AH111" i="14"/>
  <c r="AS111" i="14" s="1"/>
  <c r="AH112" i="14"/>
  <c r="AS112" i="14" s="1"/>
  <c r="AH113" i="14"/>
  <c r="AS113" i="14" s="1"/>
  <c r="AH114" i="14"/>
  <c r="AS114" i="14" s="1"/>
  <c r="AH115" i="14"/>
  <c r="AS115" i="14" s="1"/>
  <c r="AH116" i="14"/>
  <c r="AS116" i="14" s="1"/>
  <c r="AH117" i="14"/>
  <c r="AS117" i="14" s="1"/>
  <c r="AH118" i="14"/>
  <c r="AS118" i="14" s="1"/>
  <c r="AH119" i="14"/>
  <c r="AS119" i="14" s="1"/>
  <c r="AH120" i="14"/>
  <c r="AS120" i="14" s="1"/>
  <c r="AH121" i="14"/>
  <c r="AS121" i="14" s="1"/>
  <c r="AH122" i="14"/>
  <c r="AS122" i="14" s="1"/>
  <c r="AH123" i="14"/>
  <c r="AS123" i="14" s="1"/>
  <c r="AH124" i="14"/>
  <c r="AS124" i="14" s="1"/>
  <c r="AH125" i="14"/>
  <c r="AS125" i="14" s="1"/>
  <c r="AD75" i="14"/>
  <c r="AO75" i="14" s="1"/>
  <c r="AD9" i="14"/>
  <c r="AO9" i="14" s="1"/>
  <c r="AD23" i="14"/>
  <c r="AO23" i="14" s="1"/>
  <c r="AD37" i="14"/>
  <c r="AO37" i="14" s="1"/>
  <c r="AD68" i="14"/>
  <c r="AO68" i="14" s="1"/>
  <c r="AD65" i="14"/>
  <c r="AO65" i="14" s="1"/>
  <c r="AD86" i="14"/>
  <c r="AO86" i="14" s="1"/>
  <c r="AD101" i="14"/>
  <c r="AO101" i="14" s="1"/>
  <c r="AK96" i="14"/>
  <c r="AV96" i="14" s="1"/>
  <c r="AD51" i="14"/>
  <c r="AO51" i="14" s="1"/>
  <c r="AD7" i="14"/>
  <c r="AO7" i="14" s="1"/>
  <c r="AD21" i="14"/>
  <c r="AO21" i="14" s="1"/>
  <c r="AD35" i="14"/>
  <c r="AO35" i="14" s="1"/>
  <c r="AD64" i="14"/>
  <c r="AO64" i="14" s="1"/>
  <c r="AD53" i="14"/>
  <c r="AO53" i="14" s="1"/>
  <c r="AD85" i="14"/>
  <c r="AO85" i="14" s="1"/>
  <c r="AD98" i="14"/>
  <c r="AO98" i="14" s="1"/>
  <c r="AK65" i="14"/>
  <c r="AV65" i="14" s="1"/>
  <c r="AD55" i="14"/>
  <c r="AO55" i="14" s="1"/>
  <c r="AD13" i="14"/>
  <c r="AO13" i="14" s="1"/>
  <c r="AD19" i="14"/>
  <c r="AO19" i="14" s="1"/>
  <c r="AD26" i="14"/>
  <c r="AO26" i="14" s="1"/>
  <c r="AD34" i="14"/>
  <c r="AO34" i="14" s="1"/>
  <c r="AD41" i="14"/>
  <c r="AO41" i="14" s="1"/>
  <c r="AD52" i="14"/>
  <c r="AO52" i="14" s="1"/>
  <c r="AD107" i="14"/>
  <c r="AO107" i="14" s="1"/>
  <c r="AD49" i="14"/>
  <c r="AO49" i="14" s="1"/>
  <c r="AD77" i="14"/>
  <c r="AO77" i="14" s="1"/>
  <c r="AD82" i="14"/>
  <c r="AO82" i="14" s="1"/>
  <c r="AD90" i="14"/>
  <c r="AO90" i="14" s="1"/>
  <c r="AD97" i="14"/>
  <c r="AO97" i="14" s="1"/>
  <c r="AD103" i="14"/>
  <c r="AO103" i="14" s="1"/>
  <c r="AK31" i="14"/>
  <c r="AV31" i="14" s="1"/>
  <c r="AD54" i="14"/>
  <c r="AO54" i="14" s="1"/>
  <c r="AD108" i="14"/>
  <c r="AO108" i="14" s="1"/>
  <c r="AD66" i="14"/>
  <c r="AO66" i="14" s="1"/>
  <c r="AD47" i="14"/>
  <c r="AO47" i="14" s="1"/>
  <c r="AD10" i="14"/>
  <c r="AO10" i="14" s="1"/>
  <c r="AD18" i="14"/>
  <c r="AO18" i="14" s="1"/>
  <c r="AD25" i="14"/>
  <c r="AO25" i="14" s="1"/>
  <c r="AD31" i="14"/>
  <c r="AO31" i="14" s="1"/>
  <c r="AD39" i="14"/>
  <c r="AO39" i="14" s="1"/>
  <c r="AD48" i="14"/>
  <c r="AO48" i="14" s="1"/>
  <c r="AD76" i="14"/>
  <c r="AO76" i="14" s="1"/>
  <c r="AD69" i="14"/>
  <c r="AO69" i="14" s="1"/>
  <c r="AD105" i="14"/>
  <c r="AO105" i="14" s="1"/>
  <c r="AD87" i="14"/>
  <c r="AO87" i="14" s="1"/>
  <c r="AD95" i="14"/>
  <c r="AO95" i="14" s="1"/>
  <c r="AD102" i="14"/>
  <c r="AO102" i="14" s="1"/>
  <c r="AJ85" i="14"/>
  <c r="AU85" i="14" s="1"/>
  <c r="AJ49" i="14"/>
  <c r="AU49" i="14" s="1"/>
  <c r="AJ10" i="14"/>
  <c r="AU10" i="14" s="1"/>
  <c r="AJ90" i="14"/>
  <c r="AU90" i="14" s="1"/>
  <c r="AJ109" i="14"/>
  <c r="AU109" i="14" s="1"/>
  <c r="AK29" i="14"/>
  <c r="AV29" i="14" s="1"/>
  <c r="AK58" i="14"/>
  <c r="AV58" i="14" s="1"/>
  <c r="AK36" i="14"/>
  <c r="AV36" i="14" s="1"/>
  <c r="AK78" i="14"/>
  <c r="AV78" i="14" s="1"/>
  <c r="AK26" i="14"/>
  <c r="AV26" i="14" s="1"/>
  <c r="AK10" i="14"/>
  <c r="AV10" i="14" s="1"/>
  <c r="AK47" i="14"/>
  <c r="AV47" i="14" s="1"/>
  <c r="AK85" i="14"/>
  <c r="AV85" i="14" s="1"/>
  <c r="AK30" i="14"/>
  <c r="AV30" i="14" s="1"/>
  <c r="AK12" i="14"/>
  <c r="AV12" i="14" s="1"/>
  <c r="AK34" i="14"/>
  <c r="AV34" i="14" s="1"/>
  <c r="AK49" i="14"/>
  <c r="AV49" i="14" s="1"/>
  <c r="AK68" i="14"/>
  <c r="AV68" i="14" s="1"/>
  <c r="AK86" i="14"/>
  <c r="AV86" i="14" s="1"/>
  <c r="AK19" i="14"/>
  <c r="AV19" i="14" s="1"/>
  <c r="AK32" i="14"/>
  <c r="AV32" i="14" s="1"/>
  <c r="AK17" i="14"/>
  <c r="AV17" i="14" s="1"/>
  <c r="AK57" i="14"/>
  <c r="AV57" i="14" s="1"/>
  <c r="AK74" i="14"/>
  <c r="AV74" i="14" s="1"/>
  <c r="AK94" i="14"/>
  <c r="AV94" i="14" s="1"/>
  <c r="AD46" i="14"/>
  <c r="AO46" i="14" s="1"/>
  <c r="AD59" i="14"/>
  <c r="AO59" i="14" s="1"/>
  <c r="AD74" i="14"/>
  <c r="AO74" i="14" s="1"/>
  <c r="AD62" i="14"/>
  <c r="AO62" i="14" s="1"/>
  <c r="AD79" i="14"/>
  <c r="AO79" i="14" s="1"/>
  <c r="AD6" i="14"/>
  <c r="AO6" i="14" s="1"/>
  <c r="AD11" i="14"/>
  <c r="AO11" i="14" s="1"/>
  <c r="AD17" i="14"/>
  <c r="AO17" i="14" s="1"/>
  <c r="AD22" i="14"/>
  <c r="AO22" i="14" s="1"/>
  <c r="AD27" i="14"/>
  <c r="AO27" i="14" s="1"/>
  <c r="AD33" i="14"/>
  <c r="AO33" i="14" s="1"/>
  <c r="AD38" i="14"/>
  <c r="AO38" i="14" s="1"/>
  <c r="AD43" i="14"/>
  <c r="AO43" i="14" s="1"/>
  <c r="AD60" i="14"/>
  <c r="AO60" i="14" s="1"/>
  <c r="AD80" i="14"/>
  <c r="AO80" i="14" s="1"/>
  <c r="AD61" i="14"/>
  <c r="AO61" i="14" s="1"/>
  <c r="AD81" i="14"/>
  <c r="AO81" i="14" s="1"/>
  <c r="AD109" i="14"/>
  <c r="AO109" i="14" s="1"/>
  <c r="AD83" i="14"/>
  <c r="AO83" i="14" s="1"/>
  <c r="AD89" i="14"/>
  <c r="AO89" i="14" s="1"/>
  <c r="AD94" i="14"/>
  <c r="AO94" i="14" s="1"/>
  <c r="AD99" i="14"/>
  <c r="AO99" i="14" s="1"/>
  <c r="AK108" i="14"/>
  <c r="AV108" i="14" s="1"/>
  <c r="AK97" i="14"/>
  <c r="AV97" i="14" s="1"/>
  <c r="AK90" i="14"/>
  <c r="AV90" i="14" s="1"/>
  <c r="AK84" i="14"/>
  <c r="AV84" i="14" s="1"/>
  <c r="AK76" i="14"/>
  <c r="AV76" i="14" s="1"/>
  <c r="AK69" i="14"/>
  <c r="AV69" i="14" s="1"/>
  <c r="AK62" i="14"/>
  <c r="AV62" i="14" s="1"/>
  <c r="AK54" i="14"/>
  <c r="AV54" i="14" s="1"/>
  <c r="AK48" i="14"/>
  <c r="AV48" i="14" s="1"/>
  <c r="AK106" i="14"/>
  <c r="AV106" i="14" s="1"/>
  <c r="AK27" i="14"/>
  <c r="AV27" i="14" s="1"/>
  <c r="AK38" i="14"/>
  <c r="AV38" i="14" s="1"/>
  <c r="AK28" i="14"/>
  <c r="AV28" i="14" s="1"/>
  <c r="AK33" i="14"/>
  <c r="AV33" i="14" s="1"/>
  <c r="AK11" i="14"/>
  <c r="AV11" i="14" s="1"/>
  <c r="AK18" i="14"/>
  <c r="AV18" i="14" s="1"/>
  <c r="AK105" i="14"/>
  <c r="AV105" i="14" s="1"/>
  <c r="AK102" i="14"/>
  <c r="AV102" i="14" s="1"/>
  <c r="AK42" i="14"/>
  <c r="AV42" i="14" s="1"/>
  <c r="AK37" i="14"/>
  <c r="AV37" i="14" s="1"/>
  <c r="AK16" i="14"/>
  <c r="AV16" i="14" s="1"/>
  <c r="AK44" i="14"/>
  <c r="AV44" i="14" s="1"/>
  <c r="AK9" i="14"/>
  <c r="AV9" i="14" s="1"/>
  <c r="AK35" i="14"/>
  <c r="AV35" i="14" s="1"/>
  <c r="AK52" i="14"/>
  <c r="AV52" i="14" s="1"/>
  <c r="AK60" i="14"/>
  <c r="AV60" i="14" s="1"/>
  <c r="AK70" i="14"/>
  <c r="AV70" i="14" s="1"/>
  <c r="AK80" i="14"/>
  <c r="AV80" i="14" s="1"/>
  <c r="AK89" i="14"/>
  <c r="AV89" i="14" s="1"/>
  <c r="AK100" i="14"/>
  <c r="AV100" i="14" s="1"/>
  <c r="AK14" i="14"/>
  <c r="AV14" i="14" s="1"/>
  <c r="AK15" i="14"/>
  <c r="AV15" i="14" s="1"/>
  <c r="AK107" i="14"/>
  <c r="AV107" i="14" s="1"/>
  <c r="AK20" i="14"/>
  <c r="AV20" i="14" s="1"/>
  <c r="AK13" i="14"/>
  <c r="AV13" i="14" s="1"/>
  <c r="AK43" i="14"/>
  <c r="AV43" i="14" s="1"/>
  <c r="AK45" i="14"/>
  <c r="AV45" i="14" s="1"/>
  <c r="AK53" i="14"/>
  <c r="AV53" i="14" s="1"/>
  <c r="AK64" i="14"/>
  <c r="AV64" i="14" s="1"/>
  <c r="AK73" i="14"/>
  <c r="AV73" i="14" s="1"/>
  <c r="AK81" i="14"/>
  <c r="AV81" i="14" s="1"/>
  <c r="AK92" i="14"/>
  <c r="AV92" i="14" s="1"/>
  <c r="AK101" i="14"/>
  <c r="AV101" i="14" s="1"/>
  <c r="AD70" i="14"/>
  <c r="AO70" i="14" s="1"/>
  <c r="AD67" i="14"/>
  <c r="AO67" i="14" s="1"/>
  <c r="AD58" i="14"/>
  <c r="AO58" i="14" s="1"/>
  <c r="AD78" i="14"/>
  <c r="AO78" i="14" s="1"/>
  <c r="AD71" i="14"/>
  <c r="AO71" i="14" s="1"/>
  <c r="AD8" i="14"/>
  <c r="AO8" i="14" s="1"/>
  <c r="AD12" i="14"/>
  <c r="AO12" i="14" s="1"/>
  <c r="AD16" i="14"/>
  <c r="AO16" i="14" s="1"/>
  <c r="AD20" i="14"/>
  <c r="AO20" i="14" s="1"/>
  <c r="AD24" i="14"/>
  <c r="AO24" i="14" s="1"/>
  <c r="AD28" i="14"/>
  <c r="AO28" i="14" s="1"/>
  <c r="AD32" i="14"/>
  <c r="AO32" i="14" s="1"/>
  <c r="AD36" i="14"/>
  <c r="AO36" i="14" s="1"/>
  <c r="AD40" i="14"/>
  <c r="AO40" i="14" s="1"/>
  <c r="AD44" i="14"/>
  <c r="AO44" i="14" s="1"/>
  <c r="AD56" i="14"/>
  <c r="AO56" i="14" s="1"/>
  <c r="AD72" i="14"/>
  <c r="AO72" i="14" s="1"/>
  <c r="AD57" i="14"/>
  <c r="AO57" i="14" s="1"/>
  <c r="AD73" i="14"/>
  <c r="AO73" i="14" s="1"/>
  <c r="AD84" i="14"/>
  <c r="AO84" i="14" s="1"/>
  <c r="AD88" i="14"/>
  <c r="AO88" i="14" s="1"/>
  <c r="AD92" i="14"/>
  <c r="AO92" i="14" s="1"/>
  <c r="AD96" i="14"/>
  <c r="AO96" i="14" s="1"/>
  <c r="AD100" i="14"/>
  <c r="AO100" i="14" s="1"/>
  <c r="AD106" i="14"/>
  <c r="AO106" i="14" s="1"/>
  <c r="AH47" i="14"/>
  <c r="AS47" i="14" s="1"/>
  <c r="AH76" i="14"/>
  <c r="AS76" i="14" s="1"/>
  <c r="AH64" i="14"/>
  <c r="AS64" i="14" s="1"/>
  <c r="AH109" i="14"/>
  <c r="AS109" i="14" s="1"/>
  <c r="AH12" i="14"/>
  <c r="AS12" i="14" s="1"/>
  <c r="AH20" i="14"/>
  <c r="AS20" i="14" s="1"/>
  <c r="AH28" i="14"/>
  <c r="AS28" i="14" s="1"/>
  <c r="AH36" i="14"/>
  <c r="AS36" i="14" s="1"/>
  <c r="AH44" i="14"/>
  <c r="AS44" i="14" s="1"/>
  <c r="AH73" i="14"/>
  <c r="AS73" i="14" s="1"/>
  <c r="AH62" i="14"/>
  <c r="AS62" i="14" s="1"/>
  <c r="AH85" i="14"/>
  <c r="AS85" i="14" s="1"/>
  <c r="AH93" i="14"/>
  <c r="AS93" i="14" s="1"/>
  <c r="AH101" i="14"/>
  <c r="AS101" i="14" s="1"/>
  <c r="AJ23" i="14"/>
  <c r="AU23" i="14" s="1"/>
  <c r="AJ99" i="14"/>
  <c r="AU99" i="14" s="1"/>
  <c r="AJ50" i="14"/>
  <c r="AU50" i="14" s="1"/>
  <c r="AJ27" i="14"/>
  <c r="AU27" i="14" s="1"/>
  <c r="AJ87" i="14"/>
  <c r="AU87" i="14" s="1"/>
  <c r="AJ14" i="14"/>
  <c r="AU14" i="14" s="1"/>
  <c r="AJ70" i="14"/>
  <c r="AU70" i="14" s="1"/>
  <c r="AJ67" i="14"/>
  <c r="AU67" i="14" s="1"/>
  <c r="AJ64" i="14"/>
  <c r="AU64" i="14" s="1"/>
  <c r="AJ94" i="14"/>
  <c r="AU94" i="14" s="1"/>
  <c r="AJ108" i="14"/>
  <c r="AU108" i="14" s="1"/>
  <c r="AJ104" i="14"/>
  <c r="AU104" i="14" s="1"/>
  <c r="AJ100" i="14"/>
  <c r="AU100" i="14" s="1"/>
  <c r="AJ92" i="14"/>
  <c r="AU92" i="14" s="1"/>
  <c r="AJ84" i="14"/>
  <c r="AU84" i="14" s="1"/>
  <c r="AJ72" i="14"/>
  <c r="AU72" i="14" s="1"/>
  <c r="AJ56" i="14"/>
  <c r="AU56" i="14" s="1"/>
  <c r="AJ71" i="14"/>
  <c r="AU71" i="14" s="1"/>
  <c r="AJ55" i="14"/>
  <c r="AU55" i="14" s="1"/>
  <c r="AJ97" i="14"/>
  <c r="AU97" i="14" s="1"/>
  <c r="AJ62" i="14"/>
  <c r="AU62" i="14" s="1"/>
  <c r="AJ38" i="14"/>
  <c r="AU38" i="14" s="1"/>
  <c r="AJ22" i="14"/>
  <c r="AU22" i="14" s="1"/>
  <c r="AJ6" i="14"/>
  <c r="AU6" i="14" s="1"/>
  <c r="AJ41" i="14"/>
  <c r="AU41" i="14" s="1"/>
  <c r="AJ95" i="14"/>
  <c r="AU95" i="14" s="1"/>
  <c r="AJ65" i="14"/>
  <c r="AU65" i="14" s="1"/>
  <c r="AJ39" i="14"/>
  <c r="AU39" i="14" s="1"/>
  <c r="AJ21" i="14"/>
  <c r="AU21" i="14" s="1"/>
  <c r="AJ101" i="14"/>
  <c r="AU101" i="14" s="1"/>
  <c r="AJ66" i="14"/>
  <c r="AU66" i="14" s="1"/>
  <c r="AJ40" i="14"/>
  <c r="AU40" i="14" s="1"/>
  <c r="AJ20" i="14"/>
  <c r="AU20" i="14" s="1"/>
  <c r="AJ69" i="14"/>
  <c r="AU69" i="14" s="1"/>
  <c r="AJ33" i="14"/>
  <c r="AU33" i="14" s="1"/>
  <c r="AJ19" i="14"/>
  <c r="AU19" i="14" s="1"/>
  <c r="AJ106" i="14"/>
  <c r="AU106" i="14" s="1"/>
  <c r="AJ98" i="14"/>
  <c r="AU98" i="14" s="1"/>
  <c r="AJ88" i="14"/>
  <c r="AU88" i="14" s="1"/>
  <c r="AJ76" i="14"/>
  <c r="AU76" i="14" s="1"/>
  <c r="AJ52" i="14"/>
  <c r="AU52" i="14" s="1"/>
  <c r="AJ79" i="14"/>
  <c r="AU79" i="14" s="1"/>
  <c r="AJ59" i="14"/>
  <c r="AU59" i="14" s="1"/>
  <c r="AJ89" i="14"/>
  <c r="AU89" i="14" s="1"/>
  <c r="AJ46" i="14"/>
  <c r="AU46" i="14" s="1"/>
  <c r="AJ26" i="14"/>
  <c r="AU26" i="14" s="1"/>
  <c r="AJ24" i="14"/>
  <c r="AU24" i="14" s="1"/>
  <c r="AJ73" i="14"/>
  <c r="AU73" i="14" s="1"/>
  <c r="AJ35" i="14"/>
  <c r="AU35" i="14" s="1"/>
  <c r="AJ13" i="14"/>
  <c r="AU13" i="14" s="1"/>
  <c r="AJ74" i="14"/>
  <c r="AU74" i="14" s="1"/>
  <c r="AJ36" i="14"/>
  <c r="AU36" i="14" s="1"/>
  <c r="AJ12" i="14"/>
  <c r="AU12" i="14" s="1"/>
  <c r="AJ83" i="14"/>
  <c r="AU83" i="14" s="1"/>
  <c r="AJ29" i="14"/>
  <c r="AU29" i="14" s="1"/>
  <c r="AJ7" i="14"/>
  <c r="AU7" i="14" s="1"/>
  <c r="AJ105" i="14"/>
  <c r="AU105" i="14" s="1"/>
  <c r="AJ96" i="14"/>
  <c r="AU96" i="14" s="1"/>
  <c r="AJ86" i="14"/>
  <c r="AU86" i="14" s="1"/>
  <c r="AJ68" i="14"/>
  <c r="AU68" i="14" s="1"/>
  <c r="AJ48" i="14"/>
  <c r="AU48" i="14" s="1"/>
  <c r="AJ75" i="14"/>
  <c r="AU75" i="14" s="1"/>
  <c r="AJ51" i="14"/>
  <c r="AU51" i="14" s="1"/>
  <c r="AJ78" i="14"/>
  <c r="AU78" i="14" s="1"/>
  <c r="AJ42" i="14"/>
  <c r="AU42" i="14" s="1"/>
  <c r="AJ18" i="14"/>
  <c r="AU18" i="14" s="1"/>
  <c r="AJ77" i="14"/>
  <c r="AU77" i="14" s="1"/>
  <c r="AJ103" i="14"/>
  <c r="AU103" i="14" s="1"/>
  <c r="AJ57" i="14"/>
  <c r="AU57" i="14" s="1"/>
  <c r="AJ31" i="14"/>
  <c r="AU31" i="14" s="1"/>
  <c r="AJ9" i="14"/>
  <c r="AU9" i="14" s="1"/>
  <c r="AJ58" i="14"/>
  <c r="AU58" i="14" s="1"/>
  <c r="AJ32" i="14"/>
  <c r="AU32" i="14" s="1"/>
  <c r="AJ8" i="14"/>
  <c r="AU8" i="14" s="1"/>
  <c r="AJ61" i="14"/>
  <c r="AU61" i="14" s="1"/>
  <c r="AJ25" i="14"/>
  <c r="AU25" i="14" s="1"/>
  <c r="AH107" i="14"/>
  <c r="AS107" i="14" s="1"/>
  <c r="AH100" i="14"/>
  <c r="AS100" i="14" s="1"/>
  <c r="AH96" i="14"/>
  <c r="AS96" i="14" s="1"/>
  <c r="AH92" i="14"/>
  <c r="AS92" i="14" s="1"/>
  <c r="AH88" i="14"/>
  <c r="AS88" i="14" s="1"/>
  <c r="AH84" i="14"/>
  <c r="AS84" i="14" s="1"/>
  <c r="AH74" i="14"/>
  <c r="AS74" i="14" s="1"/>
  <c r="AH58" i="14"/>
  <c r="AS58" i="14" s="1"/>
  <c r="AH105" i="14"/>
  <c r="AS105" i="14" s="1"/>
  <c r="AH69" i="14"/>
  <c r="AS69" i="14" s="1"/>
  <c r="AH53" i="14"/>
  <c r="AS53" i="14" s="1"/>
  <c r="AH43" i="14"/>
  <c r="AS43" i="14" s="1"/>
  <c r="AH39" i="14"/>
  <c r="AS39" i="14" s="1"/>
  <c r="AH35" i="14"/>
  <c r="AS35" i="14" s="1"/>
  <c r="AH31" i="14"/>
  <c r="AS31" i="14" s="1"/>
  <c r="AH27" i="14"/>
  <c r="AS27" i="14" s="1"/>
  <c r="AH23" i="14"/>
  <c r="AS23" i="14" s="1"/>
  <c r="AH19" i="14"/>
  <c r="AS19" i="14" s="1"/>
  <c r="AH15" i="14"/>
  <c r="AS15" i="14" s="1"/>
  <c r="AH11" i="14"/>
  <c r="AS11" i="14" s="1"/>
  <c r="AH7" i="14"/>
  <c r="AS7" i="14" s="1"/>
  <c r="AH75" i="14"/>
  <c r="AS75" i="14" s="1"/>
  <c r="AH59" i="14"/>
  <c r="AS59" i="14" s="1"/>
  <c r="AH60" i="14"/>
  <c r="AS60" i="14" s="1"/>
  <c r="AH99" i="14"/>
  <c r="AS99" i="14" s="1"/>
  <c r="AH95" i="14"/>
  <c r="AS95" i="14" s="1"/>
  <c r="AH91" i="14"/>
  <c r="AS91" i="14" s="1"/>
  <c r="AH87" i="14"/>
  <c r="AS87" i="14" s="1"/>
  <c r="AH83" i="14"/>
  <c r="AS83" i="14" s="1"/>
  <c r="AH70" i="14"/>
  <c r="AS70" i="14" s="1"/>
  <c r="AH81" i="14"/>
  <c r="AS81" i="14" s="1"/>
  <c r="AH65" i="14"/>
  <c r="AS65" i="14" s="1"/>
  <c r="AH49" i="14"/>
  <c r="AS49" i="14" s="1"/>
  <c r="AH42" i="14"/>
  <c r="AS42" i="14" s="1"/>
  <c r="AH38" i="14"/>
  <c r="AS38" i="14" s="1"/>
  <c r="AH34" i="14"/>
  <c r="AS34" i="14" s="1"/>
  <c r="AH30" i="14"/>
  <c r="AS30" i="14" s="1"/>
  <c r="AH26" i="14"/>
  <c r="AS26" i="14" s="1"/>
  <c r="AH22" i="14"/>
  <c r="AS22" i="14" s="1"/>
  <c r="AH18" i="14"/>
  <c r="AS18" i="14" s="1"/>
  <c r="AH14" i="14"/>
  <c r="AS14" i="14" s="1"/>
  <c r="AH10" i="14"/>
  <c r="AS10" i="14" s="1"/>
  <c r="AH6" i="14"/>
  <c r="AS6" i="14" s="1"/>
  <c r="AH68" i="14"/>
  <c r="AS68" i="14" s="1"/>
  <c r="AH103" i="14"/>
  <c r="AS103" i="14" s="1"/>
  <c r="AH54" i="14"/>
  <c r="AS54" i="14" s="1"/>
  <c r="AK109" i="14"/>
  <c r="AV109" i="14" s="1"/>
  <c r="AK103" i="14"/>
  <c r="AV103" i="14" s="1"/>
  <c r="AK99" i="14"/>
  <c r="AV99" i="14" s="1"/>
  <c r="AK95" i="14"/>
  <c r="AV95" i="14" s="1"/>
  <c r="AK91" i="14"/>
  <c r="AV91" i="14" s="1"/>
  <c r="AK87" i="14"/>
  <c r="AV87" i="14" s="1"/>
  <c r="AK83" i="14"/>
  <c r="AV83" i="14" s="1"/>
  <c r="AK79" i="14"/>
  <c r="AV79" i="14" s="1"/>
  <c r="AK75" i="14"/>
  <c r="AV75" i="14" s="1"/>
  <c r="AK71" i="14"/>
  <c r="AV71" i="14" s="1"/>
  <c r="AK67" i="14"/>
  <c r="AV67" i="14" s="1"/>
  <c r="AK63" i="14"/>
  <c r="AV63" i="14" s="1"/>
  <c r="AK59" i="14"/>
  <c r="AV59" i="14" s="1"/>
  <c r="AK55" i="14"/>
  <c r="AV55" i="14" s="1"/>
  <c r="AK51" i="14"/>
  <c r="AV51" i="14" s="1"/>
  <c r="AK22" i="14"/>
  <c r="AV22" i="14" s="1"/>
  <c r="AK7" i="14"/>
  <c r="AV7" i="14" s="1"/>
  <c r="AK23" i="14"/>
  <c r="AV23" i="14" s="1"/>
  <c r="AK41" i="14"/>
  <c r="AV41" i="14" s="1"/>
  <c r="AK8" i="14"/>
  <c r="AV8" i="14" s="1"/>
  <c r="AK24" i="14"/>
  <c r="AV24" i="14" s="1"/>
  <c r="AK40" i="14"/>
  <c r="AV40" i="14" s="1"/>
  <c r="AK6" i="14"/>
  <c r="AV6" i="14" s="1"/>
  <c r="AK25" i="14"/>
  <c r="AV25" i="14" s="1"/>
  <c r="AK21" i="14"/>
  <c r="AV21" i="14" s="1"/>
  <c r="AK39" i="14"/>
  <c r="AV39" i="14" s="1"/>
  <c r="AK46" i="14"/>
  <c r="AV46" i="14" s="1"/>
  <c r="AK50" i="14"/>
  <c r="AV50" i="14" s="1"/>
  <c r="AK56" i="14"/>
  <c r="AV56" i="14" s="1"/>
  <c r="AK61" i="14"/>
  <c r="AV61" i="14" s="1"/>
  <c r="AK66" i="14"/>
  <c r="AV66" i="14" s="1"/>
  <c r="AK72" i="14"/>
  <c r="AV72" i="14" s="1"/>
  <c r="AK77" i="14"/>
  <c r="AV77" i="14" s="1"/>
  <c r="AK82" i="14"/>
  <c r="AV82" i="14" s="1"/>
  <c r="AK88" i="14"/>
  <c r="AV88" i="14" s="1"/>
  <c r="AK93" i="14"/>
  <c r="AV93" i="14" s="1"/>
  <c r="AK98" i="14"/>
  <c r="AV98" i="14" s="1"/>
  <c r="AK104" i="14"/>
  <c r="AV104" i="14" s="1"/>
  <c r="AI106" i="14"/>
  <c r="AT106" i="14" s="1"/>
  <c r="AI109" i="14"/>
  <c r="AT109" i="14" s="1"/>
  <c r="AI105" i="14"/>
  <c r="AT105" i="14" s="1"/>
  <c r="AI108" i="14"/>
  <c r="AT108" i="14" s="1"/>
  <c r="AI81" i="14"/>
  <c r="AT81" i="14" s="1"/>
  <c r="AI77" i="14"/>
  <c r="AT77" i="14" s="1"/>
  <c r="AI73" i="14"/>
  <c r="AT73" i="14" s="1"/>
  <c r="AI69" i="14"/>
  <c r="AT69" i="14" s="1"/>
  <c r="AI65" i="14"/>
  <c r="AT65" i="14" s="1"/>
  <c r="AI61" i="14"/>
  <c r="AT61" i="14" s="1"/>
  <c r="AI57" i="14"/>
  <c r="AT57" i="14" s="1"/>
  <c r="AI53" i="14"/>
  <c r="AT53" i="14" s="1"/>
  <c r="AI49" i="14"/>
  <c r="AT49" i="14" s="1"/>
  <c r="AI45" i="14"/>
  <c r="AT45" i="14" s="1"/>
  <c r="AI44" i="14"/>
  <c r="AT44" i="14" s="1"/>
  <c r="AI43" i="14"/>
  <c r="AT43" i="14" s="1"/>
  <c r="AI42" i="14"/>
  <c r="AT42" i="14" s="1"/>
  <c r="AI41" i="14"/>
  <c r="AT41" i="14" s="1"/>
  <c r="AI40" i="14"/>
  <c r="AT40" i="14" s="1"/>
  <c r="AI39" i="14"/>
  <c r="AT39" i="14" s="1"/>
  <c r="AI38" i="14"/>
  <c r="AT38" i="14" s="1"/>
  <c r="AI37" i="14"/>
  <c r="AT37" i="14" s="1"/>
  <c r="AI36" i="14"/>
  <c r="AT36" i="14" s="1"/>
  <c r="AI35" i="14"/>
  <c r="AT35" i="14" s="1"/>
  <c r="AI34" i="14"/>
  <c r="AT34" i="14" s="1"/>
  <c r="AI33" i="14"/>
  <c r="AT33" i="14" s="1"/>
  <c r="AI32" i="14"/>
  <c r="AT32" i="14" s="1"/>
  <c r="AI31" i="14"/>
  <c r="AT31" i="14" s="1"/>
  <c r="AI30" i="14"/>
  <c r="AT30" i="14" s="1"/>
  <c r="AI29" i="14"/>
  <c r="AT29" i="14" s="1"/>
  <c r="AI28" i="14"/>
  <c r="AT28" i="14" s="1"/>
  <c r="AI27" i="14"/>
  <c r="AT27" i="14" s="1"/>
  <c r="AI26" i="14"/>
  <c r="AT26" i="14" s="1"/>
  <c r="AI25" i="14"/>
  <c r="AT25" i="14" s="1"/>
  <c r="AI24" i="14"/>
  <c r="AT24" i="14" s="1"/>
  <c r="AI102" i="14"/>
  <c r="AT102" i="14" s="1"/>
  <c r="AI100" i="14"/>
  <c r="AT100" i="14" s="1"/>
  <c r="AI98" i="14"/>
  <c r="AT98" i="14" s="1"/>
  <c r="AI96" i="14"/>
  <c r="AT96" i="14" s="1"/>
  <c r="AI94" i="14"/>
  <c r="AT94" i="14" s="1"/>
  <c r="AI92" i="14"/>
  <c r="AT92" i="14" s="1"/>
  <c r="AI90" i="14"/>
  <c r="AT90" i="14" s="1"/>
  <c r="AI88" i="14"/>
  <c r="AT88" i="14" s="1"/>
  <c r="AI86" i="14"/>
  <c r="AT86" i="14" s="1"/>
  <c r="AI84" i="14"/>
  <c r="AT84" i="14" s="1"/>
  <c r="AI82" i="14"/>
  <c r="AT82" i="14" s="1"/>
  <c r="AI80" i="14"/>
  <c r="AT80" i="14" s="1"/>
  <c r="AI76" i="14"/>
  <c r="AT76" i="14" s="1"/>
  <c r="AI72" i="14"/>
  <c r="AT72" i="14" s="1"/>
  <c r="AI68" i="14"/>
  <c r="AT68" i="14" s="1"/>
  <c r="AI64" i="14"/>
  <c r="AT64" i="14" s="1"/>
  <c r="AI60" i="14"/>
  <c r="AT60" i="14" s="1"/>
  <c r="AI56" i="14"/>
  <c r="AT56" i="14" s="1"/>
  <c r="AI52" i="14"/>
  <c r="AT52" i="14" s="1"/>
  <c r="AI48" i="14"/>
  <c r="AT48" i="14" s="1"/>
  <c r="AI99" i="14"/>
  <c r="AT99" i="14" s="1"/>
  <c r="AI91" i="14"/>
  <c r="AT91" i="14" s="1"/>
  <c r="AI83" i="14"/>
  <c r="AT83" i="14" s="1"/>
  <c r="AI75" i="14"/>
  <c r="AT75" i="14" s="1"/>
  <c r="AI67" i="14"/>
  <c r="AT67" i="14" s="1"/>
  <c r="AI59" i="14"/>
  <c r="AT59" i="14" s="1"/>
  <c r="AI51" i="14"/>
  <c r="AT51" i="14" s="1"/>
  <c r="AI23" i="14"/>
  <c r="AT23" i="14" s="1"/>
  <c r="AI19" i="14"/>
  <c r="AT19" i="14" s="1"/>
  <c r="AI15" i="14"/>
  <c r="AT15" i="14" s="1"/>
  <c r="AI11" i="14"/>
  <c r="AT11" i="14" s="1"/>
  <c r="AI7" i="14"/>
  <c r="AT7" i="14" s="1"/>
  <c r="AI107" i="14"/>
  <c r="AT107" i="14" s="1"/>
  <c r="AI85" i="14"/>
  <c r="AT85" i="14" s="1"/>
  <c r="AI16" i="14"/>
  <c r="AT16" i="14" s="1"/>
  <c r="AI12" i="14"/>
  <c r="AT12" i="14" s="1"/>
  <c r="AI104" i="14"/>
  <c r="AT104" i="14" s="1"/>
  <c r="AI97" i="14"/>
  <c r="AT97" i="14" s="1"/>
  <c r="AI89" i="14"/>
  <c r="AT89" i="14" s="1"/>
  <c r="AI78" i="14"/>
  <c r="AT78" i="14" s="1"/>
  <c r="AI70" i="14"/>
  <c r="AT70" i="14" s="1"/>
  <c r="AI62" i="14"/>
  <c r="AT62" i="14" s="1"/>
  <c r="AI54" i="14"/>
  <c r="AT54" i="14" s="1"/>
  <c r="AI46" i="14"/>
  <c r="AT46" i="14" s="1"/>
  <c r="AI22" i="14"/>
  <c r="AT22" i="14" s="1"/>
  <c r="AI18" i="14"/>
  <c r="AT18" i="14" s="1"/>
  <c r="AI14" i="14"/>
  <c r="AT14" i="14" s="1"/>
  <c r="AI10" i="14"/>
  <c r="AT10" i="14" s="1"/>
  <c r="AI6" i="14"/>
  <c r="AI103" i="14"/>
  <c r="AT103" i="14" s="1"/>
  <c r="AI95" i="14"/>
  <c r="AT95" i="14" s="1"/>
  <c r="AI87" i="14"/>
  <c r="AT87" i="14" s="1"/>
  <c r="AI79" i="14"/>
  <c r="AT79" i="14" s="1"/>
  <c r="AI71" i="14"/>
  <c r="AT71" i="14" s="1"/>
  <c r="AI63" i="14"/>
  <c r="AT63" i="14" s="1"/>
  <c r="AI55" i="14"/>
  <c r="AT55" i="14" s="1"/>
  <c r="AI47" i="14"/>
  <c r="AT47" i="14" s="1"/>
  <c r="AI21" i="14"/>
  <c r="AT21" i="14" s="1"/>
  <c r="AI17" i="14"/>
  <c r="AT17" i="14" s="1"/>
  <c r="AI13" i="14"/>
  <c r="AT13" i="14" s="1"/>
  <c r="AI9" i="14"/>
  <c r="AT9" i="14" s="1"/>
  <c r="AI101" i="14"/>
  <c r="AT101" i="14" s="1"/>
  <c r="AI93" i="14"/>
  <c r="AT93" i="14" s="1"/>
  <c r="AI74" i="14"/>
  <c r="AT74" i="14" s="1"/>
  <c r="AI66" i="14"/>
  <c r="AT66" i="14" s="1"/>
  <c r="AI58" i="14"/>
  <c r="AT58" i="14" s="1"/>
  <c r="AI50" i="14"/>
  <c r="AT50" i="14" s="1"/>
  <c r="AI20" i="14"/>
  <c r="AT20" i="14" s="1"/>
  <c r="AI8" i="14"/>
  <c r="AT8" i="14" s="1"/>
  <c r="AF109" i="14"/>
  <c r="AQ109" i="14" s="1"/>
  <c r="AF108" i="14"/>
  <c r="AQ108" i="14" s="1"/>
  <c r="AF107" i="14"/>
  <c r="AQ107" i="14" s="1"/>
  <c r="AF106" i="14"/>
  <c r="AQ106" i="14" s="1"/>
  <c r="AF105" i="14"/>
  <c r="AQ105" i="14" s="1"/>
  <c r="AF104" i="14"/>
  <c r="AQ104" i="14" s="1"/>
  <c r="AF103" i="14"/>
  <c r="AQ103" i="14" s="1"/>
  <c r="AF101" i="14"/>
  <c r="AQ101" i="14" s="1"/>
  <c r="AF99" i="14"/>
  <c r="AQ99" i="14" s="1"/>
  <c r="AF97" i="14"/>
  <c r="AQ97" i="14" s="1"/>
  <c r="AF95" i="14"/>
  <c r="AQ95" i="14" s="1"/>
  <c r="AF93" i="14"/>
  <c r="AQ93" i="14" s="1"/>
  <c r="AF91" i="14"/>
  <c r="AQ91" i="14" s="1"/>
  <c r="AF89" i="14"/>
  <c r="AQ89" i="14" s="1"/>
  <c r="AF87" i="14"/>
  <c r="AQ87" i="14" s="1"/>
  <c r="AF85" i="14"/>
  <c r="AQ85" i="14" s="1"/>
  <c r="AF83" i="14"/>
  <c r="AQ83" i="14" s="1"/>
  <c r="AF79" i="14"/>
  <c r="AQ79" i="14" s="1"/>
  <c r="AF75" i="14"/>
  <c r="AQ75" i="14" s="1"/>
  <c r="AF71" i="14"/>
  <c r="AQ71" i="14" s="1"/>
  <c r="AF67" i="14"/>
  <c r="AQ67" i="14" s="1"/>
  <c r="AF63" i="14"/>
  <c r="AQ63" i="14" s="1"/>
  <c r="AF59" i="14"/>
  <c r="AQ59" i="14" s="1"/>
  <c r="AF55" i="14"/>
  <c r="AQ55" i="14" s="1"/>
  <c r="AF51" i="14"/>
  <c r="AQ51" i="14" s="1"/>
  <c r="AF47" i="14"/>
  <c r="AQ47" i="14" s="1"/>
  <c r="AF78" i="14"/>
  <c r="AQ78" i="14" s="1"/>
  <c r="AF74" i="14"/>
  <c r="AQ74" i="14" s="1"/>
  <c r="AF70" i="14"/>
  <c r="AQ70" i="14" s="1"/>
  <c r="AF66" i="14"/>
  <c r="AQ66" i="14" s="1"/>
  <c r="AF62" i="14"/>
  <c r="AQ62" i="14" s="1"/>
  <c r="AF58" i="14"/>
  <c r="AQ58" i="14" s="1"/>
  <c r="AF54" i="14"/>
  <c r="AQ54" i="14" s="1"/>
  <c r="AF50" i="14"/>
  <c r="AQ50" i="14" s="1"/>
  <c r="AF46" i="14"/>
  <c r="AQ46" i="14" s="1"/>
  <c r="AF96" i="14"/>
  <c r="AQ96" i="14" s="1"/>
  <c r="AF88" i="14"/>
  <c r="AQ88" i="14" s="1"/>
  <c r="AF77" i="14"/>
  <c r="AQ77" i="14" s="1"/>
  <c r="AF76" i="14"/>
  <c r="AQ76" i="14" s="1"/>
  <c r="AF69" i="14"/>
  <c r="AQ69" i="14" s="1"/>
  <c r="AF68" i="14"/>
  <c r="AQ68" i="14" s="1"/>
  <c r="AF61" i="14"/>
  <c r="AQ61" i="14" s="1"/>
  <c r="AF60" i="14"/>
  <c r="AQ60" i="14" s="1"/>
  <c r="AF53" i="14"/>
  <c r="AQ53" i="14" s="1"/>
  <c r="AF52" i="14"/>
  <c r="AQ52" i="14" s="1"/>
  <c r="AF44" i="14"/>
  <c r="AQ44" i="14" s="1"/>
  <c r="AF40" i="14"/>
  <c r="AQ40" i="14" s="1"/>
  <c r="AF36" i="14"/>
  <c r="AQ36" i="14" s="1"/>
  <c r="AF32" i="14"/>
  <c r="AQ32" i="14" s="1"/>
  <c r="AF28" i="14"/>
  <c r="AQ28" i="14" s="1"/>
  <c r="AF24" i="14"/>
  <c r="AQ24" i="14" s="1"/>
  <c r="AF21" i="14"/>
  <c r="AQ21" i="14" s="1"/>
  <c r="AF17" i="14"/>
  <c r="AQ17" i="14" s="1"/>
  <c r="AF13" i="14"/>
  <c r="AQ13" i="14" s="1"/>
  <c r="AF9" i="14"/>
  <c r="AQ9" i="14" s="1"/>
  <c r="AF19" i="14"/>
  <c r="AQ19" i="14" s="1"/>
  <c r="AF15" i="14"/>
  <c r="AQ15" i="14" s="1"/>
  <c r="AF7" i="14"/>
  <c r="AQ7" i="14" s="1"/>
  <c r="AF39" i="14"/>
  <c r="AQ39" i="14" s="1"/>
  <c r="AF35" i="14"/>
  <c r="AQ35" i="14" s="1"/>
  <c r="AF22" i="14"/>
  <c r="AQ22" i="14" s="1"/>
  <c r="AF102" i="14"/>
  <c r="AQ102" i="14" s="1"/>
  <c r="AF94" i="14"/>
  <c r="AQ94" i="14" s="1"/>
  <c r="AF86" i="14"/>
  <c r="AQ86" i="14" s="1"/>
  <c r="AF45" i="14"/>
  <c r="AQ45" i="14" s="1"/>
  <c r="AF41" i="14"/>
  <c r="AQ41" i="14" s="1"/>
  <c r="AF37" i="14"/>
  <c r="AQ37" i="14" s="1"/>
  <c r="AF33" i="14"/>
  <c r="AQ33" i="14" s="1"/>
  <c r="AF29" i="14"/>
  <c r="AQ29" i="14" s="1"/>
  <c r="AF25" i="14"/>
  <c r="AQ25" i="14" s="1"/>
  <c r="AF20" i="14"/>
  <c r="AQ20" i="14" s="1"/>
  <c r="AF16" i="14"/>
  <c r="AQ16" i="14" s="1"/>
  <c r="AF12" i="14"/>
  <c r="AQ12" i="14" s="1"/>
  <c r="AF8" i="14"/>
  <c r="AQ8" i="14" s="1"/>
  <c r="AF100" i="14"/>
  <c r="AQ100" i="14" s="1"/>
  <c r="AF92" i="14"/>
  <c r="AQ92" i="14" s="1"/>
  <c r="AF84" i="14"/>
  <c r="AQ84" i="14" s="1"/>
  <c r="AF81" i="14"/>
  <c r="AQ81" i="14" s="1"/>
  <c r="AF80" i="14"/>
  <c r="AQ80" i="14" s="1"/>
  <c r="AF73" i="14"/>
  <c r="AQ73" i="14" s="1"/>
  <c r="AF72" i="14"/>
  <c r="AQ72" i="14" s="1"/>
  <c r="AF65" i="14"/>
  <c r="AQ65" i="14" s="1"/>
  <c r="AF64" i="14"/>
  <c r="AQ64" i="14" s="1"/>
  <c r="AF57" i="14"/>
  <c r="AQ57" i="14" s="1"/>
  <c r="AF56" i="14"/>
  <c r="AQ56" i="14" s="1"/>
  <c r="AF49" i="14"/>
  <c r="AQ49" i="14" s="1"/>
  <c r="AF48" i="14"/>
  <c r="AQ48" i="14" s="1"/>
  <c r="AF42" i="14"/>
  <c r="AQ42" i="14" s="1"/>
  <c r="AF38" i="14"/>
  <c r="AQ38" i="14" s="1"/>
  <c r="AF34" i="14"/>
  <c r="AQ34" i="14" s="1"/>
  <c r="AF30" i="14"/>
  <c r="AQ30" i="14" s="1"/>
  <c r="AF26" i="14"/>
  <c r="AQ26" i="14" s="1"/>
  <c r="AF23" i="14"/>
  <c r="AQ23" i="14" s="1"/>
  <c r="AF11" i="14"/>
  <c r="AQ11" i="14" s="1"/>
  <c r="AF98" i="14"/>
  <c r="AQ98" i="14" s="1"/>
  <c r="AF90" i="14"/>
  <c r="AQ90" i="14" s="1"/>
  <c r="AF82" i="14"/>
  <c r="AQ82" i="14" s="1"/>
  <c r="AF43" i="14"/>
  <c r="AQ43" i="14" s="1"/>
  <c r="AF31" i="14"/>
  <c r="AQ31" i="14" s="1"/>
  <c r="AF27" i="14"/>
  <c r="AQ27" i="14" s="1"/>
  <c r="AF18" i="14"/>
  <c r="AQ18" i="14" s="1"/>
  <c r="AF14" i="14"/>
  <c r="AQ14" i="14" s="1"/>
  <c r="AF10" i="14"/>
  <c r="AQ10" i="14" s="1"/>
  <c r="AF6" i="14"/>
  <c r="AC107" i="14"/>
  <c r="AN107" i="14" s="1"/>
  <c r="AC106" i="14"/>
  <c r="AN106" i="14" s="1"/>
  <c r="AC103" i="14"/>
  <c r="AN103" i="14" s="1"/>
  <c r="AC102" i="14"/>
  <c r="AN102" i="14" s="1"/>
  <c r="AC101" i="14"/>
  <c r="AN101" i="14" s="1"/>
  <c r="AC100" i="14"/>
  <c r="AN100" i="14" s="1"/>
  <c r="AC99" i="14"/>
  <c r="AN99" i="14" s="1"/>
  <c r="AC98" i="14"/>
  <c r="AN98" i="14" s="1"/>
  <c r="AC97" i="14"/>
  <c r="AN97" i="14" s="1"/>
  <c r="AC96" i="14"/>
  <c r="AN96" i="14" s="1"/>
  <c r="AC95" i="14"/>
  <c r="AN95" i="14" s="1"/>
  <c r="AC94" i="14"/>
  <c r="AN94" i="14" s="1"/>
  <c r="AC93" i="14"/>
  <c r="AN93" i="14" s="1"/>
  <c r="AC92" i="14"/>
  <c r="AN92" i="14" s="1"/>
  <c r="AC91" i="14"/>
  <c r="AN91" i="14" s="1"/>
  <c r="AC90" i="14"/>
  <c r="AN90" i="14" s="1"/>
  <c r="AC89" i="14"/>
  <c r="AN89" i="14" s="1"/>
  <c r="AC88" i="14"/>
  <c r="AN88" i="14" s="1"/>
  <c r="AC87" i="14"/>
  <c r="AN87" i="14" s="1"/>
  <c r="AC86" i="14"/>
  <c r="AN86" i="14" s="1"/>
  <c r="AC85" i="14"/>
  <c r="AN85" i="14" s="1"/>
  <c r="AC84" i="14"/>
  <c r="AN84" i="14" s="1"/>
  <c r="AC83" i="14"/>
  <c r="AN83" i="14" s="1"/>
  <c r="AC82" i="14"/>
  <c r="AN82" i="14" s="1"/>
  <c r="AC81" i="14"/>
  <c r="AN81" i="14" s="1"/>
  <c r="AC80" i="14"/>
  <c r="AN80" i="14" s="1"/>
  <c r="AC79" i="14"/>
  <c r="AN79" i="14" s="1"/>
  <c r="AC78" i="14"/>
  <c r="AN78" i="14" s="1"/>
  <c r="AC77" i="14"/>
  <c r="AN77" i="14" s="1"/>
  <c r="AC76" i="14"/>
  <c r="AN76" i="14" s="1"/>
  <c r="AC75" i="14"/>
  <c r="AN75" i="14" s="1"/>
  <c r="AC74" i="14"/>
  <c r="AN74" i="14" s="1"/>
  <c r="AC73" i="14"/>
  <c r="AN73" i="14" s="1"/>
  <c r="AC72" i="14"/>
  <c r="AN72" i="14" s="1"/>
  <c r="AC71" i="14"/>
  <c r="AN71" i="14" s="1"/>
  <c r="AC70" i="14"/>
  <c r="AN70" i="14" s="1"/>
  <c r="AC69" i="14"/>
  <c r="AN69" i="14" s="1"/>
  <c r="AC68" i="14"/>
  <c r="AN68" i="14" s="1"/>
  <c r="AC67" i="14"/>
  <c r="AN67" i="14" s="1"/>
  <c r="AC66" i="14"/>
  <c r="AN66" i="14" s="1"/>
  <c r="AC65" i="14"/>
  <c r="AN65" i="14" s="1"/>
  <c r="AC64" i="14"/>
  <c r="AN64" i="14" s="1"/>
  <c r="AC63" i="14"/>
  <c r="AN63" i="14" s="1"/>
  <c r="AC62" i="14"/>
  <c r="AN62" i="14" s="1"/>
  <c r="AC61" i="14"/>
  <c r="AN61" i="14" s="1"/>
  <c r="AC60" i="14"/>
  <c r="AN60" i="14" s="1"/>
  <c r="AC59" i="14"/>
  <c r="AN59" i="14" s="1"/>
  <c r="AC58" i="14"/>
  <c r="AN58" i="14" s="1"/>
  <c r="AC57" i="14"/>
  <c r="AN57" i="14" s="1"/>
  <c r="AC56" i="14"/>
  <c r="AN56" i="14" s="1"/>
  <c r="AC55" i="14"/>
  <c r="AN55" i="14" s="1"/>
  <c r="AC54" i="14"/>
  <c r="AN54" i="14" s="1"/>
  <c r="AC53" i="14"/>
  <c r="AN53" i="14" s="1"/>
  <c r="AC52" i="14"/>
  <c r="AN52" i="14" s="1"/>
  <c r="AC51" i="14"/>
  <c r="AN51" i="14" s="1"/>
  <c r="AC50" i="14"/>
  <c r="AN50" i="14" s="1"/>
  <c r="AC49" i="14"/>
  <c r="AN49" i="14" s="1"/>
  <c r="AC48" i="14"/>
  <c r="AN48" i="14" s="1"/>
  <c r="AC47" i="14"/>
  <c r="AN47" i="14" s="1"/>
  <c r="AC46" i="14"/>
  <c r="AN46" i="14" s="1"/>
  <c r="AC109" i="14"/>
  <c r="AN109" i="14" s="1"/>
  <c r="AC104" i="14"/>
  <c r="AN104" i="14" s="1"/>
  <c r="AC105" i="14"/>
  <c r="AN105" i="14" s="1"/>
  <c r="AC43" i="14"/>
  <c r="AN43" i="14" s="1"/>
  <c r="AC39" i="14"/>
  <c r="AN39" i="14" s="1"/>
  <c r="AC35" i="14"/>
  <c r="AN35" i="14" s="1"/>
  <c r="AC31" i="14"/>
  <c r="AN31" i="14" s="1"/>
  <c r="AC27" i="14"/>
  <c r="AN27" i="14" s="1"/>
  <c r="AC23" i="14"/>
  <c r="AN23" i="14" s="1"/>
  <c r="AC19" i="14"/>
  <c r="AN19" i="14" s="1"/>
  <c r="AC15" i="14"/>
  <c r="AN15" i="14" s="1"/>
  <c r="AC11" i="14"/>
  <c r="AN11" i="14" s="1"/>
  <c r="AC7" i="14"/>
  <c r="AN7" i="14" s="1"/>
  <c r="AC33" i="14"/>
  <c r="AN33" i="14" s="1"/>
  <c r="AC21" i="14"/>
  <c r="AN21" i="14" s="1"/>
  <c r="AC13" i="14"/>
  <c r="AN13" i="14" s="1"/>
  <c r="AC9" i="14"/>
  <c r="AN9" i="14" s="1"/>
  <c r="AC42" i="14"/>
  <c r="AN42" i="14" s="1"/>
  <c r="AC20" i="14"/>
  <c r="AN20" i="14" s="1"/>
  <c r="AC44" i="14"/>
  <c r="AN44" i="14" s="1"/>
  <c r="AC40" i="14"/>
  <c r="AN40" i="14" s="1"/>
  <c r="AC36" i="14"/>
  <c r="AN36" i="14" s="1"/>
  <c r="AC32" i="14"/>
  <c r="AN32" i="14" s="1"/>
  <c r="AC28" i="14"/>
  <c r="AN28" i="14" s="1"/>
  <c r="AC24" i="14"/>
  <c r="AN24" i="14" s="1"/>
  <c r="AC22" i="14"/>
  <c r="AN22" i="14" s="1"/>
  <c r="AC18" i="14"/>
  <c r="AN18" i="14" s="1"/>
  <c r="AC14" i="14"/>
  <c r="AN14" i="14" s="1"/>
  <c r="AC10" i="14"/>
  <c r="AN10" i="14" s="1"/>
  <c r="AC6" i="14"/>
  <c r="AC45" i="14"/>
  <c r="AN45" i="14" s="1"/>
  <c r="AC41" i="14"/>
  <c r="AN41" i="14" s="1"/>
  <c r="AC37" i="14"/>
  <c r="AN37" i="14" s="1"/>
  <c r="AC29" i="14"/>
  <c r="AN29" i="14" s="1"/>
  <c r="AC25" i="14"/>
  <c r="AN25" i="14" s="1"/>
  <c r="AC17" i="14"/>
  <c r="AN17" i="14" s="1"/>
  <c r="AC108" i="14"/>
  <c r="AN108" i="14" s="1"/>
  <c r="AC38" i="14"/>
  <c r="AN38" i="14" s="1"/>
  <c r="AC34" i="14"/>
  <c r="AN34" i="14" s="1"/>
  <c r="AC30" i="14"/>
  <c r="AN30" i="14" s="1"/>
  <c r="AC26" i="14"/>
  <c r="AN26" i="14" s="1"/>
  <c r="AC16" i="14"/>
  <c r="AN16" i="14" s="1"/>
  <c r="AC12" i="14"/>
  <c r="AN12" i="14" s="1"/>
  <c r="AC8" i="14"/>
  <c r="AN8" i="14" s="1"/>
  <c r="AG108" i="14"/>
  <c r="AR108" i="14" s="1"/>
  <c r="AG104" i="14"/>
  <c r="AR104" i="14" s="1"/>
  <c r="AG107" i="14"/>
  <c r="AR107" i="14" s="1"/>
  <c r="AG103" i="14"/>
  <c r="AR103" i="14" s="1"/>
  <c r="AG102" i="14"/>
  <c r="AR102" i="14" s="1"/>
  <c r="AG101" i="14"/>
  <c r="AR101" i="14" s="1"/>
  <c r="AG100" i="14"/>
  <c r="AR100" i="14" s="1"/>
  <c r="AG99" i="14"/>
  <c r="AR99" i="14" s="1"/>
  <c r="AG98" i="14"/>
  <c r="AR98" i="14" s="1"/>
  <c r="AG97" i="14"/>
  <c r="AR97" i="14" s="1"/>
  <c r="AG96" i="14"/>
  <c r="AR96" i="14" s="1"/>
  <c r="AG95" i="14"/>
  <c r="AR95" i="14" s="1"/>
  <c r="AG94" i="14"/>
  <c r="AR94" i="14" s="1"/>
  <c r="AG93" i="14"/>
  <c r="AR93" i="14" s="1"/>
  <c r="AG92" i="14"/>
  <c r="AR92" i="14" s="1"/>
  <c r="AG91" i="14"/>
  <c r="AR91" i="14" s="1"/>
  <c r="AG90" i="14"/>
  <c r="AR90" i="14" s="1"/>
  <c r="AG89" i="14"/>
  <c r="AR89" i="14" s="1"/>
  <c r="AG88" i="14"/>
  <c r="AR88" i="14" s="1"/>
  <c r="AG87" i="14"/>
  <c r="AR87" i="14" s="1"/>
  <c r="AG86" i="14"/>
  <c r="AR86" i="14" s="1"/>
  <c r="AG85" i="14"/>
  <c r="AR85" i="14" s="1"/>
  <c r="AG84" i="14"/>
  <c r="AR84" i="14" s="1"/>
  <c r="AG83" i="14"/>
  <c r="AR83" i="14" s="1"/>
  <c r="AG82" i="14"/>
  <c r="AR82" i="14" s="1"/>
  <c r="AG81" i="14"/>
  <c r="AR81" i="14" s="1"/>
  <c r="AG80" i="14"/>
  <c r="AR80" i="14" s="1"/>
  <c r="AG79" i="14"/>
  <c r="AR79" i="14" s="1"/>
  <c r="AG78" i="14"/>
  <c r="AR78" i="14" s="1"/>
  <c r="AG77" i="14"/>
  <c r="AR77" i="14" s="1"/>
  <c r="AG76" i="14"/>
  <c r="AR76" i="14" s="1"/>
  <c r="AG75" i="14"/>
  <c r="AR75" i="14" s="1"/>
  <c r="AG74" i="14"/>
  <c r="AR74" i="14" s="1"/>
  <c r="AG73" i="14"/>
  <c r="AR73" i="14" s="1"/>
  <c r="AG72" i="14"/>
  <c r="AR72" i="14" s="1"/>
  <c r="AG71" i="14"/>
  <c r="AR71" i="14" s="1"/>
  <c r="AG70" i="14"/>
  <c r="AR70" i="14" s="1"/>
  <c r="AG69" i="14"/>
  <c r="AR69" i="14" s="1"/>
  <c r="AG68" i="14"/>
  <c r="AR68" i="14" s="1"/>
  <c r="AG67" i="14"/>
  <c r="AR67" i="14" s="1"/>
  <c r="AG66" i="14"/>
  <c r="AR66" i="14" s="1"/>
  <c r="AG65" i="14"/>
  <c r="AR65" i="14" s="1"/>
  <c r="AG64" i="14"/>
  <c r="AR64" i="14" s="1"/>
  <c r="AG63" i="14"/>
  <c r="AR63" i="14" s="1"/>
  <c r="AG62" i="14"/>
  <c r="AR62" i="14" s="1"/>
  <c r="AG61" i="14"/>
  <c r="AR61" i="14" s="1"/>
  <c r="AG60" i="14"/>
  <c r="AR60" i="14" s="1"/>
  <c r="AG59" i="14"/>
  <c r="AR59" i="14" s="1"/>
  <c r="AG58" i="14"/>
  <c r="AR58" i="14" s="1"/>
  <c r="AG57" i="14"/>
  <c r="AR57" i="14" s="1"/>
  <c r="AG56" i="14"/>
  <c r="AR56" i="14" s="1"/>
  <c r="AG55" i="14"/>
  <c r="AR55" i="14" s="1"/>
  <c r="AG54" i="14"/>
  <c r="AR54" i="14" s="1"/>
  <c r="AG53" i="14"/>
  <c r="AR53" i="14" s="1"/>
  <c r="AG52" i="14"/>
  <c r="AR52" i="14" s="1"/>
  <c r="AG51" i="14"/>
  <c r="AR51" i="14" s="1"/>
  <c r="AG50" i="14"/>
  <c r="AR50" i="14" s="1"/>
  <c r="AG49" i="14"/>
  <c r="AR49" i="14" s="1"/>
  <c r="AG48" i="14"/>
  <c r="AR48" i="14" s="1"/>
  <c r="AG47" i="14"/>
  <c r="AR47" i="14" s="1"/>
  <c r="AG46" i="14"/>
  <c r="AR46" i="14" s="1"/>
  <c r="AG109" i="14"/>
  <c r="AR109" i="14" s="1"/>
  <c r="AG45" i="14"/>
  <c r="AR45" i="14" s="1"/>
  <c r="AG41" i="14"/>
  <c r="AR41" i="14" s="1"/>
  <c r="AG37" i="14"/>
  <c r="AR37" i="14" s="1"/>
  <c r="AG33" i="14"/>
  <c r="AR33" i="14" s="1"/>
  <c r="AG29" i="14"/>
  <c r="AR29" i="14" s="1"/>
  <c r="AG25" i="14"/>
  <c r="AR25" i="14" s="1"/>
  <c r="AG20" i="14"/>
  <c r="AR20" i="14" s="1"/>
  <c r="AG16" i="14"/>
  <c r="AR16" i="14" s="1"/>
  <c r="AG12" i="14"/>
  <c r="AR12" i="14" s="1"/>
  <c r="AG8" i="14"/>
  <c r="AR8" i="14" s="1"/>
  <c r="AG22" i="14"/>
  <c r="AR22" i="14" s="1"/>
  <c r="AG14" i="14"/>
  <c r="AR14" i="14" s="1"/>
  <c r="AG10" i="14"/>
  <c r="AR10" i="14" s="1"/>
  <c r="AG6" i="14"/>
  <c r="AG105" i="14"/>
  <c r="AR105" i="14" s="1"/>
  <c r="AG42" i="14"/>
  <c r="AR42" i="14" s="1"/>
  <c r="AG38" i="14"/>
  <c r="AR38" i="14" s="1"/>
  <c r="AG34" i="14"/>
  <c r="AR34" i="14" s="1"/>
  <c r="AG30" i="14"/>
  <c r="AR30" i="14" s="1"/>
  <c r="AG26" i="14"/>
  <c r="AR26" i="14" s="1"/>
  <c r="AG23" i="14"/>
  <c r="AR23" i="14" s="1"/>
  <c r="AG19" i="14"/>
  <c r="AR19" i="14" s="1"/>
  <c r="AG15" i="14"/>
  <c r="AR15" i="14" s="1"/>
  <c r="AG11" i="14"/>
  <c r="AR11" i="14" s="1"/>
  <c r="AG7" i="14"/>
  <c r="AR7" i="14" s="1"/>
  <c r="AG106" i="14"/>
  <c r="AR106" i="14" s="1"/>
  <c r="AG43" i="14"/>
  <c r="AR43" i="14" s="1"/>
  <c r="AG39" i="14"/>
  <c r="AR39" i="14" s="1"/>
  <c r="AG35" i="14"/>
  <c r="AR35" i="14" s="1"/>
  <c r="AG31" i="14"/>
  <c r="AR31" i="14" s="1"/>
  <c r="AG27" i="14"/>
  <c r="AR27" i="14" s="1"/>
  <c r="AG18" i="14"/>
  <c r="AR18" i="14" s="1"/>
  <c r="AG44" i="14"/>
  <c r="AR44" i="14" s="1"/>
  <c r="AG40" i="14"/>
  <c r="AR40" i="14" s="1"/>
  <c r="AG36" i="14"/>
  <c r="AR36" i="14" s="1"/>
  <c r="AG32" i="14"/>
  <c r="AR32" i="14" s="1"/>
  <c r="AG28" i="14"/>
  <c r="AR28" i="14" s="1"/>
  <c r="AG24" i="14"/>
  <c r="AR24" i="14" s="1"/>
  <c r="AG21" i="14"/>
  <c r="AR21" i="14" s="1"/>
  <c r="AG17" i="14"/>
  <c r="AR17" i="14" s="1"/>
  <c r="AG13" i="14"/>
  <c r="AR13" i="14" s="1"/>
  <c r="AG9" i="14"/>
  <c r="AR9" i="14" s="1"/>
  <c r="AE109" i="14"/>
  <c r="AP109" i="14" s="1"/>
  <c r="AE105" i="14"/>
  <c r="AP105" i="14" s="1"/>
  <c r="AE108" i="14"/>
  <c r="AP108" i="14" s="1"/>
  <c r="AE104" i="14"/>
  <c r="AP104" i="14" s="1"/>
  <c r="AE107" i="14"/>
  <c r="AP107" i="14" s="1"/>
  <c r="AE80" i="14"/>
  <c r="AP80" i="14" s="1"/>
  <c r="AE76" i="14"/>
  <c r="AP76" i="14" s="1"/>
  <c r="AE72" i="14"/>
  <c r="AP72" i="14" s="1"/>
  <c r="AE68" i="14"/>
  <c r="AP68" i="14" s="1"/>
  <c r="AE64" i="14"/>
  <c r="AP64" i="14" s="1"/>
  <c r="AE60" i="14"/>
  <c r="AP60" i="14" s="1"/>
  <c r="AE56" i="14"/>
  <c r="AP56" i="14" s="1"/>
  <c r="AE52" i="14"/>
  <c r="AP52" i="14" s="1"/>
  <c r="AE48" i="14"/>
  <c r="AP48" i="14" s="1"/>
  <c r="AE45" i="14"/>
  <c r="AP45" i="14" s="1"/>
  <c r="AE44" i="14"/>
  <c r="AP44" i="14" s="1"/>
  <c r="AE43" i="14"/>
  <c r="AP43" i="14" s="1"/>
  <c r="AE42" i="14"/>
  <c r="AP42" i="14" s="1"/>
  <c r="AE41" i="14"/>
  <c r="AP41" i="14" s="1"/>
  <c r="AE40" i="14"/>
  <c r="AP40" i="14" s="1"/>
  <c r="AE39" i="14"/>
  <c r="AP39" i="14" s="1"/>
  <c r="AE38" i="14"/>
  <c r="AP38" i="14" s="1"/>
  <c r="AE37" i="14"/>
  <c r="AP37" i="14" s="1"/>
  <c r="AE36" i="14"/>
  <c r="AP36" i="14" s="1"/>
  <c r="AE35" i="14"/>
  <c r="AP35" i="14" s="1"/>
  <c r="AE34" i="14"/>
  <c r="AP34" i="14" s="1"/>
  <c r="AE33" i="14"/>
  <c r="AP33" i="14" s="1"/>
  <c r="AE32" i="14"/>
  <c r="AP32" i="14" s="1"/>
  <c r="AE31" i="14"/>
  <c r="AP31" i="14" s="1"/>
  <c r="AE30" i="14"/>
  <c r="AP30" i="14" s="1"/>
  <c r="AE29" i="14"/>
  <c r="AP29" i="14" s="1"/>
  <c r="AE28" i="14"/>
  <c r="AP28" i="14" s="1"/>
  <c r="AE27" i="14"/>
  <c r="AP27" i="14" s="1"/>
  <c r="AE26" i="14"/>
  <c r="AP26" i="14" s="1"/>
  <c r="AE25" i="14"/>
  <c r="AP25" i="14" s="1"/>
  <c r="AE24" i="14"/>
  <c r="AP24" i="14" s="1"/>
  <c r="AE103" i="14"/>
  <c r="AP103" i="14" s="1"/>
  <c r="AE101" i="14"/>
  <c r="AP101" i="14" s="1"/>
  <c r="AE99" i="14"/>
  <c r="AP99" i="14" s="1"/>
  <c r="AE97" i="14"/>
  <c r="AP97" i="14" s="1"/>
  <c r="AE95" i="14"/>
  <c r="AP95" i="14" s="1"/>
  <c r="AE93" i="14"/>
  <c r="AP93" i="14" s="1"/>
  <c r="AE91" i="14"/>
  <c r="AP91" i="14" s="1"/>
  <c r="AE89" i="14"/>
  <c r="AP89" i="14" s="1"/>
  <c r="AE87" i="14"/>
  <c r="AP87" i="14" s="1"/>
  <c r="AE85" i="14"/>
  <c r="AP85" i="14" s="1"/>
  <c r="AE83" i="14"/>
  <c r="AP83" i="14" s="1"/>
  <c r="AE79" i="14"/>
  <c r="AP79" i="14" s="1"/>
  <c r="AE75" i="14"/>
  <c r="AP75" i="14" s="1"/>
  <c r="AE71" i="14"/>
  <c r="AP71" i="14" s="1"/>
  <c r="AE67" i="14"/>
  <c r="AP67" i="14" s="1"/>
  <c r="AE63" i="14"/>
  <c r="AP63" i="14" s="1"/>
  <c r="AE59" i="14"/>
  <c r="AP59" i="14" s="1"/>
  <c r="AE55" i="14"/>
  <c r="AP55" i="14" s="1"/>
  <c r="AE51" i="14"/>
  <c r="AP51" i="14" s="1"/>
  <c r="AE47" i="14"/>
  <c r="AP47" i="14" s="1"/>
  <c r="AE98" i="14"/>
  <c r="AP98" i="14" s="1"/>
  <c r="AE90" i="14"/>
  <c r="AP90" i="14" s="1"/>
  <c r="AE82" i="14"/>
  <c r="AP82" i="14" s="1"/>
  <c r="AE74" i="14"/>
  <c r="AP74" i="14" s="1"/>
  <c r="AE66" i="14"/>
  <c r="AP66" i="14" s="1"/>
  <c r="AE58" i="14"/>
  <c r="AP58" i="14" s="1"/>
  <c r="AE50" i="14"/>
  <c r="AP50" i="14" s="1"/>
  <c r="AE22" i="14"/>
  <c r="AP22" i="14" s="1"/>
  <c r="AE18" i="14"/>
  <c r="AP18" i="14" s="1"/>
  <c r="AE14" i="14"/>
  <c r="AP14" i="14" s="1"/>
  <c r="AE10" i="14"/>
  <c r="AP10" i="14" s="1"/>
  <c r="AE6" i="14"/>
  <c r="AE16" i="14"/>
  <c r="AP16" i="14" s="1"/>
  <c r="AE12" i="14"/>
  <c r="AP12" i="14" s="1"/>
  <c r="AE84" i="14"/>
  <c r="AP84" i="14" s="1"/>
  <c r="AE23" i="14"/>
  <c r="AP23" i="14" s="1"/>
  <c r="AE19" i="14"/>
  <c r="AP19" i="14" s="1"/>
  <c r="AE96" i="14"/>
  <c r="AP96" i="14" s="1"/>
  <c r="AE88" i="14"/>
  <c r="AP88" i="14" s="1"/>
  <c r="AE77" i="14"/>
  <c r="AP77" i="14" s="1"/>
  <c r="AE69" i="14"/>
  <c r="AP69" i="14" s="1"/>
  <c r="AE61" i="14"/>
  <c r="AP61" i="14" s="1"/>
  <c r="AE53" i="14"/>
  <c r="AP53" i="14" s="1"/>
  <c r="AE21" i="14"/>
  <c r="AP21" i="14" s="1"/>
  <c r="AE17" i="14"/>
  <c r="AP17" i="14" s="1"/>
  <c r="AE13" i="14"/>
  <c r="AP13" i="14" s="1"/>
  <c r="AE9" i="14"/>
  <c r="AP9" i="14" s="1"/>
  <c r="AE102" i="14"/>
  <c r="AP102" i="14" s="1"/>
  <c r="AE94" i="14"/>
  <c r="AP94" i="14" s="1"/>
  <c r="AE86" i="14"/>
  <c r="AP86" i="14" s="1"/>
  <c r="AE78" i="14"/>
  <c r="AP78" i="14" s="1"/>
  <c r="AE70" i="14"/>
  <c r="AP70" i="14" s="1"/>
  <c r="AE62" i="14"/>
  <c r="AP62" i="14" s="1"/>
  <c r="AE54" i="14"/>
  <c r="AP54" i="14" s="1"/>
  <c r="AE46" i="14"/>
  <c r="AP46" i="14" s="1"/>
  <c r="AE20" i="14"/>
  <c r="AP20" i="14" s="1"/>
  <c r="AE8" i="14"/>
  <c r="AP8" i="14" s="1"/>
  <c r="AE106" i="14"/>
  <c r="AP106" i="14" s="1"/>
  <c r="AE100" i="14"/>
  <c r="AP100" i="14" s="1"/>
  <c r="AE92" i="14"/>
  <c r="AP92" i="14" s="1"/>
  <c r="AE81" i="14"/>
  <c r="AP81" i="14" s="1"/>
  <c r="AE73" i="14"/>
  <c r="AP73" i="14" s="1"/>
  <c r="AE65" i="14"/>
  <c r="AP65" i="14" s="1"/>
  <c r="AE57" i="14"/>
  <c r="AP57" i="14" s="1"/>
  <c r="AE49" i="14"/>
  <c r="AP49" i="14" s="1"/>
  <c r="AE15" i="14"/>
  <c r="AP15" i="14" s="1"/>
  <c r="AE11" i="14"/>
  <c r="AP11" i="14" s="1"/>
  <c r="AE7" i="14"/>
  <c r="AP7" i="14" s="1"/>
  <c r="S3" i="9"/>
  <c r="R3" i="9"/>
  <c r="AO2" i="13"/>
  <c r="AO4" i="13" s="1"/>
  <c r="U11" i="13"/>
  <c r="Z31" i="13"/>
  <c r="T41" i="13"/>
  <c r="U41" i="13"/>
  <c r="Y60" i="13"/>
  <c r="Z76" i="13"/>
  <c r="T69" i="13"/>
  <c r="W32" i="13"/>
  <c r="Z60" i="13"/>
  <c r="T8" i="13"/>
  <c r="T24" i="13"/>
  <c r="T72" i="13"/>
  <c r="U15" i="13"/>
  <c r="W36" i="13"/>
  <c r="Y45" i="13"/>
  <c r="Y68" i="13"/>
  <c r="T16" i="13"/>
  <c r="Y41" i="13"/>
  <c r="T29" i="13"/>
  <c r="Y27" i="13"/>
  <c r="AA36" i="13"/>
  <c r="U6" i="13"/>
  <c r="AB6" i="13"/>
  <c r="X7" i="13"/>
  <c r="AB7" i="13"/>
  <c r="Z47" i="13"/>
  <c r="Y47" i="13"/>
  <c r="U23" i="13"/>
  <c r="AA8" i="13"/>
  <c r="AB8" i="13"/>
  <c r="Y8" i="13"/>
  <c r="X8" i="13"/>
  <c r="Y32" i="13"/>
  <c r="V32" i="13"/>
  <c r="AA32" i="13"/>
  <c r="Y40" i="13"/>
  <c r="AA40" i="13"/>
  <c r="W40" i="13"/>
  <c r="V40" i="13"/>
  <c r="Y48" i="13"/>
  <c r="V48" i="13"/>
  <c r="U64" i="13"/>
  <c r="Z64" i="13"/>
  <c r="T9" i="13"/>
  <c r="T33" i="13"/>
  <c r="Z43" i="13"/>
  <c r="W48" i="13"/>
  <c r="Y72" i="13"/>
  <c r="AB22" i="13"/>
  <c r="Z35" i="13"/>
  <c r="Y35" i="13"/>
  <c r="AB19" i="13"/>
  <c r="AA12" i="13"/>
  <c r="U12" i="13"/>
  <c r="Y12" i="13"/>
  <c r="X12" i="13"/>
  <c r="AA16" i="13"/>
  <c r="X16" i="13"/>
  <c r="Y16" i="13"/>
  <c r="U16" i="13"/>
  <c r="AA20" i="13"/>
  <c r="Y20" i="13"/>
  <c r="X20" i="13"/>
  <c r="U20" i="13"/>
  <c r="AA24" i="13"/>
  <c r="AB24" i="13"/>
  <c r="X24" i="13"/>
  <c r="U24" i="13"/>
  <c r="Y28" i="13"/>
  <c r="W28" i="13"/>
  <c r="AA28" i="13"/>
  <c r="V28" i="13"/>
  <c r="W44" i="13"/>
  <c r="AA44" i="13"/>
  <c r="U52" i="13"/>
  <c r="Z52" i="13"/>
  <c r="U56" i="13"/>
  <c r="Z56" i="13"/>
  <c r="AA9" i="13"/>
  <c r="AB9" i="13"/>
  <c r="Y9" i="13"/>
  <c r="AA13" i="13"/>
  <c r="U13" i="13"/>
  <c r="AB13" i="13"/>
  <c r="Y13" i="13"/>
  <c r="AA17" i="13"/>
  <c r="X17" i="13"/>
  <c r="AB17" i="13"/>
  <c r="Y17" i="13"/>
  <c r="AA21" i="13"/>
  <c r="Y21" i="13"/>
  <c r="AB21" i="13"/>
  <c r="X21" i="13"/>
  <c r="AA25" i="13"/>
  <c r="Z25" i="13"/>
  <c r="Y25" i="13"/>
  <c r="AA29" i="13"/>
  <c r="Z29" i="13"/>
  <c r="AA33" i="13"/>
  <c r="Y33" i="13"/>
  <c r="U33" i="13"/>
  <c r="AA37" i="13"/>
  <c r="U37" i="13"/>
  <c r="Z37" i="13"/>
  <c r="Y37" i="13"/>
  <c r="AA41" i="13"/>
  <c r="Z41" i="13"/>
  <c r="AA45" i="13"/>
  <c r="Z45" i="13"/>
  <c r="U45" i="13"/>
  <c r="AA49" i="13"/>
  <c r="Y49" i="13"/>
  <c r="Z49" i="13"/>
  <c r="U49" i="13"/>
  <c r="U53" i="13"/>
  <c r="Z53" i="13"/>
  <c r="Y53" i="13"/>
  <c r="U57" i="13"/>
  <c r="Z57" i="13"/>
  <c r="Y57" i="13"/>
  <c r="U61" i="13"/>
  <c r="Z61" i="13"/>
  <c r="Y61" i="13"/>
  <c r="U65" i="13"/>
  <c r="Z65" i="13"/>
  <c r="Y65" i="13"/>
  <c r="U69" i="13"/>
  <c r="Z69" i="13"/>
  <c r="U73" i="13"/>
  <c r="Z73" i="13"/>
  <c r="Y73" i="13"/>
  <c r="T12" i="13"/>
  <c r="T20" i="13"/>
  <c r="T28" i="13"/>
  <c r="T36" i="13"/>
  <c r="T44" i="13"/>
  <c r="T52" i="13"/>
  <c r="T68" i="13"/>
  <c r="T76" i="13"/>
  <c r="X9" i="13"/>
  <c r="X13" i="13"/>
  <c r="U17" i="13"/>
  <c r="U21" i="13"/>
  <c r="U25" i="13"/>
  <c r="Y29" i="13"/>
  <c r="Z39" i="13"/>
  <c r="V44" i="13"/>
  <c r="AA48" i="13"/>
  <c r="Y56" i="13"/>
  <c r="Y64" i="13"/>
  <c r="Z72" i="13"/>
  <c r="AA10" i="13"/>
  <c r="W10" i="13"/>
  <c r="Z10" i="13"/>
  <c r="V10" i="13"/>
  <c r="T10" i="13"/>
  <c r="AA18" i="13"/>
  <c r="W18" i="13"/>
  <c r="Z18" i="13"/>
  <c r="V18" i="13"/>
  <c r="T18" i="13"/>
  <c r="AB26" i="13"/>
  <c r="X26" i="13"/>
  <c r="Z26" i="13"/>
  <c r="U26" i="13"/>
  <c r="Y26" i="13"/>
  <c r="T26" i="13"/>
  <c r="AB34" i="13"/>
  <c r="X34" i="13"/>
  <c r="Z34" i="13"/>
  <c r="U34" i="13"/>
  <c r="Y34" i="13"/>
  <c r="T34" i="13"/>
  <c r="AB42" i="13"/>
  <c r="X42" i="13"/>
  <c r="Z42" i="13"/>
  <c r="U42" i="13"/>
  <c r="Y42" i="13"/>
  <c r="T42" i="13"/>
  <c r="AB50" i="13"/>
  <c r="X50" i="13"/>
  <c r="Z50" i="13"/>
  <c r="U50" i="13"/>
  <c r="W50" i="13"/>
  <c r="Y50" i="13"/>
  <c r="T50" i="13"/>
  <c r="AB58" i="13"/>
  <c r="X58" i="13"/>
  <c r="AA58" i="13"/>
  <c r="W58" i="13"/>
  <c r="V58" i="13"/>
  <c r="U58" i="13"/>
  <c r="T58" i="13"/>
  <c r="Z58" i="13"/>
  <c r="AB66" i="13"/>
  <c r="X66" i="13"/>
  <c r="AA66" i="13"/>
  <c r="W66" i="13"/>
  <c r="V66" i="13"/>
  <c r="Z66" i="13"/>
  <c r="U66" i="13"/>
  <c r="T66" i="13"/>
  <c r="AB74" i="13"/>
  <c r="X74" i="13"/>
  <c r="AA74" i="13"/>
  <c r="W74" i="13"/>
  <c r="V74" i="13"/>
  <c r="U74" i="13"/>
  <c r="T74" i="13"/>
  <c r="Z74" i="13"/>
  <c r="U22" i="13"/>
  <c r="W26" i="13"/>
  <c r="W42" i="13"/>
  <c r="AA11" i="13"/>
  <c r="W11" i="13"/>
  <c r="T11" i="13"/>
  <c r="Z11" i="13"/>
  <c r="V11" i="13"/>
  <c r="AA19" i="13"/>
  <c r="W19" i="13"/>
  <c r="T19" i="13"/>
  <c r="Z19" i="13"/>
  <c r="V19" i="13"/>
  <c r="AB27" i="13"/>
  <c r="X27" i="13"/>
  <c r="W27" i="13"/>
  <c r="T27" i="13"/>
  <c r="AA27" i="13"/>
  <c r="V27" i="13"/>
  <c r="AB35" i="13"/>
  <c r="X35" i="13"/>
  <c r="W35" i="13"/>
  <c r="T35" i="13"/>
  <c r="AA35" i="13"/>
  <c r="V35" i="13"/>
  <c r="AB43" i="13"/>
  <c r="X43" i="13"/>
  <c r="W43" i="13"/>
  <c r="T43" i="13"/>
  <c r="AA43" i="13"/>
  <c r="V43" i="13"/>
  <c r="AB51" i="13"/>
  <c r="X51" i="13"/>
  <c r="AA51" i="13"/>
  <c r="W51" i="13"/>
  <c r="T51" i="13"/>
  <c r="Z51" i="13"/>
  <c r="V51" i="13"/>
  <c r="AB63" i="13"/>
  <c r="X63" i="13"/>
  <c r="AA63" i="13"/>
  <c r="W63" i="13"/>
  <c r="V63" i="13"/>
  <c r="T63" i="13"/>
  <c r="Z63" i="13"/>
  <c r="U63" i="13"/>
  <c r="AB67" i="13"/>
  <c r="X67" i="13"/>
  <c r="AA67" i="13"/>
  <c r="W67" i="13"/>
  <c r="V67" i="13"/>
  <c r="T67" i="13"/>
  <c r="Z67" i="13"/>
  <c r="U67" i="13"/>
  <c r="AB75" i="13"/>
  <c r="X75" i="13"/>
  <c r="AA75" i="13"/>
  <c r="W75" i="13"/>
  <c r="V75" i="13"/>
  <c r="T75" i="13"/>
  <c r="Z75" i="13"/>
  <c r="U75" i="13"/>
  <c r="X11" i="13"/>
  <c r="X18" i="13"/>
  <c r="AA26" i="13"/>
  <c r="AA34" i="13"/>
  <c r="AA42" i="13"/>
  <c r="U51" i="13"/>
  <c r="Y66" i="13"/>
  <c r="AA6" i="13"/>
  <c r="W6" i="13"/>
  <c r="Z6" i="13"/>
  <c r="V6" i="13"/>
  <c r="T6" i="13"/>
  <c r="AA14" i="13"/>
  <c r="W14" i="13"/>
  <c r="Z14" i="13"/>
  <c r="V14" i="13"/>
  <c r="T14" i="13"/>
  <c r="AA22" i="13"/>
  <c r="W22" i="13"/>
  <c r="Z22" i="13"/>
  <c r="V22" i="13"/>
  <c r="T22" i="13"/>
  <c r="AB30" i="13"/>
  <c r="X30" i="13"/>
  <c r="Z30" i="13"/>
  <c r="U30" i="13"/>
  <c r="Y30" i="13"/>
  <c r="T30" i="13"/>
  <c r="AB38" i="13"/>
  <c r="X38" i="13"/>
  <c r="Z38" i="13"/>
  <c r="U38" i="13"/>
  <c r="Y38" i="13"/>
  <c r="T38" i="13"/>
  <c r="AB46" i="13"/>
  <c r="X46" i="13"/>
  <c r="Z46" i="13"/>
  <c r="U46" i="13"/>
  <c r="Y46" i="13"/>
  <c r="T46" i="13"/>
  <c r="AB54" i="13"/>
  <c r="X54" i="13"/>
  <c r="AA54" i="13"/>
  <c r="W54" i="13"/>
  <c r="V54" i="13"/>
  <c r="Z54" i="13"/>
  <c r="U54" i="13"/>
  <c r="T54" i="13"/>
  <c r="AB62" i="13"/>
  <c r="X62" i="13"/>
  <c r="AA62" i="13"/>
  <c r="W62" i="13"/>
  <c r="V62" i="13"/>
  <c r="Z62" i="13"/>
  <c r="U62" i="13"/>
  <c r="T62" i="13"/>
  <c r="AB70" i="13"/>
  <c r="X70" i="13"/>
  <c r="AA70" i="13"/>
  <c r="W70" i="13"/>
  <c r="V70" i="13"/>
  <c r="U70" i="13"/>
  <c r="T70" i="13"/>
  <c r="Z70" i="13"/>
  <c r="U10" i="13"/>
  <c r="U14" i="13"/>
  <c r="U18" i="13"/>
  <c r="W30" i="13"/>
  <c r="W34" i="13"/>
  <c r="W38" i="13"/>
  <c r="W46" i="13"/>
  <c r="AA50" i="13"/>
  <c r="AA7" i="13"/>
  <c r="W7" i="13"/>
  <c r="T7" i="13"/>
  <c r="Z7" i="13"/>
  <c r="V7" i="13"/>
  <c r="AA15" i="13"/>
  <c r="W15" i="13"/>
  <c r="T15" i="13"/>
  <c r="Z15" i="13"/>
  <c r="V15" i="13"/>
  <c r="AA23" i="13"/>
  <c r="W23" i="13"/>
  <c r="T23" i="13"/>
  <c r="Z23" i="13"/>
  <c r="V23" i="13"/>
  <c r="AB31" i="13"/>
  <c r="X31" i="13"/>
  <c r="W31" i="13"/>
  <c r="T31" i="13"/>
  <c r="AA31" i="13"/>
  <c r="V31" i="13"/>
  <c r="AB39" i="13"/>
  <c r="X39" i="13"/>
  <c r="W39" i="13"/>
  <c r="T39" i="13"/>
  <c r="AA39" i="13"/>
  <c r="V39" i="13"/>
  <c r="AB47" i="13"/>
  <c r="X47" i="13"/>
  <c r="W47" i="13"/>
  <c r="T47" i="13"/>
  <c r="AA47" i="13"/>
  <c r="V47" i="13"/>
  <c r="AB55" i="13"/>
  <c r="X55" i="13"/>
  <c r="AA55" i="13"/>
  <c r="W55" i="13"/>
  <c r="V55" i="13"/>
  <c r="T55" i="13"/>
  <c r="U55" i="13"/>
  <c r="Z55" i="13"/>
  <c r="AB59" i="13"/>
  <c r="X59" i="13"/>
  <c r="AA59" i="13"/>
  <c r="W59" i="13"/>
  <c r="V59" i="13"/>
  <c r="T59" i="13"/>
  <c r="Z59" i="13"/>
  <c r="U59" i="13"/>
  <c r="AB71" i="13"/>
  <c r="X71" i="13"/>
  <c r="AA71" i="13"/>
  <c r="W71" i="13"/>
  <c r="V71" i="13"/>
  <c r="T71" i="13"/>
  <c r="Z71" i="13"/>
  <c r="U71" i="13"/>
  <c r="X6" i="13"/>
  <c r="X10" i="13"/>
  <c r="X14" i="13"/>
  <c r="X15" i="13"/>
  <c r="X19" i="13"/>
  <c r="X23" i="13"/>
  <c r="AA30" i="13"/>
  <c r="AA38" i="13"/>
  <c r="AA46" i="13"/>
  <c r="Y58" i="13"/>
  <c r="Y74" i="13"/>
  <c r="Y6" i="13"/>
  <c r="Y7" i="13"/>
  <c r="Y10" i="13"/>
  <c r="Y11" i="13"/>
  <c r="Y14" i="13"/>
  <c r="Y15" i="13"/>
  <c r="Y18" i="13"/>
  <c r="Y19" i="13"/>
  <c r="Y22" i="13"/>
  <c r="Y23" i="13"/>
  <c r="U27" i="13"/>
  <c r="U31" i="13"/>
  <c r="U35" i="13"/>
  <c r="U39" i="13"/>
  <c r="U43" i="13"/>
  <c r="U47" i="13"/>
  <c r="Y51" i="13"/>
  <c r="Y59" i="13"/>
  <c r="Y67" i="13"/>
  <c r="Y75" i="13"/>
  <c r="AB36" i="13"/>
  <c r="X36" i="13"/>
  <c r="AB44" i="13"/>
  <c r="X44" i="13"/>
  <c r="AB60" i="13"/>
  <c r="X60" i="13"/>
  <c r="AA60" i="13"/>
  <c r="W60" i="13"/>
  <c r="AB68" i="13"/>
  <c r="X68" i="13"/>
  <c r="AA68" i="13"/>
  <c r="W68" i="13"/>
  <c r="AB76" i="13"/>
  <c r="X76" i="13"/>
  <c r="AA76" i="13"/>
  <c r="W76" i="13"/>
  <c r="V8" i="13"/>
  <c r="Z8" i="13"/>
  <c r="V9" i="13"/>
  <c r="Z9" i="13"/>
  <c r="V12" i="13"/>
  <c r="Z12" i="13"/>
  <c r="V13" i="13"/>
  <c r="Z13" i="13"/>
  <c r="V16" i="13"/>
  <c r="Z16" i="13"/>
  <c r="V17" i="13"/>
  <c r="Z17" i="13"/>
  <c r="V20" i="13"/>
  <c r="Z20" i="13"/>
  <c r="V21" i="13"/>
  <c r="Z21" i="13"/>
  <c r="V24" i="13"/>
  <c r="Z24" i="13"/>
  <c r="V25" i="13"/>
  <c r="V29" i="13"/>
  <c r="V33" i="13"/>
  <c r="Y36" i="13"/>
  <c r="V37" i="13"/>
  <c r="V41" i="13"/>
  <c r="Y44" i="13"/>
  <c r="V45" i="13"/>
  <c r="V49" i="13"/>
  <c r="U60" i="13"/>
  <c r="U68" i="13"/>
  <c r="U76" i="13"/>
  <c r="AB28" i="13"/>
  <c r="X28" i="13"/>
  <c r="AB32" i="13"/>
  <c r="X32" i="13"/>
  <c r="AB40" i="13"/>
  <c r="X40" i="13"/>
  <c r="AB48" i="13"/>
  <c r="X48" i="13"/>
  <c r="AB52" i="13"/>
  <c r="X52" i="13"/>
  <c r="AA52" i="13"/>
  <c r="W52" i="13"/>
  <c r="AB56" i="13"/>
  <c r="X56" i="13"/>
  <c r="AA56" i="13"/>
  <c r="W56" i="13"/>
  <c r="AB64" i="13"/>
  <c r="X64" i="13"/>
  <c r="AA64" i="13"/>
  <c r="W64" i="13"/>
  <c r="AB72" i="13"/>
  <c r="X72" i="13"/>
  <c r="AA72" i="13"/>
  <c r="W72" i="13"/>
  <c r="AB25" i="13"/>
  <c r="X25" i="13"/>
  <c r="AB29" i="13"/>
  <c r="X29" i="13"/>
  <c r="AB33" i="13"/>
  <c r="X33" i="13"/>
  <c r="AB37" i="13"/>
  <c r="X37" i="13"/>
  <c r="AB41" i="13"/>
  <c r="X41" i="13"/>
  <c r="AB45" i="13"/>
  <c r="X45" i="13"/>
  <c r="AB49" i="13"/>
  <c r="X49" i="13"/>
  <c r="AB53" i="13"/>
  <c r="X53" i="13"/>
  <c r="AA53" i="13"/>
  <c r="W53" i="13"/>
  <c r="AB57" i="13"/>
  <c r="X57" i="13"/>
  <c r="AA57" i="13"/>
  <c r="W57" i="13"/>
  <c r="AB61" i="13"/>
  <c r="X61" i="13"/>
  <c r="AA61" i="13"/>
  <c r="W61" i="13"/>
  <c r="AB65" i="13"/>
  <c r="X65" i="13"/>
  <c r="AA65" i="13"/>
  <c r="W65" i="13"/>
  <c r="AB69" i="13"/>
  <c r="X69" i="13"/>
  <c r="AA69" i="13"/>
  <c r="W69" i="13"/>
  <c r="AB73" i="13"/>
  <c r="X73" i="13"/>
  <c r="AA73" i="13"/>
  <c r="W73" i="13"/>
  <c r="W8" i="13"/>
  <c r="W9" i="13"/>
  <c r="W12" i="13"/>
  <c r="W13" i="13"/>
  <c r="W16" i="13"/>
  <c r="W17" i="13"/>
  <c r="W20" i="13"/>
  <c r="W21" i="13"/>
  <c r="W24" i="13"/>
  <c r="W25" i="13"/>
  <c r="U28" i="13"/>
  <c r="Z28" i="13"/>
  <c r="W29" i="13"/>
  <c r="U32" i="13"/>
  <c r="Z32" i="13"/>
  <c r="W33" i="13"/>
  <c r="U36" i="13"/>
  <c r="Z36" i="13"/>
  <c r="W37" i="13"/>
  <c r="U40" i="13"/>
  <c r="Z40" i="13"/>
  <c r="W41" i="13"/>
  <c r="U44" i="13"/>
  <c r="Z44" i="13"/>
  <c r="W45" i="13"/>
  <c r="U48" i="13"/>
  <c r="Z48" i="13"/>
  <c r="W49" i="13"/>
  <c r="V52" i="13"/>
  <c r="V53" i="13"/>
  <c r="V56" i="13"/>
  <c r="V57" i="13"/>
  <c r="V60" i="13"/>
  <c r="V61" i="13"/>
  <c r="V64" i="13"/>
  <c r="V65" i="13"/>
  <c r="V68" i="13"/>
  <c r="V69" i="13"/>
  <c r="V72" i="13"/>
  <c r="V73" i="13"/>
  <c r="V76" i="13"/>
  <c r="AD3" i="14" l="1"/>
  <c r="AD2" i="14"/>
  <c r="AN6" i="14"/>
  <c r="AC3" i="14"/>
  <c r="AC2" i="14"/>
  <c r="AU3" i="14"/>
  <c r="AU2" i="14"/>
  <c r="AT6" i="14"/>
  <c r="AS3" i="14"/>
  <c r="AS2" i="14"/>
  <c r="AP6" i="14"/>
  <c r="AE3" i="14"/>
  <c r="AE2" i="14"/>
  <c r="AV3" i="14"/>
  <c r="AV2" i="14"/>
  <c r="AF2" i="14"/>
  <c r="AQ6" i="14"/>
  <c r="AF3" i="14"/>
  <c r="AR6" i="14"/>
  <c r="AC203" i="9"/>
  <c r="AC199" i="9"/>
  <c r="AC195" i="9"/>
  <c r="AC191" i="9"/>
  <c r="AC187" i="9"/>
  <c r="AC183" i="9"/>
  <c r="AC179" i="9"/>
  <c r="AC175" i="9"/>
  <c r="AC171" i="9"/>
  <c r="AC202" i="9"/>
  <c r="AC198" i="9"/>
  <c r="AC194" i="9"/>
  <c r="AC190" i="9"/>
  <c r="AC186" i="9"/>
  <c r="AC182" i="9"/>
  <c r="AC178" i="9"/>
  <c r="AC205" i="9"/>
  <c r="AC197" i="9"/>
  <c r="AC189" i="9"/>
  <c r="AC181" i="9"/>
  <c r="AC176" i="9"/>
  <c r="AC173" i="9"/>
  <c r="AC170" i="9"/>
  <c r="AC168" i="9"/>
  <c r="AC164" i="9"/>
  <c r="AC160" i="9"/>
  <c r="AC156" i="9"/>
  <c r="AC201" i="9"/>
  <c r="AC200" i="9"/>
  <c r="AC188" i="9"/>
  <c r="AC165" i="9"/>
  <c r="AC162" i="9"/>
  <c r="AC159" i="9"/>
  <c r="AC152" i="9"/>
  <c r="AC148" i="9"/>
  <c r="AC144" i="9"/>
  <c r="AC140" i="9"/>
  <c r="AC136" i="9"/>
  <c r="AC132" i="9"/>
  <c r="AC128" i="9"/>
  <c r="AC124" i="9"/>
  <c r="AC120" i="9"/>
  <c r="AC116" i="9"/>
  <c r="AC112" i="9"/>
  <c r="AC108" i="9"/>
  <c r="AC196" i="9"/>
  <c r="AC177" i="9"/>
  <c r="AC169" i="9"/>
  <c r="AC166" i="9"/>
  <c r="AC163" i="9"/>
  <c r="AC153" i="9"/>
  <c r="AC151" i="9"/>
  <c r="AC147" i="9"/>
  <c r="AC143" i="9"/>
  <c r="AC139" i="9"/>
  <c r="AC192" i="9"/>
  <c r="AC180" i="9"/>
  <c r="AC174" i="9"/>
  <c r="AC161" i="9"/>
  <c r="AC155" i="9"/>
  <c r="AC149" i="9"/>
  <c r="AC141" i="9"/>
  <c r="AC134" i="9"/>
  <c r="AC131" i="9"/>
  <c r="AC121" i="9"/>
  <c r="AC118" i="9"/>
  <c r="AC193" i="9"/>
  <c r="AC158" i="9"/>
  <c r="AC145" i="9"/>
  <c r="AC137" i="9"/>
  <c r="AC129" i="9"/>
  <c r="AC126" i="9"/>
  <c r="AC123" i="9"/>
  <c r="AC113" i="9"/>
  <c r="AC110" i="9"/>
  <c r="AC107" i="9"/>
  <c r="AC102" i="9"/>
  <c r="AC98" i="9"/>
  <c r="AC94" i="9"/>
  <c r="AC90" i="9"/>
  <c r="AC86" i="9"/>
  <c r="AC82" i="9"/>
  <c r="AC204" i="9"/>
  <c r="AC185" i="9"/>
  <c r="AC167" i="9"/>
  <c r="AC154" i="9"/>
  <c r="AC150" i="9"/>
  <c r="AC142" i="9"/>
  <c r="AC133" i="9"/>
  <c r="AC130" i="9"/>
  <c r="AC127" i="9"/>
  <c r="AC117" i="9"/>
  <c r="AC114" i="9"/>
  <c r="AC111" i="9"/>
  <c r="AC101" i="9"/>
  <c r="AC184" i="9"/>
  <c r="AC122" i="9"/>
  <c r="AC115" i="9"/>
  <c r="AC100" i="9"/>
  <c r="AC97" i="9"/>
  <c r="AC87" i="9"/>
  <c r="AC84" i="9"/>
  <c r="AC81" i="9"/>
  <c r="AC79" i="9"/>
  <c r="AC75" i="9"/>
  <c r="AC71" i="9"/>
  <c r="AC67" i="9"/>
  <c r="AC63" i="9"/>
  <c r="AC59" i="9"/>
  <c r="AC55" i="9"/>
  <c r="AC51" i="9"/>
  <c r="AC47" i="9"/>
  <c r="AC43" i="9"/>
  <c r="AC39" i="9"/>
  <c r="AC172" i="9"/>
  <c r="AC157" i="9"/>
  <c r="AC138" i="9"/>
  <c r="AC135" i="9"/>
  <c r="AC105" i="9"/>
  <c r="AC104" i="9"/>
  <c r="AC95" i="9"/>
  <c r="AC92" i="9"/>
  <c r="AC89" i="9"/>
  <c r="AC77" i="9"/>
  <c r="AC73" i="9"/>
  <c r="AC69" i="9"/>
  <c r="AC65" i="9"/>
  <c r="AC61" i="9"/>
  <c r="AC57" i="9"/>
  <c r="AC53" i="9"/>
  <c r="AC49" i="9"/>
  <c r="AC45" i="9"/>
  <c r="AC41" i="9"/>
  <c r="AC37" i="9"/>
  <c r="AC33" i="9"/>
  <c r="AC29" i="9"/>
  <c r="AC25" i="9"/>
  <c r="AC21" i="9"/>
  <c r="AC17" i="9"/>
  <c r="AC125" i="9"/>
  <c r="AC106" i="9"/>
  <c r="AC103" i="9"/>
  <c r="AC99" i="9"/>
  <c r="AC96" i="9"/>
  <c r="AC93" i="9"/>
  <c r="AC83" i="9"/>
  <c r="AC80" i="9"/>
  <c r="AC76" i="9"/>
  <c r="AC72" i="9"/>
  <c r="AC68" i="9"/>
  <c r="AC64" i="9"/>
  <c r="AC60" i="9"/>
  <c r="AC56" i="9"/>
  <c r="AC52" i="9"/>
  <c r="AC48" i="9"/>
  <c r="AC44" i="9"/>
  <c r="AC109" i="9"/>
  <c r="AC91" i="9"/>
  <c r="AC74" i="9"/>
  <c r="AC58" i="9"/>
  <c r="AC38" i="9"/>
  <c r="AC30" i="9"/>
  <c r="AC27" i="9"/>
  <c r="AC24" i="9"/>
  <c r="AC119" i="9"/>
  <c r="AC88" i="9"/>
  <c r="AC70" i="9"/>
  <c r="AC54" i="9"/>
  <c r="AC36" i="9"/>
  <c r="AC34" i="9"/>
  <c r="AC31" i="9"/>
  <c r="AC28" i="9"/>
  <c r="AC18" i="9"/>
  <c r="AC12" i="9"/>
  <c r="AC8" i="9"/>
  <c r="AC22" i="9"/>
  <c r="AC15" i="9"/>
  <c r="AC7" i="9"/>
  <c r="AC78" i="9"/>
  <c r="AC46" i="9"/>
  <c r="AC40" i="9"/>
  <c r="AC23" i="9"/>
  <c r="AC20" i="9"/>
  <c r="AC85" i="9"/>
  <c r="AC66" i="9"/>
  <c r="AC50" i="9"/>
  <c r="AC42" i="9"/>
  <c r="AC35" i="9"/>
  <c r="AC32" i="9"/>
  <c r="AC19" i="9"/>
  <c r="AC16" i="9"/>
  <c r="AC11" i="9"/>
  <c r="AC146" i="9"/>
  <c r="AC62" i="9"/>
  <c r="AC26" i="9"/>
  <c r="AC14" i="9"/>
  <c r="AC10" i="9"/>
  <c r="AC9" i="9"/>
  <c r="AC13" i="9"/>
  <c r="AD202" i="9"/>
  <c r="AD198" i="9"/>
  <c r="AD194" i="9"/>
  <c r="AD190" i="9"/>
  <c r="AD186" i="9"/>
  <c r="AD182" i="9"/>
  <c r="AD178" i="9"/>
  <c r="AD174" i="9"/>
  <c r="AD170" i="9"/>
  <c r="AD205" i="9"/>
  <c r="AD201" i="9"/>
  <c r="AD197" i="9"/>
  <c r="AD193" i="9"/>
  <c r="AD189" i="9"/>
  <c r="AD185" i="9"/>
  <c r="AD181" i="9"/>
  <c r="AD177" i="9"/>
  <c r="AD204" i="9"/>
  <c r="AD196" i="9"/>
  <c r="AD188" i="9"/>
  <c r="AD180" i="9"/>
  <c r="AD167" i="9"/>
  <c r="AD163" i="9"/>
  <c r="AD159" i="9"/>
  <c r="AD155" i="9"/>
  <c r="AD195" i="9"/>
  <c r="AD173" i="9"/>
  <c r="AD169" i="9"/>
  <c r="AD166" i="9"/>
  <c r="AD156" i="9"/>
  <c r="AD153" i="9"/>
  <c r="AD151" i="9"/>
  <c r="AD147" i="9"/>
  <c r="AD143" i="9"/>
  <c r="AD139" i="9"/>
  <c r="AD135" i="9"/>
  <c r="AD131" i="9"/>
  <c r="AD127" i="9"/>
  <c r="AD123" i="9"/>
  <c r="AD119" i="9"/>
  <c r="AD115" i="9"/>
  <c r="AD111" i="9"/>
  <c r="AD107" i="9"/>
  <c r="AD203" i="9"/>
  <c r="AD184" i="9"/>
  <c r="AD183" i="9"/>
  <c r="AD176" i="9"/>
  <c r="AD172" i="9"/>
  <c r="AD160" i="9"/>
  <c r="AD157" i="9"/>
  <c r="AD154" i="9"/>
  <c r="AD150" i="9"/>
  <c r="AD146" i="9"/>
  <c r="AD142" i="9"/>
  <c r="AD138" i="9"/>
  <c r="AD199" i="9"/>
  <c r="AD187" i="9"/>
  <c r="AD168" i="9"/>
  <c r="AD162" i="9"/>
  <c r="AD148" i="9"/>
  <c r="AD140" i="9"/>
  <c r="AD128" i="9"/>
  <c r="AD125" i="9"/>
  <c r="AD122" i="9"/>
  <c r="AD200" i="9"/>
  <c r="AD165" i="9"/>
  <c r="AD152" i="9"/>
  <c r="AD144" i="9"/>
  <c r="AD136" i="9"/>
  <c r="AD133" i="9"/>
  <c r="AD130" i="9"/>
  <c r="AD120" i="9"/>
  <c r="AD117" i="9"/>
  <c r="AD114" i="9"/>
  <c r="AD101" i="9"/>
  <c r="AD97" i="9"/>
  <c r="AD93" i="9"/>
  <c r="AD89" i="9"/>
  <c r="AD85" i="9"/>
  <c r="AD81" i="9"/>
  <c r="AD192" i="9"/>
  <c r="AD171" i="9"/>
  <c r="AD161" i="9"/>
  <c r="AD149" i="9"/>
  <c r="AD141" i="9"/>
  <c r="AD134" i="9"/>
  <c r="AD124" i="9"/>
  <c r="AD121" i="9"/>
  <c r="AD118" i="9"/>
  <c r="AD108" i="9"/>
  <c r="AD105" i="9"/>
  <c r="AD104" i="9"/>
  <c r="AD100" i="9"/>
  <c r="AD175" i="9"/>
  <c r="AD164" i="9"/>
  <c r="AD129" i="9"/>
  <c r="AD109" i="9"/>
  <c r="AD94" i="9"/>
  <c r="AD91" i="9"/>
  <c r="AD88" i="9"/>
  <c r="AD78" i="9"/>
  <c r="AD74" i="9"/>
  <c r="AD70" i="9"/>
  <c r="AD66" i="9"/>
  <c r="AD62" i="9"/>
  <c r="AD58" i="9"/>
  <c r="AD54" i="9"/>
  <c r="AD50" i="9"/>
  <c r="AD46" i="9"/>
  <c r="AD42" i="9"/>
  <c r="AD38" i="9"/>
  <c r="AD179" i="9"/>
  <c r="AD145" i="9"/>
  <c r="AD116" i="9"/>
  <c r="AD112" i="9"/>
  <c r="AD106" i="9"/>
  <c r="AD103" i="9"/>
  <c r="AD99" i="9"/>
  <c r="AD96" i="9"/>
  <c r="AD86" i="9"/>
  <c r="AD83" i="9"/>
  <c r="AD80" i="9"/>
  <c r="AD76" i="9"/>
  <c r="AD72" i="9"/>
  <c r="AD68" i="9"/>
  <c r="AD64" i="9"/>
  <c r="AD60" i="9"/>
  <c r="AD56" i="9"/>
  <c r="AD52" i="9"/>
  <c r="AD48" i="9"/>
  <c r="AD44" i="9"/>
  <c r="AD40" i="9"/>
  <c r="AD36" i="9"/>
  <c r="AD32" i="9"/>
  <c r="AD28" i="9"/>
  <c r="AD24" i="9"/>
  <c r="AD20" i="9"/>
  <c r="AD16" i="9"/>
  <c r="AD137" i="9"/>
  <c r="AD132" i="9"/>
  <c r="AD113" i="9"/>
  <c r="AD102" i="9"/>
  <c r="AD90" i="9"/>
  <c r="AD87" i="9"/>
  <c r="AD84" i="9"/>
  <c r="AD79" i="9"/>
  <c r="AD75" i="9"/>
  <c r="AD71" i="9"/>
  <c r="AD67" i="9"/>
  <c r="AD63" i="9"/>
  <c r="AD59" i="9"/>
  <c r="AD55" i="9"/>
  <c r="AD51" i="9"/>
  <c r="AD47" i="9"/>
  <c r="AD43" i="9"/>
  <c r="AD158" i="9"/>
  <c r="AD98" i="9"/>
  <c r="AD65" i="9"/>
  <c r="AD49" i="9"/>
  <c r="AD37" i="9"/>
  <c r="AD34" i="9"/>
  <c r="AD31" i="9"/>
  <c r="AD21" i="9"/>
  <c r="AD18" i="9"/>
  <c r="AD95" i="9"/>
  <c r="AD77" i="9"/>
  <c r="AD61" i="9"/>
  <c r="AD45" i="9"/>
  <c r="AD35" i="9"/>
  <c r="AD25" i="9"/>
  <c r="AD22" i="9"/>
  <c r="AD19" i="9"/>
  <c r="AD15" i="9"/>
  <c r="AD11" i="9"/>
  <c r="AD7" i="9"/>
  <c r="AD14" i="9"/>
  <c r="AD10" i="9"/>
  <c r="AD6" i="9"/>
  <c r="AD82" i="9"/>
  <c r="AD53" i="9"/>
  <c r="AD30" i="9"/>
  <c r="AD126" i="9"/>
  <c r="AD92" i="9"/>
  <c r="AD73" i="9"/>
  <c r="AD57" i="9"/>
  <c r="AD41" i="9"/>
  <c r="AD29" i="9"/>
  <c r="AD26" i="9"/>
  <c r="AD23" i="9"/>
  <c r="AD191" i="9"/>
  <c r="AD110" i="9"/>
  <c r="AD69" i="9"/>
  <c r="AD39" i="9"/>
  <c r="AD33" i="9"/>
  <c r="AD27" i="9"/>
  <c r="AD17" i="9"/>
  <c r="AD13" i="9"/>
  <c r="AD9" i="9"/>
  <c r="AD12" i="9"/>
  <c r="AD8" i="9"/>
  <c r="V3" i="9"/>
  <c r="X3" i="9"/>
  <c r="W3" i="9"/>
  <c r="T3" i="9"/>
  <c r="Y3" i="9"/>
  <c r="U3" i="9"/>
  <c r="Z3" i="9"/>
  <c r="U3" i="13"/>
  <c r="V3" i="13"/>
  <c r="Y3" i="13"/>
  <c r="Z3" i="13"/>
  <c r="AB3" i="13"/>
  <c r="W3" i="13"/>
  <c r="AA3" i="13"/>
  <c r="X3" i="13"/>
  <c r="T3" i="13"/>
  <c r="D13" i="18" l="1"/>
  <c r="D12" i="18"/>
  <c r="D10" i="18"/>
  <c r="AD4" i="14"/>
  <c r="AF4" i="14"/>
  <c r="AT2" i="14"/>
  <c r="AT3" i="14"/>
  <c r="AC4" i="14"/>
  <c r="AR3" i="14"/>
  <c r="AR2" i="14"/>
  <c r="AQ3" i="14"/>
  <c r="AQ2" i="14"/>
  <c r="AE4" i="14"/>
  <c r="AP2" i="14"/>
  <c r="AP3" i="14"/>
  <c r="AK203" i="9"/>
  <c r="AK199" i="9"/>
  <c r="AK195" i="9"/>
  <c r="AK191" i="9"/>
  <c r="AK187" i="9"/>
  <c r="AK183" i="9"/>
  <c r="AK179" i="9"/>
  <c r="AK175" i="9"/>
  <c r="AK171" i="9"/>
  <c r="AK202" i="9"/>
  <c r="AK198" i="9"/>
  <c r="AK194" i="9"/>
  <c r="AK190" i="9"/>
  <c r="AK186" i="9"/>
  <c r="AK182" i="9"/>
  <c r="AK178" i="9"/>
  <c r="AK205" i="9"/>
  <c r="AK197" i="9"/>
  <c r="AK189" i="9"/>
  <c r="AK181" i="9"/>
  <c r="AK168" i="9"/>
  <c r="AK164" i="9"/>
  <c r="AK160" i="9"/>
  <c r="AK156" i="9"/>
  <c r="AK152" i="9"/>
  <c r="AK193" i="9"/>
  <c r="AK192" i="9"/>
  <c r="AK180" i="9"/>
  <c r="AK173" i="9"/>
  <c r="AK169" i="9"/>
  <c r="AK167" i="9"/>
  <c r="AK157" i="9"/>
  <c r="AK154" i="9"/>
  <c r="AK148" i="9"/>
  <c r="AK144" i="9"/>
  <c r="AK140" i="9"/>
  <c r="AK136" i="9"/>
  <c r="AK132" i="9"/>
  <c r="AK128" i="9"/>
  <c r="AK124" i="9"/>
  <c r="AK120" i="9"/>
  <c r="AK116" i="9"/>
  <c r="AK112" i="9"/>
  <c r="AK108" i="9"/>
  <c r="AK104" i="9"/>
  <c r="AK201" i="9"/>
  <c r="AK200" i="9"/>
  <c r="AK188" i="9"/>
  <c r="AK172" i="9"/>
  <c r="AK161" i="9"/>
  <c r="AK158" i="9"/>
  <c r="AK155" i="9"/>
  <c r="AK151" i="9"/>
  <c r="AK147" i="9"/>
  <c r="AK143" i="9"/>
  <c r="AK139" i="9"/>
  <c r="AK184" i="9"/>
  <c r="AK170" i="9"/>
  <c r="AK166" i="9"/>
  <c r="AK153" i="9"/>
  <c r="AK149" i="9"/>
  <c r="AK141" i="9"/>
  <c r="AK129" i="9"/>
  <c r="AK126" i="9"/>
  <c r="AK123" i="9"/>
  <c r="AK204" i="9"/>
  <c r="AK185" i="9"/>
  <c r="AK174" i="9"/>
  <c r="AK163" i="9"/>
  <c r="AK145" i="9"/>
  <c r="AK137" i="9"/>
  <c r="AK134" i="9"/>
  <c r="AK131" i="9"/>
  <c r="AK121" i="9"/>
  <c r="AK118" i="9"/>
  <c r="AK115" i="9"/>
  <c r="AK105" i="9"/>
  <c r="AK102" i="9"/>
  <c r="AK98" i="9"/>
  <c r="AK94" i="9"/>
  <c r="AK90" i="9"/>
  <c r="AK86" i="9"/>
  <c r="AK82" i="9"/>
  <c r="AK196" i="9"/>
  <c r="AK177" i="9"/>
  <c r="AK165" i="9"/>
  <c r="AK159" i="9"/>
  <c r="AK150" i="9"/>
  <c r="AK142" i="9"/>
  <c r="AK135" i="9"/>
  <c r="AK125" i="9"/>
  <c r="AK122" i="9"/>
  <c r="AK119" i="9"/>
  <c r="AK109" i="9"/>
  <c r="AK106" i="9"/>
  <c r="AK101" i="9"/>
  <c r="AK146" i="9"/>
  <c r="AK133" i="9"/>
  <c r="AK113" i="9"/>
  <c r="AK107" i="9"/>
  <c r="AK100" i="9"/>
  <c r="AK95" i="9"/>
  <c r="AK92" i="9"/>
  <c r="AK89" i="9"/>
  <c r="AK79" i="9"/>
  <c r="AK75" i="9"/>
  <c r="AK71" i="9"/>
  <c r="AK67" i="9"/>
  <c r="AK63" i="9"/>
  <c r="AK59" i="9"/>
  <c r="AK55" i="9"/>
  <c r="AK51" i="9"/>
  <c r="AK47" i="9"/>
  <c r="AK43" i="9"/>
  <c r="AK39" i="9"/>
  <c r="AK35" i="9"/>
  <c r="AK127" i="9"/>
  <c r="AK110" i="9"/>
  <c r="AK97" i="9"/>
  <c r="AK87" i="9"/>
  <c r="AK84" i="9"/>
  <c r="AK81" i="9"/>
  <c r="AK77" i="9"/>
  <c r="AK73" i="9"/>
  <c r="AK69" i="9"/>
  <c r="AK65" i="9"/>
  <c r="AK61" i="9"/>
  <c r="AK57" i="9"/>
  <c r="AK53" i="9"/>
  <c r="AK49" i="9"/>
  <c r="AK45" i="9"/>
  <c r="AK41" i="9"/>
  <c r="AK37" i="9"/>
  <c r="AK33" i="9"/>
  <c r="AK29" i="9"/>
  <c r="AK25" i="9"/>
  <c r="AK21" i="9"/>
  <c r="AK17" i="9"/>
  <c r="AK176" i="9"/>
  <c r="AK117" i="9"/>
  <c r="AK111" i="9"/>
  <c r="AK103" i="9"/>
  <c r="AK91" i="9"/>
  <c r="AK88" i="9"/>
  <c r="AK85" i="9"/>
  <c r="AK76" i="9"/>
  <c r="AK72" i="9"/>
  <c r="AK68" i="9"/>
  <c r="AK64" i="9"/>
  <c r="AK60" i="9"/>
  <c r="AK56" i="9"/>
  <c r="AK52" i="9"/>
  <c r="AK48" i="9"/>
  <c r="AK44" i="9"/>
  <c r="AK130" i="9"/>
  <c r="AK83" i="9"/>
  <c r="AK66" i="9"/>
  <c r="AK50" i="9"/>
  <c r="AK38" i="9"/>
  <c r="AK32" i="9"/>
  <c r="AK22" i="9"/>
  <c r="AK19" i="9"/>
  <c r="AK16" i="9"/>
  <c r="AK13" i="9"/>
  <c r="AK138" i="9"/>
  <c r="AK99" i="9"/>
  <c r="AK80" i="9"/>
  <c r="AK78" i="9"/>
  <c r="AK62" i="9"/>
  <c r="AK46" i="9"/>
  <c r="AK36" i="9"/>
  <c r="AK26" i="9"/>
  <c r="AK23" i="9"/>
  <c r="AK20" i="9"/>
  <c r="AK12" i="9"/>
  <c r="AK8" i="9"/>
  <c r="AK11" i="9"/>
  <c r="AK7" i="9"/>
  <c r="AK162" i="9"/>
  <c r="AK114" i="9"/>
  <c r="AK93" i="9"/>
  <c r="AK70" i="9"/>
  <c r="AK40" i="9"/>
  <c r="AK34" i="9"/>
  <c r="AK28" i="9"/>
  <c r="AK18" i="9"/>
  <c r="AK10" i="9"/>
  <c r="AK6" i="9"/>
  <c r="AK96" i="9"/>
  <c r="AK74" i="9"/>
  <c r="AK58" i="9"/>
  <c r="AK42" i="9"/>
  <c r="AK30" i="9"/>
  <c r="AK27" i="9"/>
  <c r="AK24" i="9"/>
  <c r="AK54" i="9"/>
  <c r="AK31" i="9"/>
  <c r="AK15" i="9"/>
  <c r="AK14" i="9"/>
  <c r="AK9" i="9"/>
  <c r="AJ204" i="9"/>
  <c r="AJ200" i="9"/>
  <c r="AJ196" i="9"/>
  <c r="AJ192" i="9"/>
  <c r="AJ188" i="9"/>
  <c r="AJ184" i="9"/>
  <c r="AJ180" i="9"/>
  <c r="AJ176" i="9"/>
  <c r="AJ172" i="9"/>
  <c r="AJ203" i="9"/>
  <c r="AJ199" i="9"/>
  <c r="AJ195" i="9"/>
  <c r="AJ191" i="9"/>
  <c r="AJ187" i="9"/>
  <c r="AJ183" i="9"/>
  <c r="AJ179" i="9"/>
  <c r="AJ198" i="9"/>
  <c r="AJ190" i="9"/>
  <c r="AJ182" i="9"/>
  <c r="AJ174" i="9"/>
  <c r="AJ171" i="9"/>
  <c r="AJ165" i="9"/>
  <c r="AJ161" i="9"/>
  <c r="AJ157" i="9"/>
  <c r="AJ153" i="9"/>
  <c r="AJ205" i="9"/>
  <c r="AJ186" i="9"/>
  <c r="AJ185" i="9"/>
  <c r="AJ170" i="9"/>
  <c r="AJ166" i="9"/>
  <c r="AJ163" i="9"/>
  <c r="AJ160" i="9"/>
  <c r="AJ149" i="9"/>
  <c r="AJ145" i="9"/>
  <c r="AJ141" i="9"/>
  <c r="AJ137" i="9"/>
  <c r="AJ133" i="9"/>
  <c r="AJ129" i="9"/>
  <c r="AJ125" i="9"/>
  <c r="AJ121" i="9"/>
  <c r="AJ117" i="9"/>
  <c r="AJ113" i="9"/>
  <c r="AJ109" i="9"/>
  <c r="AJ105" i="9"/>
  <c r="AJ194" i="9"/>
  <c r="AJ193" i="9"/>
  <c r="AJ181" i="9"/>
  <c r="AJ173" i="9"/>
  <c r="AJ169" i="9"/>
  <c r="AJ167" i="9"/>
  <c r="AJ164" i="9"/>
  <c r="AJ154" i="9"/>
  <c r="AJ148" i="9"/>
  <c r="AJ144" i="9"/>
  <c r="AJ140" i="9"/>
  <c r="AJ136" i="9"/>
  <c r="AJ177" i="9"/>
  <c r="AJ159" i="9"/>
  <c r="AJ150" i="9"/>
  <c r="AJ142" i="9"/>
  <c r="AJ135" i="9"/>
  <c r="AJ132" i="9"/>
  <c r="AJ122" i="9"/>
  <c r="AJ119" i="9"/>
  <c r="AJ116" i="9"/>
  <c r="AJ197" i="9"/>
  <c r="AJ178" i="9"/>
  <c r="AJ162" i="9"/>
  <c r="AJ156" i="9"/>
  <c r="AJ146" i="9"/>
  <c r="AJ138" i="9"/>
  <c r="AJ130" i="9"/>
  <c r="AJ127" i="9"/>
  <c r="AJ124" i="9"/>
  <c r="AJ114" i="9"/>
  <c r="AJ111" i="9"/>
  <c r="AJ108" i="9"/>
  <c r="AJ103" i="9"/>
  <c r="AJ99" i="9"/>
  <c r="AJ95" i="9"/>
  <c r="AJ91" i="9"/>
  <c r="AJ87" i="9"/>
  <c r="AJ83" i="9"/>
  <c r="AJ201" i="9"/>
  <c r="AJ189" i="9"/>
  <c r="AJ175" i="9"/>
  <c r="AJ158" i="9"/>
  <c r="AJ152" i="9"/>
  <c r="AJ151" i="9"/>
  <c r="AJ143" i="9"/>
  <c r="AJ134" i="9"/>
  <c r="AJ131" i="9"/>
  <c r="AJ128" i="9"/>
  <c r="AJ118" i="9"/>
  <c r="AJ115" i="9"/>
  <c r="AJ112" i="9"/>
  <c r="AJ102" i="9"/>
  <c r="AJ202" i="9"/>
  <c r="AJ168" i="9"/>
  <c r="AJ139" i="9"/>
  <c r="AJ126" i="9"/>
  <c r="AJ106" i="9"/>
  <c r="AJ101" i="9"/>
  <c r="AJ98" i="9"/>
  <c r="AJ88" i="9"/>
  <c r="AJ85" i="9"/>
  <c r="AJ82" i="9"/>
  <c r="AJ76" i="9"/>
  <c r="AJ72" i="9"/>
  <c r="AJ68" i="9"/>
  <c r="AJ64" i="9"/>
  <c r="AJ60" i="9"/>
  <c r="AJ56" i="9"/>
  <c r="AJ52" i="9"/>
  <c r="AJ48" i="9"/>
  <c r="AJ44" i="9"/>
  <c r="AJ40" i="9"/>
  <c r="AJ36" i="9"/>
  <c r="AJ120" i="9"/>
  <c r="AJ96" i="9"/>
  <c r="AJ93" i="9"/>
  <c r="AJ90" i="9"/>
  <c r="AJ80" i="9"/>
  <c r="AJ78" i="9"/>
  <c r="AJ74" i="9"/>
  <c r="AJ70" i="9"/>
  <c r="AJ66" i="9"/>
  <c r="AJ62" i="9"/>
  <c r="AJ58" i="9"/>
  <c r="AJ54" i="9"/>
  <c r="AJ50" i="9"/>
  <c r="AJ46" i="9"/>
  <c r="AJ42" i="9"/>
  <c r="AJ38" i="9"/>
  <c r="AJ34" i="9"/>
  <c r="AJ30" i="9"/>
  <c r="AJ26" i="9"/>
  <c r="AJ22" i="9"/>
  <c r="AJ18" i="9"/>
  <c r="AJ155" i="9"/>
  <c r="AJ147" i="9"/>
  <c r="AJ110" i="9"/>
  <c r="AJ104" i="9"/>
  <c r="AJ97" i="9"/>
  <c r="AJ94" i="9"/>
  <c r="AJ84" i="9"/>
  <c r="AJ81" i="9"/>
  <c r="AJ77" i="9"/>
  <c r="AJ73" i="9"/>
  <c r="AJ69" i="9"/>
  <c r="AJ65" i="9"/>
  <c r="AJ61" i="9"/>
  <c r="AJ57" i="9"/>
  <c r="AJ53" i="9"/>
  <c r="AJ49" i="9"/>
  <c r="AJ45" i="9"/>
  <c r="AJ100" i="9"/>
  <c r="AJ75" i="9"/>
  <c r="AJ59" i="9"/>
  <c r="AJ43" i="9"/>
  <c r="AJ39" i="9"/>
  <c r="AJ31" i="9"/>
  <c r="AJ28" i="9"/>
  <c r="AJ25" i="9"/>
  <c r="AJ15" i="9"/>
  <c r="AJ14" i="9"/>
  <c r="AJ107" i="9"/>
  <c r="AJ92" i="9"/>
  <c r="AJ71" i="9"/>
  <c r="AJ55" i="9"/>
  <c r="AJ37" i="9"/>
  <c r="AJ32" i="9"/>
  <c r="AJ29" i="9"/>
  <c r="AJ19" i="9"/>
  <c r="AJ16" i="9"/>
  <c r="AJ13" i="9"/>
  <c r="AJ9" i="9"/>
  <c r="AJ17" i="9"/>
  <c r="AJ12" i="9"/>
  <c r="AJ8" i="9"/>
  <c r="AJ63" i="9"/>
  <c r="AJ27" i="9"/>
  <c r="AJ21" i="9"/>
  <c r="AJ11" i="9"/>
  <c r="AJ7" i="9"/>
  <c r="AJ89" i="9"/>
  <c r="AJ67" i="9"/>
  <c r="AJ51" i="9"/>
  <c r="AJ35" i="9"/>
  <c r="AJ33" i="9"/>
  <c r="AJ23" i="9"/>
  <c r="AJ20" i="9"/>
  <c r="AJ123" i="9"/>
  <c r="AJ86" i="9"/>
  <c r="AJ79" i="9"/>
  <c r="AJ47" i="9"/>
  <c r="AJ41" i="9"/>
  <c r="AJ24" i="9"/>
  <c r="AJ10" i="9"/>
  <c r="AJ6" i="9"/>
  <c r="AH202" i="9"/>
  <c r="AH198" i="9"/>
  <c r="AH194" i="9"/>
  <c r="AH190" i="9"/>
  <c r="AH186" i="9"/>
  <c r="AH182" i="9"/>
  <c r="AH178" i="9"/>
  <c r="AH174" i="9"/>
  <c r="AH170" i="9"/>
  <c r="AH205" i="9"/>
  <c r="AH201" i="9"/>
  <c r="AH197" i="9"/>
  <c r="AH193" i="9"/>
  <c r="AH189" i="9"/>
  <c r="AH185" i="9"/>
  <c r="AH181" i="9"/>
  <c r="AH177" i="9"/>
  <c r="AH200" i="9"/>
  <c r="AH192" i="9"/>
  <c r="AH184" i="9"/>
  <c r="AH176" i="9"/>
  <c r="AH173" i="9"/>
  <c r="AH167" i="9"/>
  <c r="AH163" i="9"/>
  <c r="AH159" i="9"/>
  <c r="AH155" i="9"/>
  <c r="AH204" i="9"/>
  <c r="AH203" i="9"/>
  <c r="AH191" i="9"/>
  <c r="AH175" i="9"/>
  <c r="AH171" i="9"/>
  <c r="AH168" i="9"/>
  <c r="AH165" i="9"/>
  <c r="AH162" i="9"/>
  <c r="AH152" i="9"/>
  <c r="AH151" i="9"/>
  <c r="AH147" i="9"/>
  <c r="AH143" i="9"/>
  <c r="AH139" i="9"/>
  <c r="AH135" i="9"/>
  <c r="AH131" i="9"/>
  <c r="AH127" i="9"/>
  <c r="AH123" i="9"/>
  <c r="AH119" i="9"/>
  <c r="AH115" i="9"/>
  <c r="AH111" i="9"/>
  <c r="AH107" i="9"/>
  <c r="AH199" i="9"/>
  <c r="AH180" i="9"/>
  <c r="AH179" i="9"/>
  <c r="AH166" i="9"/>
  <c r="AH156" i="9"/>
  <c r="AH153" i="9"/>
  <c r="AH150" i="9"/>
  <c r="AH146" i="9"/>
  <c r="AH142" i="9"/>
  <c r="AH138" i="9"/>
  <c r="AH196" i="9"/>
  <c r="AH172" i="9"/>
  <c r="AH164" i="9"/>
  <c r="AH158" i="9"/>
  <c r="AH144" i="9"/>
  <c r="AH136" i="9"/>
  <c r="AH134" i="9"/>
  <c r="AH124" i="9"/>
  <c r="AH121" i="9"/>
  <c r="AH118" i="9"/>
  <c r="AH195" i="9"/>
  <c r="AH183" i="9"/>
  <c r="AH161" i="9"/>
  <c r="AH148" i="9"/>
  <c r="AH140" i="9"/>
  <c r="AH132" i="9"/>
  <c r="AH129" i="9"/>
  <c r="AH126" i="9"/>
  <c r="AH116" i="9"/>
  <c r="AH113" i="9"/>
  <c r="AH110" i="9"/>
  <c r="AH101" i="9"/>
  <c r="AH97" i="9"/>
  <c r="AH93" i="9"/>
  <c r="AH89" i="9"/>
  <c r="AH85" i="9"/>
  <c r="AH81" i="9"/>
  <c r="AH187" i="9"/>
  <c r="AH169" i="9"/>
  <c r="AH157" i="9"/>
  <c r="AH145" i="9"/>
  <c r="AH137" i="9"/>
  <c r="AH133" i="9"/>
  <c r="AH130" i="9"/>
  <c r="AH120" i="9"/>
  <c r="AH117" i="9"/>
  <c r="AH114" i="9"/>
  <c r="AH104" i="9"/>
  <c r="AH100" i="9"/>
  <c r="AH154" i="9"/>
  <c r="AH105" i="9"/>
  <c r="AH103" i="9"/>
  <c r="AH90" i="9"/>
  <c r="AH87" i="9"/>
  <c r="AH84" i="9"/>
  <c r="AH78" i="9"/>
  <c r="AH74" i="9"/>
  <c r="AH70" i="9"/>
  <c r="AH66" i="9"/>
  <c r="AH62" i="9"/>
  <c r="AH58" i="9"/>
  <c r="AH54" i="9"/>
  <c r="AH50" i="9"/>
  <c r="AH46" i="9"/>
  <c r="AH42" i="9"/>
  <c r="AH38" i="9"/>
  <c r="AH188" i="9"/>
  <c r="AH141" i="9"/>
  <c r="AH125" i="9"/>
  <c r="AH108" i="9"/>
  <c r="AH98" i="9"/>
  <c r="AH95" i="9"/>
  <c r="AH92" i="9"/>
  <c r="AH82" i="9"/>
  <c r="AH76" i="9"/>
  <c r="AH72" i="9"/>
  <c r="AH68" i="9"/>
  <c r="AH64" i="9"/>
  <c r="AH60" i="9"/>
  <c r="AH56" i="9"/>
  <c r="AH52" i="9"/>
  <c r="AH48" i="9"/>
  <c r="AH44" i="9"/>
  <c r="AH40" i="9"/>
  <c r="AH36" i="9"/>
  <c r="AH32" i="9"/>
  <c r="AH28" i="9"/>
  <c r="AH24" i="9"/>
  <c r="AH20" i="9"/>
  <c r="AH16" i="9"/>
  <c r="AH160" i="9"/>
  <c r="AH122" i="9"/>
  <c r="AH109" i="9"/>
  <c r="AH99" i="9"/>
  <c r="AH96" i="9"/>
  <c r="AH86" i="9"/>
  <c r="AH83" i="9"/>
  <c r="AH80" i="9"/>
  <c r="AH79" i="9"/>
  <c r="AH75" i="9"/>
  <c r="AH71" i="9"/>
  <c r="AH67" i="9"/>
  <c r="AH63" i="9"/>
  <c r="AH59" i="9"/>
  <c r="AH55" i="9"/>
  <c r="AH51" i="9"/>
  <c r="AH47" i="9"/>
  <c r="AH43" i="9"/>
  <c r="AH88" i="9"/>
  <c r="AH77" i="9"/>
  <c r="AH61" i="9"/>
  <c r="AH45" i="9"/>
  <c r="AH41" i="9"/>
  <c r="AH33" i="9"/>
  <c r="AH30" i="9"/>
  <c r="AH27" i="9"/>
  <c r="AH17" i="9"/>
  <c r="AH128" i="9"/>
  <c r="AH112" i="9"/>
  <c r="AH73" i="9"/>
  <c r="AH57" i="9"/>
  <c r="AH39" i="9"/>
  <c r="AH34" i="9"/>
  <c r="AH31" i="9"/>
  <c r="AH21" i="9"/>
  <c r="AH18" i="9"/>
  <c r="AH15" i="9"/>
  <c r="AH11" i="9"/>
  <c r="AH7" i="9"/>
  <c r="AH19" i="9"/>
  <c r="AH14" i="9"/>
  <c r="AH10" i="9"/>
  <c r="AH6" i="9"/>
  <c r="AH49" i="9"/>
  <c r="AH26" i="9"/>
  <c r="AH13" i="9"/>
  <c r="AH9" i="9"/>
  <c r="AH149" i="9"/>
  <c r="AH106" i="9"/>
  <c r="AH102" i="9"/>
  <c r="AH94" i="9"/>
  <c r="AH69" i="9"/>
  <c r="AH53" i="9"/>
  <c r="AH37" i="9"/>
  <c r="AH25" i="9"/>
  <c r="AH22" i="9"/>
  <c r="AH91" i="9"/>
  <c r="AH65" i="9"/>
  <c r="AH35" i="9"/>
  <c r="AH29" i="9"/>
  <c r="AH23" i="9"/>
  <c r="AH12" i="9"/>
  <c r="AH8" i="9"/>
  <c r="AF204" i="9"/>
  <c r="AF200" i="9"/>
  <c r="AF196" i="9"/>
  <c r="AF192" i="9"/>
  <c r="AF188" i="9"/>
  <c r="AF184" i="9"/>
  <c r="AF180" i="9"/>
  <c r="AF176" i="9"/>
  <c r="AF172" i="9"/>
  <c r="AF203" i="9"/>
  <c r="AF199" i="9"/>
  <c r="AF195" i="9"/>
  <c r="AF191" i="9"/>
  <c r="AF187" i="9"/>
  <c r="AF183" i="9"/>
  <c r="AF179" i="9"/>
  <c r="AF202" i="9"/>
  <c r="AF194" i="9"/>
  <c r="AF186" i="9"/>
  <c r="AF178" i="9"/>
  <c r="AF175" i="9"/>
  <c r="AF165" i="9"/>
  <c r="AF161" i="9"/>
  <c r="AF157" i="9"/>
  <c r="AF153" i="9"/>
  <c r="AF190" i="9"/>
  <c r="AF189" i="9"/>
  <c r="AF177" i="9"/>
  <c r="AF167" i="9"/>
  <c r="AF164" i="9"/>
  <c r="AF154" i="9"/>
  <c r="AF149" i="9"/>
  <c r="AF145" i="9"/>
  <c r="AF141" i="9"/>
  <c r="AF137" i="9"/>
  <c r="AF133" i="9"/>
  <c r="AF129" i="9"/>
  <c r="AF125" i="9"/>
  <c r="AF121" i="9"/>
  <c r="AF117" i="9"/>
  <c r="AF113" i="9"/>
  <c r="AF109" i="9"/>
  <c r="AF105" i="9"/>
  <c r="AF198" i="9"/>
  <c r="AF197" i="9"/>
  <c r="AF185" i="9"/>
  <c r="AF171" i="9"/>
  <c r="AF168" i="9"/>
  <c r="AF158" i="9"/>
  <c r="AF155" i="9"/>
  <c r="AF152" i="9"/>
  <c r="AF148" i="9"/>
  <c r="AF144" i="9"/>
  <c r="AF140" i="9"/>
  <c r="AF136" i="9"/>
  <c r="AF201" i="9"/>
  <c r="AF182" i="9"/>
  <c r="AF169" i="9"/>
  <c r="AF163" i="9"/>
  <c r="AF146" i="9"/>
  <c r="AF138" i="9"/>
  <c r="AF126" i="9"/>
  <c r="AF123" i="9"/>
  <c r="AF120" i="9"/>
  <c r="AF181" i="9"/>
  <c r="AF173" i="9"/>
  <c r="AF166" i="9"/>
  <c r="AF160" i="9"/>
  <c r="AF150" i="9"/>
  <c r="AF142" i="9"/>
  <c r="AF134" i="9"/>
  <c r="AF131" i="9"/>
  <c r="AF128" i="9"/>
  <c r="AF118" i="9"/>
  <c r="AF115" i="9"/>
  <c r="AF112" i="9"/>
  <c r="AF103" i="9"/>
  <c r="AF99" i="9"/>
  <c r="AF95" i="9"/>
  <c r="AF91" i="9"/>
  <c r="AF87" i="9"/>
  <c r="AF83" i="9"/>
  <c r="AF174" i="9"/>
  <c r="AF162" i="9"/>
  <c r="AF156" i="9"/>
  <c r="AF147" i="9"/>
  <c r="AF139" i="9"/>
  <c r="AF135" i="9"/>
  <c r="AF132" i="9"/>
  <c r="AF122" i="9"/>
  <c r="AF119" i="9"/>
  <c r="AF116" i="9"/>
  <c r="AF106" i="9"/>
  <c r="AF102" i="9"/>
  <c r="AF193" i="9"/>
  <c r="AF159" i="9"/>
  <c r="AF143" i="9"/>
  <c r="AF124" i="9"/>
  <c r="AF110" i="9"/>
  <c r="AF92" i="9"/>
  <c r="AF89" i="9"/>
  <c r="AF86" i="9"/>
  <c r="AF76" i="9"/>
  <c r="AF72" i="9"/>
  <c r="AF68" i="9"/>
  <c r="AF64" i="9"/>
  <c r="AF60" i="9"/>
  <c r="AF56" i="9"/>
  <c r="AF52" i="9"/>
  <c r="AF48" i="9"/>
  <c r="AF44" i="9"/>
  <c r="AF40" i="9"/>
  <c r="AF36" i="9"/>
  <c r="AF130" i="9"/>
  <c r="AF107" i="9"/>
  <c r="AF101" i="9"/>
  <c r="AF97" i="9"/>
  <c r="AF94" i="9"/>
  <c r="AF84" i="9"/>
  <c r="AF81" i="9"/>
  <c r="AF78" i="9"/>
  <c r="AF74" i="9"/>
  <c r="AF70" i="9"/>
  <c r="AF66" i="9"/>
  <c r="AF62" i="9"/>
  <c r="AF58" i="9"/>
  <c r="AF54" i="9"/>
  <c r="AF50" i="9"/>
  <c r="AF46" i="9"/>
  <c r="AF42" i="9"/>
  <c r="AF38" i="9"/>
  <c r="AF34" i="9"/>
  <c r="AF30" i="9"/>
  <c r="AF26" i="9"/>
  <c r="AF22" i="9"/>
  <c r="AF18" i="9"/>
  <c r="AF205" i="9"/>
  <c r="AF170" i="9"/>
  <c r="AF151" i="9"/>
  <c r="AF127" i="9"/>
  <c r="AF114" i="9"/>
  <c r="AF108" i="9"/>
  <c r="AF100" i="9"/>
  <c r="AF98" i="9"/>
  <c r="AF88" i="9"/>
  <c r="AF85" i="9"/>
  <c r="AF82" i="9"/>
  <c r="AF77" i="9"/>
  <c r="AF73" i="9"/>
  <c r="AF69" i="9"/>
  <c r="AF65" i="9"/>
  <c r="AF61" i="9"/>
  <c r="AF57" i="9"/>
  <c r="AF53" i="9"/>
  <c r="AF49" i="9"/>
  <c r="AF45" i="9"/>
  <c r="AF104" i="9"/>
  <c r="AF93" i="9"/>
  <c r="AF79" i="9"/>
  <c r="AF63" i="9"/>
  <c r="AF47" i="9"/>
  <c r="AF35" i="9"/>
  <c r="AF32" i="9"/>
  <c r="AF29" i="9"/>
  <c r="AF19" i="9"/>
  <c r="AF16" i="9"/>
  <c r="AF14" i="9"/>
  <c r="AF90" i="9"/>
  <c r="AF75" i="9"/>
  <c r="AF59" i="9"/>
  <c r="AF43" i="9"/>
  <c r="AF41" i="9"/>
  <c r="AF33" i="9"/>
  <c r="AF23" i="9"/>
  <c r="AF20" i="9"/>
  <c r="AF17" i="9"/>
  <c r="AF13" i="9"/>
  <c r="AF9" i="9"/>
  <c r="AF12" i="9"/>
  <c r="AF67" i="9"/>
  <c r="AF31" i="9"/>
  <c r="AF25" i="9"/>
  <c r="AF15" i="9"/>
  <c r="AF111" i="9"/>
  <c r="AF80" i="9"/>
  <c r="AF71" i="9"/>
  <c r="AF55" i="9"/>
  <c r="AF39" i="9"/>
  <c r="AF27" i="9"/>
  <c r="AF24" i="9"/>
  <c r="AF21" i="9"/>
  <c r="AF8" i="9"/>
  <c r="AF96" i="9"/>
  <c r="AF51" i="9"/>
  <c r="AF37" i="9"/>
  <c r="AF28" i="9"/>
  <c r="AF11" i="9"/>
  <c r="AF7" i="9"/>
  <c r="AF10" i="9"/>
  <c r="AF6" i="9"/>
  <c r="AG203" i="9"/>
  <c r="AG199" i="9"/>
  <c r="AG195" i="9"/>
  <c r="AG191" i="9"/>
  <c r="AG187" i="9"/>
  <c r="AG183" i="9"/>
  <c r="AG179" i="9"/>
  <c r="AG175" i="9"/>
  <c r="AG171" i="9"/>
  <c r="AG202" i="9"/>
  <c r="AG198" i="9"/>
  <c r="AG194" i="9"/>
  <c r="AG190" i="9"/>
  <c r="AG186" i="9"/>
  <c r="AG182" i="9"/>
  <c r="AG178" i="9"/>
  <c r="AG201" i="9"/>
  <c r="AG193" i="9"/>
  <c r="AG185" i="9"/>
  <c r="AG177" i="9"/>
  <c r="AG172" i="9"/>
  <c r="AG169" i="9"/>
  <c r="AG168" i="9"/>
  <c r="AG164" i="9"/>
  <c r="AG160" i="9"/>
  <c r="AG156" i="9"/>
  <c r="AG152" i="9"/>
  <c r="AG197" i="9"/>
  <c r="AG196" i="9"/>
  <c r="AG184" i="9"/>
  <c r="AG161" i="9"/>
  <c r="AG158" i="9"/>
  <c r="AG155" i="9"/>
  <c r="AG148" i="9"/>
  <c r="AG144" i="9"/>
  <c r="AG140" i="9"/>
  <c r="AG136" i="9"/>
  <c r="AG132" i="9"/>
  <c r="AG128" i="9"/>
  <c r="AG124" i="9"/>
  <c r="AG120" i="9"/>
  <c r="AG116" i="9"/>
  <c r="AG112" i="9"/>
  <c r="AG108" i="9"/>
  <c r="AG205" i="9"/>
  <c r="AG204" i="9"/>
  <c r="AG192" i="9"/>
  <c r="AG174" i="9"/>
  <c r="AG170" i="9"/>
  <c r="AG165" i="9"/>
  <c r="AG162" i="9"/>
  <c r="AG159" i="9"/>
  <c r="AG151" i="9"/>
  <c r="AG147" i="9"/>
  <c r="AG143" i="9"/>
  <c r="AG139" i="9"/>
  <c r="AG189" i="9"/>
  <c r="AG157" i="9"/>
  <c r="AG145" i="9"/>
  <c r="AG137" i="9"/>
  <c r="AG133" i="9"/>
  <c r="AG130" i="9"/>
  <c r="AG127" i="9"/>
  <c r="AG117" i="9"/>
  <c r="AG188" i="9"/>
  <c r="AG176" i="9"/>
  <c r="AG167" i="9"/>
  <c r="AG154" i="9"/>
  <c r="AG149" i="9"/>
  <c r="AG141" i="9"/>
  <c r="AG135" i="9"/>
  <c r="AG125" i="9"/>
  <c r="AG122" i="9"/>
  <c r="AG119" i="9"/>
  <c r="AG109" i="9"/>
  <c r="AG106" i="9"/>
  <c r="AG102" i="9"/>
  <c r="AG98" i="9"/>
  <c r="AG94" i="9"/>
  <c r="AG90" i="9"/>
  <c r="AG86" i="9"/>
  <c r="AG82" i="9"/>
  <c r="AG180" i="9"/>
  <c r="AG163" i="9"/>
  <c r="AG146" i="9"/>
  <c r="AG138" i="9"/>
  <c r="AG129" i="9"/>
  <c r="AG126" i="9"/>
  <c r="AG123" i="9"/>
  <c r="AG113" i="9"/>
  <c r="AG110" i="9"/>
  <c r="AG107" i="9"/>
  <c r="AG101" i="9"/>
  <c r="AG150" i="9"/>
  <c r="AG131" i="9"/>
  <c r="AG111" i="9"/>
  <c r="AG104" i="9"/>
  <c r="AG99" i="9"/>
  <c r="AG96" i="9"/>
  <c r="AG93" i="9"/>
  <c r="AG83" i="9"/>
  <c r="AG80" i="9"/>
  <c r="AG79" i="9"/>
  <c r="AG75" i="9"/>
  <c r="AG71" i="9"/>
  <c r="AG67" i="9"/>
  <c r="AG63" i="9"/>
  <c r="AG59" i="9"/>
  <c r="AG55" i="9"/>
  <c r="AG51" i="9"/>
  <c r="AG47" i="9"/>
  <c r="AG43" i="9"/>
  <c r="AG39" i="9"/>
  <c r="AG35" i="9"/>
  <c r="AG166" i="9"/>
  <c r="AG118" i="9"/>
  <c r="AG114" i="9"/>
  <c r="AG100" i="9"/>
  <c r="AG91" i="9"/>
  <c r="AG88" i="9"/>
  <c r="AG85" i="9"/>
  <c r="AG77" i="9"/>
  <c r="AG73" i="9"/>
  <c r="AG69" i="9"/>
  <c r="AG65" i="9"/>
  <c r="AG61" i="9"/>
  <c r="AG57" i="9"/>
  <c r="AG53" i="9"/>
  <c r="AG49" i="9"/>
  <c r="AG45" i="9"/>
  <c r="AG41" i="9"/>
  <c r="AG37" i="9"/>
  <c r="AG33" i="9"/>
  <c r="AG29" i="9"/>
  <c r="AG25" i="9"/>
  <c r="AG21" i="9"/>
  <c r="AG17" i="9"/>
  <c r="AG134" i="9"/>
  <c r="AG115" i="9"/>
  <c r="AG95" i="9"/>
  <c r="AG92" i="9"/>
  <c r="AG89" i="9"/>
  <c r="AG76" i="9"/>
  <c r="AG72" i="9"/>
  <c r="AG68" i="9"/>
  <c r="AG64" i="9"/>
  <c r="AG60" i="9"/>
  <c r="AG56" i="9"/>
  <c r="AG52" i="9"/>
  <c r="AG48" i="9"/>
  <c r="AG44" i="9"/>
  <c r="AG181" i="9"/>
  <c r="AG142" i="9"/>
  <c r="AG121" i="9"/>
  <c r="AG81" i="9"/>
  <c r="AG70" i="9"/>
  <c r="AG54" i="9"/>
  <c r="AG42" i="9"/>
  <c r="AG26" i="9"/>
  <c r="AG23" i="9"/>
  <c r="AG20" i="9"/>
  <c r="AG13" i="9"/>
  <c r="AG173" i="9"/>
  <c r="AG153" i="9"/>
  <c r="AG103" i="9"/>
  <c r="AG97" i="9"/>
  <c r="AG66" i="9"/>
  <c r="AG50" i="9"/>
  <c r="AG40" i="9"/>
  <c r="AG30" i="9"/>
  <c r="AG27" i="9"/>
  <c r="AG24" i="9"/>
  <c r="AG12" i="9"/>
  <c r="AG8" i="9"/>
  <c r="AG18" i="9"/>
  <c r="AG15" i="9"/>
  <c r="AG11" i="9"/>
  <c r="AG7" i="9"/>
  <c r="AG105" i="9"/>
  <c r="AG84" i="9"/>
  <c r="AG74" i="9"/>
  <c r="AG36" i="9"/>
  <c r="AG32" i="9"/>
  <c r="AG16" i="9"/>
  <c r="AG14" i="9"/>
  <c r="AG10" i="9"/>
  <c r="AG6" i="9"/>
  <c r="AG200" i="9"/>
  <c r="AG87" i="9"/>
  <c r="AG78" i="9"/>
  <c r="AG62" i="9"/>
  <c r="AG46" i="9"/>
  <c r="AG38" i="9"/>
  <c r="AG34" i="9"/>
  <c r="AG31" i="9"/>
  <c r="AG28" i="9"/>
  <c r="AG58" i="9"/>
  <c r="AG22" i="9"/>
  <c r="AG19" i="9"/>
  <c r="AG9" i="9"/>
  <c r="AC3" i="9"/>
  <c r="AE205" i="9"/>
  <c r="AE201" i="9"/>
  <c r="AE197" i="9"/>
  <c r="AE193" i="9"/>
  <c r="AE189" i="9"/>
  <c r="AE185" i="9"/>
  <c r="AE181" i="9"/>
  <c r="AE177" i="9"/>
  <c r="AE173" i="9"/>
  <c r="AE169" i="9"/>
  <c r="AE204" i="9"/>
  <c r="AE200" i="9"/>
  <c r="AE196" i="9"/>
  <c r="AE192" i="9"/>
  <c r="AE188" i="9"/>
  <c r="AE184" i="9"/>
  <c r="AE180" i="9"/>
  <c r="AE203" i="9"/>
  <c r="AE195" i="9"/>
  <c r="AE187" i="9"/>
  <c r="AE179" i="9"/>
  <c r="AE174" i="9"/>
  <c r="AE171" i="9"/>
  <c r="AE166" i="9"/>
  <c r="AE162" i="9"/>
  <c r="AE158" i="9"/>
  <c r="AE154" i="9"/>
  <c r="AE202" i="9"/>
  <c r="AE183" i="9"/>
  <c r="AE182" i="9"/>
  <c r="AE176" i="9"/>
  <c r="AE172" i="9"/>
  <c r="AE163" i="9"/>
  <c r="AE160" i="9"/>
  <c r="AE157" i="9"/>
  <c r="AE150" i="9"/>
  <c r="AE146" i="9"/>
  <c r="AE142" i="9"/>
  <c r="AE138" i="9"/>
  <c r="AE134" i="9"/>
  <c r="AE130" i="9"/>
  <c r="AE126" i="9"/>
  <c r="AE122" i="9"/>
  <c r="AE118" i="9"/>
  <c r="AE114" i="9"/>
  <c r="AE110" i="9"/>
  <c r="AE106" i="9"/>
  <c r="AE191" i="9"/>
  <c r="AE190" i="9"/>
  <c r="AE178" i="9"/>
  <c r="AE175" i="9"/>
  <c r="AE167" i="9"/>
  <c r="AE164" i="9"/>
  <c r="AE161" i="9"/>
  <c r="AE149" i="9"/>
  <c r="AE145" i="9"/>
  <c r="AE141" i="9"/>
  <c r="AE137" i="9"/>
  <c r="AE194" i="9"/>
  <c r="AE156" i="9"/>
  <c r="AE147" i="9"/>
  <c r="AE139" i="9"/>
  <c r="AE135" i="9"/>
  <c r="AE132" i="9"/>
  <c r="AE129" i="9"/>
  <c r="AE119" i="9"/>
  <c r="AE116" i="9"/>
  <c r="AE170" i="9"/>
  <c r="AE159" i="9"/>
  <c r="AE153" i="9"/>
  <c r="AE151" i="9"/>
  <c r="AE143" i="9"/>
  <c r="AE127" i="9"/>
  <c r="AE124" i="9"/>
  <c r="AE121" i="9"/>
  <c r="AE111" i="9"/>
  <c r="AE108" i="9"/>
  <c r="AE105" i="9"/>
  <c r="AE104" i="9"/>
  <c r="AE100" i="9"/>
  <c r="AE96" i="9"/>
  <c r="AE92" i="9"/>
  <c r="AE88" i="9"/>
  <c r="AE84" i="9"/>
  <c r="AE80" i="9"/>
  <c r="AE199" i="9"/>
  <c r="AE168" i="9"/>
  <c r="AE155" i="9"/>
  <c r="AE148" i="9"/>
  <c r="AE140" i="9"/>
  <c r="AE131" i="9"/>
  <c r="AE128" i="9"/>
  <c r="AE125" i="9"/>
  <c r="AE115" i="9"/>
  <c r="AE112" i="9"/>
  <c r="AE109" i="9"/>
  <c r="AE103" i="9"/>
  <c r="AE136" i="9"/>
  <c r="AE117" i="9"/>
  <c r="AE98" i="9"/>
  <c r="AE95" i="9"/>
  <c r="AE85" i="9"/>
  <c r="AE82" i="9"/>
  <c r="AE77" i="9"/>
  <c r="AE73" i="9"/>
  <c r="AE69" i="9"/>
  <c r="AE65" i="9"/>
  <c r="AE61" i="9"/>
  <c r="AE57" i="9"/>
  <c r="AE53" i="9"/>
  <c r="AE49" i="9"/>
  <c r="AE45" i="9"/>
  <c r="AE41" i="9"/>
  <c r="AE37" i="9"/>
  <c r="AE198" i="9"/>
  <c r="AE152" i="9"/>
  <c r="AE123" i="9"/>
  <c r="AE113" i="9"/>
  <c r="AE102" i="9"/>
  <c r="AE93" i="9"/>
  <c r="AE90" i="9"/>
  <c r="AE87" i="9"/>
  <c r="AE79" i="9"/>
  <c r="AE75" i="9"/>
  <c r="AE71" i="9"/>
  <c r="AE67" i="9"/>
  <c r="AE63" i="9"/>
  <c r="AE59" i="9"/>
  <c r="AE55" i="9"/>
  <c r="AE51" i="9"/>
  <c r="AE47" i="9"/>
  <c r="AE43" i="9"/>
  <c r="AE39" i="9"/>
  <c r="AE35" i="9"/>
  <c r="AE31" i="9"/>
  <c r="AE27" i="9"/>
  <c r="AE23" i="9"/>
  <c r="AE19" i="9"/>
  <c r="AE186" i="9"/>
  <c r="AE165" i="9"/>
  <c r="AE144" i="9"/>
  <c r="AE120" i="9"/>
  <c r="AE107" i="9"/>
  <c r="AE101" i="9"/>
  <c r="AE97" i="9"/>
  <c r="AE94" i="9"/>
  <c r="AE91" i="9"/>
  <c r="AE81" i="9"/>
  <c r="AE78" i="9"/>
  <c r="AE74" i="9"/>
  <c r="AE70" i="9"/>
  <c r="AE66" i="9"/>
  <c r="AE62" i="9"/>
  <c r="AE58" i="9"/>
  <c r="AE54" i="9"/>
  <c r="AE50" i="9"/>
  <c r="AE46" i="9"/>
  <c r="AE86" i="9"/>
  <c r="AE72" i="9"/>
  <c r="AE56" i="9"/>
  <c r="AE36" i="9"/>
  <c r="AE28" i="9"/>
  <c r="AE25" i="9"/>
  <c r="AE22" i="9"/>
  <c r="AE15" i="9"/>
  <c r="AE83" i="9"/>
  <c r="AE68" i="9"/>
  <c r="AE52" i="9"/>
  <c r="AE42" i="9"/>
  <c r="AE32" i="9"/>
  <c r="AE29" i="9"/>
  <c r="AE26" i="9"/>
  <c r="AE16" i="9"/>
  <c r="AE14" i="9"/>
  <c r="AE10" i="9"/>
  <c r="AE6" i="9"/>
  <c r="AE17" i="9"/>
  <c r="AE13" i="9"/>
  <c r="AE9" i="9"/>
  <c r="AE133" i="9"/>
  <c r="AE89" i="9"/>
  <c r="AE60" i="9"/>
  <c r="AE38" i="9"/>
  <c r="AE24" i="9"/>
  <c r="AE99" i="9"/>
  <c r="AE64" i="9"/>
  <c r="AE48" i="9"/>
  <c r="AE40" i="9"/>
  <c r="AE33" i="9"/>
  <c r="AE30" i="9"/>
  <c r="AE20" i="9"/>
  <c r="AE76" i="9"/>
  <c r="AE44" i="9"/>
  <c r="AE34" i="9"/>
  <c r="AE21" i="9"/>
  <c r="AE18" i="9"/>
  <c r="AE12" i="9"/>
  <c r="AE8" i="9"/>
  <c r="AE7" i="9"/>
  <c r="AE11" i="9"/>
  <c r="AI205" i="9"/>
  <c r="AI201" i="9"/>
  <c r="AI197" i="9"/>
  <c r="AI193" i="9"/>
  <c r="AI189" i="9"/>
  <c r="AI185" i="9"/>
  <c r="AI181" i="9"/>
  <c r="AI177" i="9"/>
  <c r="AI173" i="9"/>
  <c r="AI169" i="9"/>
  <c r="AI204" i="9"/>
  <c r="AI200" i="9"/>
  <c r="AI196" i="9"/>
  <c r="AI192" i="9"/>
  <c r="AI188" i="9"/>
  <c r="AI184" i="9"/>
  <c r="AI180" i="9"/>
  <c r="AI176" i="9"/>
  <c r="AI199" i="9"/>
  <c r="AI191" i="9"/>
  <c r="AI183" i="9"/>
  <c r="AI170" i="9"/>
  <c r="AI166" i="9"/>
  <c r="AI162" i="9"/>
  <c r="AI158" i="9"/>
  <c r="AI154" i="9"/>
  <c r="AI198" i="9"/>
  <c r="AI179" i="9"/>
  <c r="AI178" i="9"/>
  <c r="AI174" i="9"/>
  <c r="AI159" i="9"/>
  <c r="AI156" i="9"/>
  <c r="AI153" i="9"/>
  <c r="AI150" i="9"/>
  <c r="AI146" i="9"/>
  <c r="AI142" i="9"/>
  <c r="AI138" i="9"/>
  <c r="AI134" i="9"/>
  <c r="AI130" i="9"/>
  <c r="AI126" i="9"/>
  <c r="AI122" i="9"/>
  <c r="AI118" i="9"/>
  <c r="AI114" i="9"/>
  <c r="AI110" i="9"/>
  <c r="AI106" i="9"/>
  <c r="AI187" i="9"/>
  <c r="AI186" i="9"/>
  <c r="AI163" i="9"/>
  <c r="AI160" i="9"/>
  <c r="AI157" i="9"/>
  <c r="AI149" i="9"/>
  <c r="AI145" i="9"/>
  <c r="AI141" i="9"/>
  <c r="AI137" i="9"/>
  <c r="AI203" i="9"/>
  <c r="AI175" i="9"/>
  <c r="AI165" i="9"/>
  <c r="AI152" i="9"/>
  <c r="AI151" i="9"/>
  <c r="AI143" i="9"/>
  <c r="AI131" i="9"/>
  <c r="AI128" i="9"/>
  <c r="AI125" i="9"/>
  <c r="AI115" i="9"/>
  <c r="AI202" i="9"/>
  <c r="AI190" i="9"/>
  <c r="AI171" i="9"/>
  <c r="AI168" i="9"/>
  <c r="AI155" i="9"/>
  <c r="AI147" i="9"/>
  <c r="AI139" i="9"/>
  <c r="AI133" i="9"/>
  <c r="AI123" i="9"/>
  <c r="AI120" i="9"/>
  <c r="AI117" i="9"/>
  <c r="AI107" i="9"/>
  <c r="AI104" i="9"/>
  <c r="AI100" i="9"/>
  <c r="AI96" i="9"/>
  <c r="AI92" i="9"/>
  <c r="AI88" i="9"/>
  <c r="AI84" i="9"/>
  <c r="AI80" i="9"/>
  <c r="AI194" i="9"/>
  <c r="AI182" i="9"/>
  <c r="AI172" i="9"/>
  <c r="AI164" i="9"/>
  <c r="AI144" i="9"/>
  <c r="AI136" i="9"/>
  <c r="AI127" i="9"/>
  <c r="AI124" i="9"/>
  <c r="AI121" i="9"/>
  <c r="AI111" i="9"/>
  <c r="AI108" i="9"/>
  <c r="AI105" i="9"/>
  <c r="AI103" i="9"/>
  <c r="AI119" i="9"/>
  <c r="AI112" i="9"/>
  <c r="AI102" i="9"/>
  <c r="AI97" i="9"/>
  <c r="AI94" i="9"/>
  <c r="AI91" i="9"/>
  <c r="AI81" i="9"/>
  <c r="AI77" i="9"/>
  <c r="AI73" i="9"/>
  <c r="AI69" i="9"/>
  <c r="AI65" i="9"/>
  <c r="AI61" i="9"/>
  <c r="AI57" i="9"/>
  <c r="AI53" i="9"/>
  <c r="AI49" i="9"/>
  <c r="AI45" i="9"/>
  <c r="AI41" i="9"/>
  <c r="AI37" i="9"/>
  <c r="AI161" i="9"/>
  <c r="AI148" i="9"/>
  <c r="AI132" i="9"/>
  <c r="AI109" i="9"/>
  <c r="AI99" i="9"/>
  <c r="AI89" i="9"/>
  <c r="AI86" i="9"/>
  <c r="AI83" i="9"/>
  <c r="AI79" i="9"/>
  <c r="AI75" i="9"/>
  <c r="AI71" i="9"/>
  <c r="AI67" i="9"/>
  <c r="AI63" i="9"/>
  <c r="AI59" i="9"/>
  <c r="AI55" i="9"/>
  <c r="AI51" i="9"/>
  <c r="AI47" i="9"/>
  <c r="AI43" i="9"/>
  <c r="AI39" i="9"/>
  <c r="AI35" i="9"/>
  <c r="AI31" i="9"/>
  <c r="AI27" i="9"/>
  <c r="AI23" i="9"/>
  <c r="AI19" i="9"/>
  <c r="AI15" i="9"/>
  <c r="AI195" i="9"/>
  <c r="AI140" i="9"/>
  <c r="AI129" i="9"/>
  <c r="AI93" i="9"/>
  <c r="AI90" i="9"/>
  <c r="AI87" i="9"/>
  <c r="AI78" i="9"/>
  <c r="AI74" i="9"/>
  <c r="AI70" i="9"/>
  <c r="AI66" i="9"/>
  <c r="AI62" i="9"/>
  <c r="AI58" i="9"/>
  <c r="AI54" i="9"/>
  <c r="AI50" i="9"/>
  <c r="AI46" i="9"/>
  <c r="AI113" i="9"/>
  <c r="AI95" i="9"/>
  <c r="AI68" i="9"/>
  <c r="AI52" i="9"/>
  <c r="AI40" i="9"/>
  <c r="AI34" i="9"/>
  <c r="AI24" i="9"/>
  <c r="AI21" i="9"/>
  <c r="AI18" i="9"/>
  <c r="AI85" i="9"/>
  <c r="AI64" i="9"/>
  <c r="AI48" i="9"/>
  <c r="AI38" i="9"/>
  <c r="AI28" i="9"/>
  <c r="AI25" i="9"/>
  <c r="AI22" i="9"/>
  <c r="AI14" i="9"/>
  <c r="AI10" i="9"/>
  <c r="AI6" i="9"/>
  <c r="AI16" i="9"/>
  <c r="AI9" i="9"/>
  <c r="AI98" i="9"/>
  <c r="AI56" i="9"/>
  <c r="AI42" i="9"/>
  <c r="AI33" i="9"/>
  <c r="AI20" i="9"/>
  <c r="AI17" i="9"/>
  <c r="AI12" i="9"/>
  <c r="AI8" i="9"/>
  <c r="AI167" i="9"/>
  <c r="AI135" i="9"/>
  <c r="AI116" i="9"/>
  <c r="AI82" i="9"/>
  <c r="AI76" i="9"/>
  <c r="AI60" i="9"/>
  <c r="AI44" i="9"/>
  <c r="AI36" i="9"/>
  <c r="AI32" i="9"/>
  <c r="AI29" i="9"/>
  <c r="AI26" i="9"/>
  <c r="AI13" i="9"/>
  <c r="AI101" i="9"/>
  <c r="AI72" i="9"/>
  <c r="AI30" i="9"/>
  <c r="AI11" i="9"/>
  <c r="AI7" i="9"/>
  <c r="AC2" i="9"/>
  <c r="AC4" i="9" s="1"/>
  <c r="AF6" i="13"/>
  <c r="D7" i="18" l="1"/>
  <c r="D11" i="18"/>
  <c r="D9" i="18"/>
  <c r="D8" i="18"/>
  <c r="AN3" i="14"/>
  <c r="AK3" i="14"/>
  <c r="AK2" i="14"/>
  <c r="AN2" i="14"/>
  <c r="AG2" i="14"/>
  <c r="AG3" i="14"/>
  <c r="AO3" i="14"/>
  <c r="AO2" i="14"/>
  <c r="AH2" i="14"/>
  <c r="AH3" i="14"/>
  <c r="AI3" i="14"/>
  <c r="AI2" i="14"/>
  <c r="AJ2" i="14"/>
  <c r="AJ3" i="14"/>
  <c r="AJ3" i="9"/>
  <c r="AF3" i="9"/>
  <c r="AI3" i="9"/>
  <c r="AI4" i="9" s="1"/>
  <c r="AK2" i="9"/>
  <c r="AE2" i="9"/>
  <c r="AJ2" i="9"/>
  <c r="AH3" i="9"/>
  <c r="AD2" i="9"/>
  <c r="AE3" i="9"/>
  <c r="AE4" i="9" s="1"/>
  <c r="AI2" i="9"/>
  <c r="AG3" i="9"/>
  <c r="AG4" i="9" s="1"/>
  <c r="AD3" i="9"/>
  <c r="AD4" i="9" s="1"/>
  <c r="AF2" i="9"/>
  <c r="AG2" i="9"/>
  <c r="AH2" i="9"/>
  <c r="AK3" i="9"/>
  <c r="AK4" i="9" s="1"/>
  <c r="AG3" i="13"/>
  <c r="AF3" i="13"/>
  <c r="AF2" i="13"/>
  <c r="AM3" i="13"/>
  <c r="AM2" i="13"/>
  <c r="AK3" i="13"/>
  <c r="AK2" i="13"/>
  <c r="AJ3" i="13"/>
  <c r="AJ2" i="13"/>
  <c r="AG2" i="13"/>
  <c r="AN3" i="13"/>
  <c r="AN2" i="13"/>
  <c r="AH3" i="13"/>
  <c r="AH4" i="13" s="1"/>
  <c r="AH2" i="13"/>
  <c r="AL3" i="13"/>
  <c r="AL2" i="13"/>
  <c r="AI3" i="13"/>
  <c r="AI4" i="13" s="1"/>
  <c r="AI2" i="13"/>
  <c r="D6" i="18" l="1"/>
  <c r="D5" i="18"/>
  <c r="AI4" i="14"/>
  <c r="AJ4" i="14"/>
  <c r="AH4" i="14"/>
  <c r="AG4" i="14"/>
  <c r="AK4" i="14"/>
  <c r="AF4" i="9"/>
  <c r="AH4" i="9"/>
  <c r="AJ4" i="9"/>
  <c r="AM4" i="13"/>
  <c r="AJ4" i="13"/>
  <c r="AL4" i="13"/>
  <c r="AN4" i="13"/>
  <c r="AK4" i="13"/>
  <c r="AF4" i="13"/>
  <c r="AG4" i="13"/>
</calcChain>
</file>

<file path=xl/sharedStrings.xml><?xml version="1.0" encoding="utf-8"?>
<sst xmlns="http://schemas.openxmlformats.org/spreadsheetml/2006/main" count="609" uniqueCount="52">
  <si>
    <t>Date</t>
  </si>
  <si>
    <t>Erreur de justesse</t>
  </si>
  <si>
    <t xml:space="preserve">N° Certificat </t>
  </si>
  <si>
    <t>Date du certificat:</t>
  </si>
  <si>
    <t>E18LM2664</t>
  </si>
  <si>
    <t>Désignation de la chaine</t>
  </si>
  <si>
    <t>SPY REF REF 1V + PT100</t>
  </si>
  <si>
    <t>Point d'étalonnage</t>
  </si>
  <si>
    <t>U(K=2)</t>
  </si>
  <si>
    <t>Résolution</t>
  </si>
  <si>
    <t>0,01°C</t>
  </si>
  <si>
    <t>-80°C</t>
  </si>
  <si>
    <t>-20°C</t>
  </si>
  <si>
    <t>5°C</t>
  </si>
  <si>
    <t>20°C</t>
  </si>
  <si>
    <t>MIL</t>
  </si>
  <si>
    <t>HGAV</t>
  </si>
  <si>
    <t>HGAR</t>
  </si>
  <si>
    <t>HDAV</t>
  </si>
  <si>
    <t>HDAR</t>
  </si>
  <si>
    <t>BGAV</t>
  </si>
  <si>
    <t>BGAR</t>
  </si>
  <si>
    <t>BDAV</t>
  </si>
  <si>
    <t>BDAR</t>
  </si>
  <si>
    <t>T°AMB</t>
  </si>
  <si>
    <t>%HR AMB</t>
  </si>
  <si>
    <t>Time</t>
  </si>
  <si>
    <t>Counter</t>
  </si>
  <si>
    <t>Ref</t>
  </si>
  <si>
    <t>Ref corrigée</t>
  </si>
  <si>
    <t>Erreur Justesse</t>
  </si>
  <si>
    <t>NB</t>
  </si>
  <si>
    <t>Ecart type</t>
  </si>
  <si>
    <t>Incertitude</t>
  </si>
  <si>
    <t>RELEVES</t>
  </si>
  <si>
    <t>REFERENCE</t>
  </si>
  <si>
    <t>ERREURS DE JUSTESSE</t>
  </si>
  <si>
    <t>RELEVES CORRIGES</t>
  </si>
  <si>
    <t>Sondes DS18B20</t>
  </si>
  <si>
    <t>Sonde DHT11</t>
  </si>
  <si>
    <t>Résolution sur 12 bits</t>
  </si>
  <si>
    <t>Résolution sur 8 bits</t>
  </si>
  <si>
    <t>1°C</t>
  </si>
  <si>
    <t>0,0625 °C</t>
  </si>
  <si>
    <t>E</t>
  </si>
  <si>
    <t>U</t>
  </si>
  <si>
    <t>ECARTS</t>
  </si>
  <si>
    <t>AMB</t>
  </si>
  <si>
    <t>Mesure</t>
  </si>
  <si>
    <t>Ambiant:</t>
  </si>
  <si>
    <t>° C</t>
  </si>
  <si>
    <t>CE 20190502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</si>
</sst>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52">
    <xf numFmtId="0" fontId="0" fillId="0" borderId="0" xfId="0"/>
    <xf numFmtId="14" fontId="0" fillId="0" borderId="0" xfId="0" applyNumberFormat="1"/>
    <xf numFmtId="49" fontId="0" fillId="0" borderId="0" xfId="0" applyNumberFormat="1"/>
    <xf numFmtId="0" fontId="3" fillId="2" borderId="1" xfId="1" applyFont="1" applyAlignment="1">
      <alignment horizontal="center"/>
    </xf>
    <xf numFmtId="0" fontId="4" fillId="0" borderId="0" xfId="0" applyFont="1"/>
    <xf numFmtId="14" fontId="3" fillId="2" borderId="1" xfId="1" applyNumberFormat="1" applyFont="1" applyAlignment="1">
      <alignment horizontal="center"/>
    </xf>
    <xf numFmtId="14" fontId="4" fillId="0" borderId="0" xfId="0" applyNumberFormat="1" applyFont="1"/>
    <xf numFmtId="164" fontId="3" fillId="2" borderId="1" xfId="1" applyNumberFormat="1" applyFont="1" applyAlignment="1">
      <alignment horizontal="center"/>
    </xf>
    <xf numFmtId="164" fontId="4" fillId="0" borderId="0" xfId="0" applyNumberFormat="1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9" fontId="4" fillId="0" borderId="0" xfId="0" applyNumberFormat="1" applyFont="1" applyAlignment="1">
      <alignment horizontal="center"/>
    </xf>
    <xf numFmtId="19" fontId="4" fillId="0" borderId="0" xfId="0" applyNumberFormat="1" applyFont="1" applyAlignment="1">
      <alignment horizontal="center" wrapText="1"/>
    </xf>
    <xf numFmtId="19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9" fontId="8" fillId="0" borderId="0" xfId="0" applyNumberFormat="1" applyFont="1" applyAlignment="1">
      <alignment horizontal="center"/>
    </xf>
    <xf numFmtId="19" fontId="9" fillId="0" borderId="0" xfId="0" applyNumberFormat="1" applyFont="1" applyAlignment="1">
      <alignment horizontal="center"/>
    </xf>
    <xf numFmtId="19" fontId="8" fillId="0" borderId="0" xfId="0" applyNumberFormat="1" applyFont="1" applyAlignment="1">
      <alignment horizontal="center" wrapText="1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2" borderId="2" xfId="1" applyFont="1" applyBorder="1" applyAlignment="1">
      <alignment horizontal="center"/>
    </xf>
    <xf numFmtId="2" fontId="1" fillId="0" borderId="2" xfId="0" applyNumberFormat="1" applyFont="1" applyBorder="1"/>
    <xf numFmtId="49" fontId="0" fillId="0" borderId="0" xfId="0" applyNumberFormat="1" applyAlignment="1">
      <alignment horizontal="center"/>
    </xf>
    <xf numFmtId="21" fontId="0" fillId="0" borderId="0" xfId="0" applyNumberFormat="1"/>
    <xf numFmtId="0" fontId="8" fillId="0" borderId="0" xfId="0" applyFont="1"/>
    <xf numFmtId="0" fontId="10" fillId="2" borderId="2" xfId="1" applyFont="1" applyBorder="1" applyAlignment="1">
      <alignment horizontal="center"/>
    </xf>
    <xf numFmtId="2" fontId="11" fillId="0" borderId="2" xfId="0" applyNumberFormat="1" applyFont="1" applyBorder="1"/>
    <xf numFmtId="2" fontId="11" fillId="0" borderId="4" xfId="0" applyNumberFormat="1" applyFont="1" applyBorder="1"/>
    <xf numFmtId="2" fontId="11" fillId="0" borderId="3" xfId="0" applyNumberFormat="1" applyFont="1" applyBorder="1"/>
    <xf numFmtId="0" fontId="10" fillId="2" borderId="3" xfId="1" applyFont="1" applyBorder="1" applyAlignment="1">
      <alignment horizontal="center"/>
    </xf>
    <xf numFmtId="0" fontId="0" fillId="0" borderId="3" xfId="0" applyBorder="1"/>
    <xf numFmtId="49" fontId="8" fillId="0" borderId="3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7" xfId="0" applyFont="1" applyBorder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7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13" fillId="0" borderId="6" xfId="0" applyFont="1" applyBorder="1" applyAlignment="1">
      <alignment shrinkToFit="1"/>
    </xf>
    <xf numFmtId="0" fontId="11" fillId="0" borderId="7" xfId="0" applyFont="1" applyBorder="1" applyAlignment="1">
      <alignment shrinkToFit="1"/>
    </xf>
  </cellXfs>
  <cellStyles count="2">
    <cellStyle name="Normal" xfId="0" builtinId="0"/>
    <cellStyle name="Vérification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4"/>
  <sheetViews>
    <sheetView workbookViewId="0">
      <selection activeCell="B24" sqref="B24"/>
    </sheetView>
  </sheetViews>
  <sheetFormatPr baseColWidth="10" defaultRowHeight="15.75" x14ac:dyDescent="0.25"/>
  <cols>
    <col min="2" max="2" width="28" style="2" customWidth="1"/>
    <col min="3" max="3" width="28" customWidth="1"/>
  </cols>
  <sheetData>
    <row r="2" spans="2:4" x14ac:dyDescent="0.25">
      <c r="B2" s="2" t="s">
        <v>2</v>
      </c>
      <c r="C2" t="s">
        <v>4</v>
      </c>
    </row>
    <row r="4" spans="2:4" x14ac:dyDescent="0.25">
      <c r="B4" s="2" t="s">
        <v>3</v>
      </c>
      <c r="C4" s="1">
        <v>43229</v>
      </c>
    </row>
    <row r="6" spans="2:4" x14ac:dyDescent="0.25">
      <c r="B6" s="2" t="s">
        <v>5</v>
      </c>
      <c r="C6" t="s">
        <v>6</v>
      </c>
    </row>
    <row r="8" spans="2:4" x14ac:dyDescent="0.25">
      <c r="B8" s="2" t="s">
        <v>9</v>
      </c>
      <c r="C8" t="s">
        <v>10</v>
      </c>
    </row>
    <row r="10" spans="2:4" x14ac:dyDescent="0.25">
      <c r="B10" s="2" t="s">
        <v>7</v>
      </c>
      <c r="C10" t="s">
        <v>1</v>
      </c>
      <c r="D10" t="s">
        <v>8</v>
      </c>
    </row>
    <row r="11" spans="2:4" x14ac:dyDescent="0.25">
      <c r="B11" s="2" t="s">
        <v>11</v>
      </c>
      <c r="C11">
        <v>-0.14000000000000001</v>
      </c>
      <c r="D11">
        <v>0.17</v>
      </c>
    </row>
    <row r="12" spans="2:4" x14ac:dyDescent="0.25">
      <c r="B12" s="2" t="s">
        <v>12</v>
      </c>
      <c r="C12">
        <v>0</v>
      </c>
      <c r="D12">
        <v>0.08</v>
      </c>
    </row>
    <row r="13" spans="2:4" x14ac:dyDescent="0.25">
      <c r="B13" s="2" t="s">
        <v>13</v>
      </c>
      <c r="C13">
        <v>-0.17</v>
      </c>
      <c r="D13">
        <v>0.08</v>
      </c>
    </row>
    <row r="14" spans="2:4" x14ac:dyDescent="0.25">
      <c r="B14" s="2" t="s">
        <v>14</v>
      </c>
      <c r="C14">
        <v>-0.17</v>
      </c>
      <c r="D14">
        <v>0.08</v>
      </c>
    </row>
    <row r="17" spans="2:3" x14ac:dyDescent="0.25">
      <c r="B17" s="2" t="s">
        <v>38</v>
      </c>
    </row>
    <row r="18" spans="2:3" x14ac:dyDescent="0.25">
      <c r="B18" s="2" t="s">
        <v>40</v>
      </c>
      <c r="C18" t="s">
        <v>43</v>
      </c>
    </row>
    <row r="33" spans="2:3" x14ac:dyDescent="0.25">
      <c r="B33" s="2" t="s">
        <v>39</v>
      </c>
    </row>
    <row r="34" spans="2:3" x14ac:dyDescent="0.25">
      <c r="B34" s="2" t="s">
        <v>41</v>
      </c>
      <c r="C34" t="s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6"/>
  <sheetViews>
    <sheetView tabSelected="1" topLeftCell="W1" zoomScale="89" zoomScaleNormal="89" workbookViewId="0">
      <selection activeCell="AN4" sqref="AN4"/>
    </sheetView>
  </sheetViews>
  <sheetFormatPr baseColWidth="10" defaultRowHeight="15.75" x14ac:dyDescent="0.25"/>
  <cols>
    <col min="1" max="1" width="10.875" style="6" customWidth="1"/>
    <col min="2" max="2" width="10.25" style="8" customWidth="1"/>
    <col min="3" max="3" width="10" style="4" customWidth="1"/>
    <col min="4" max="16" width="8.375" style="4" customWidth="1"/>
    <col min="18" max="18" width="8.375" style="4" customWidth="1"/>
    <col min="22" max="31" width="8.375" style="4" customWidth="1"/>
    <col min="33" max="41" width="8.375" style="4" customWidth="1"/>
  </cols>
  <sheetData>
    <row r="1" spans="1:48" x14ac:dyDescent="0.25">
      <c r="A1"/>
      <c r="B1" s="42" t="s">
        <v>34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/>
      <c r="N1" s="43" t="s">
        <v>35</v>
      </c>
      <c r="O1" s="43"/>
      <c r="P1"/>
      <c r="R1" s="43" t="s">
        <v>36</v>
      </c>
      <c r="S1" s="43"/>
      <c r="T1" s="43"/>
      <c r="U1" s="43"/>
      <c r="V1" s="43"/>
      <c r="W1" s="43"/>
      <c r="X1" s="43"/>
      <c r="Y1" s="43"/>
      <c r="Z1" s="43"/>
      <c r="AB1"/>
      <c r="AC1" s="43" t="s">
        <v>37</v>
      </c>
      <c r="AD1" s="43"/>
      <c r="AE1" s="43"/>
      <c r="AF1" s="43"/>
      <c r="AG1" s="43"/>
      <c r="AH1" s="43"/>
      <c r="AI1" s="43"/>
      <c r="AJ1" s="43"/>
      <c r="AK1" s="43"/>
      <c r="AL1"/>
      <c r="AM1"/>
      <c r="AN1" s="43" t="s">
        <v>46</v>
      </c>
      <c r="AO1" s="43"/>
      <c r="AP1" s="43"/>
      <c r="AQ1" s="43"/>
      <c r="AR1" s="43"/>
      <c r="AS1" s="43"/>
      <c r="AT1" s="43"/>
      <c r="AU1" s="43"/>
      <c r="AV1" s="43"/>
    </row>
    <row r="2" spans="1:48" x14ac:dyDescent="0.25">
      <c r="A2" s="4"/>
      <c r="B2" s="6"/>
      <c r="C2" s="8"/>
      <c r="M2"/>
      <c r="P2"/>
      <c r="S2" s="4"/>
      <c r="T2" s="4"/>
      <c r="U2" s="4"/>
      <c r="AB2" s="4" t="s">
        <v>31</v>
      </c>
      <c r="AC2" s="4">
        <f t="shared" ref="AC2:AK2" si="0">COUNTA(AC6:AC4994)</f>
        <v>120</v>
      </c>
      <c r="AD2" s="4">
        <f t="shared" si="0"/>
        <v>120</v>
      </c>
      <c r="AE2" s="4">
        <f t="shared" si="0"/>
        <v>120</v>
      </c>
      <c r="AF2" s="4">
        <f t="shared" si="0"/>
        <v>120</v>
      </c>
      <c r="AG2" s="4">
        <f t="shared" si="0"/>
        <v>120</v>
      </c>
      <c r="AH2" s="4">
        <f t="shared" si="0"/>
        <v>120</v>
      </c>
      <c r="AI2" s="4">
        <f t="shared" si="0"/>
        <v>120</v>
      </c>
      <c r="AJ2" s="4">
        <f t="shared" si="0"/>
        <v>120</v>
      </c>
      <c r="AK2" s="4">
        <f t="shared" si="0"/>
        <v>120</v>
      </c>
      <c r="AL2"/>
      <c r="AM2" s="4" t="s">
        <v>31</v>
      </c>
      <c r="AN2" s="4">
        <f t="shared" ref="AN2:AV2" si="1">COUNTA(AN6:AN4994)</f>
        <v>120</v>
      </c>
      <c r="AO2" s="4">
        <f t="shared" si="1"/>
        <v>120</v>
      </c>
      <c r="AP2" s="4">
        <f t="shared" si="1"/>
        <v>120</v>
      </c>
      <c r="AQ2" s="4">
        <f t="shared" si="1"/>
        <v>120</v>
      </c>
      <c r="AR2" s="4">
        <f t="shared" si="1"/>
        <v>120</v>
      </c>
      <c r="AS2" s="4">
        <f t="shared" si="1"/>
        <v>120</v>
      </c>
      <c r="AT2" s="4">
        <f t="shared" si="1"/>
        <v>120</v>
      </c>
      <c r="AU2" s="4">
        <f t="shared" si="1"/>
        <v>120</v>
      </c>
      <c r="AV2" s="4">
        <f t="shared" si="1"/>
        <v>120</v>
      </c>
    </row>
    <row r="3" spans="1:48" x14ac:dyDescent="0.25">
      <c r="A3" s="4"/>
      <c r="B3" s="6"/>
      <c r="C3" s="8"/>
      <c r="M3"/>
      <c r="P3"/>
      <c r="Q3" s="4" t="s">
        <v>30</v>
      </c>
      <c r="R3" s="4">
        <f t="shared" ref="R3:Z3" si="2">AVERAGE(R6:R4994)</f>
        <v>-7.7416666666666245E-2</v>
      </c>
      <c r="S3" s="4">
        <f t="shared" si="2"/>
        <v>-8.6833333333332902E-2</v>
      </c>
      <c r="T3" s="4">
        <f t="shared" si="2"/>
        <v>2.0500000000000095E-2</v>
      </c>
      <c r="U3" s="4">
        <f t="shared" si="2"/>
        <v>-2.3833333333333002E-2</v>
      </c>
      <c r="V3" s="4">
        <f t="shared" si="2"/>
        <v>-0.16258333333333325</v>
      </c>
      <c r="W3" s="4">
        <f t="shared" si="2"/>
        <v>-0.16816666666666666</v>
      </c>
      <c r="X3" s="4">
        <f t="shared" si="2"/>
        <v>0.22208333333333369</v>
      </c>
      <c r="Y3" s="4">
        <f t="shared" si="2"/>
        <v>0.15500000000000042</v>
      </c>
      <c r="Z3" s="4">
        <f t="shared" si="2"/>
        <v>-0.31849999999999967</v>
      </c>
      <c r="AB3" s="4" t="s">
        <v>32</v>
      </c>
      <c r="AC3" s="4">
        <f t="shared" ref="AC3:AK3" si="3">STDEV(AC6:AC4994)</f>
        <v>0.23854529662816101</v>
      </c>
      <c r="AD3" s="4">
        <f t="shared" si="3"/>
        <v>0.24561789686524091</v>
      </c>
      <c r="AE3" s="4">
        <f t="shared" si="3"/>
        <v>0.24803423229900526</v>
      </c>
      <c r="AF3" s="4">
        <f t="shared" si="3"/>
        <v>0.24471506325699277</v>
      </c>
      <c r="AG3" s="4">
        <f t="shared" si="3"/>
        <v>0.23533156477224071</v>
      </c>
      <c r="AH3" s="4">
        <f t="shared" si="3"/>
        <v>0.23560821822041209</v>
      </c>
      <c r="AI3" s="4">
        <f t="shared" si="3"/>
        <v>0.24314050242929219</v>
      </c>
      <c r="AJ3" s="4">
        <f t="shared" si="3"/>
        <v>0.23911156755099622</v>
      </c>
      <c r="AK3" s="4">
        <f t="shared" si="3"/>
        <v>0.24118957059455362</v>
      </c>
      <c r="AL3"/>
      <c r="AM3" s="4" t="s">
        <v>32</v>
      </c>
      <c r="AN3" s="4">
        <f t="shared" ref="AN3:AV3" si="4">STDEV(AN6:AN4994)</f>
        <v>2.4305334799584449E-2</v>
      </c>
      <c r="AO3" s="4">
        <f t="shared" si="4"/>
        <v>2.0497318264163348E-2</v>
      </c>
      <c r="AP3" s="4">
        <f t="shared" si="4"/>
        <v>2.3112803392757543E-2</v>
      </c>
      <c r="AQ3" s="4">
        <f t="shared" si="4"/>
        <v>1.9454032583335949E-2</v>
      </c>
      <c r="AR3" s="4">
        <f t="shared" si="4"/>
        <v>2.1439609668673903E-2</v>
      </c>
      <c r="AS3" s="4">
        <f t="shared" si="4"/>
        <v>2.3656623899908844E-2</v>
      </c>
      <c r="AT3" s="4">
        <f t="shared" si="4"/>
        <v>2.2111095862125157E-2</v>
      </c>
      <c r="AU3" s="4">
        <f t="shared" si="4"/>
        <v>2.1302148074901786E-2</v>
      </c>
      <c r="AV3" s="4">
        <f t="shared" si="4"/>
        <v>2.2291046550185191E-2</v>
      </c>
    </row>
    <row r="4" spans="1:48" ht="16.5" thickBot="1" x14ac:dyDescent="0.3">
      <c r="A4" s="4"/>
      <c r="B4" s="6"/>
      <c r="C4" s="8"/>
      <c r="M4"/>
      <c r="P4"/>
      <c r="R4" s="4">
        <f t="shared" ref="R4:Z4" si="5">STDEV(R6:R4994)</f>
        <v>2.4305334799584605E-2</v>
      </c>
      <c r="S4" s="4">
        <f t="shared" si="5"/>
        <v>2.0497318264163397E-2</v>
      </c>
      <c r="T4" s="4">
        <f t="shared" si="5"/>
        <v>2.3112803392757553E-2</v>
      </c>
      <c r="U4" s="4">
        <f t="shared" si="5"/>
        <v>1.9454032583335973E-2</v>
      </c>
      <c r="V4" s="4">
        <f t="shared" si="5"/>
        <v>2.1439609668673847E-2</v>
      </c>
      <c r="W4" s="4">
        <f t="shared" si="5"/>
        <v>2.3656623899908844E-2</v>
      </c>
      <c r="X4" s="4">
        <f t="shared" si="5"/>
        <v>2.2111095862125143E-2</v>
      </c>
      <c r="Y4" s="4">
        <f t="shared" si="5"/>
        <v>2.1302148074901578E-2</v>
      </c>
      <c r="Z4" s="4">
        <f t="shared" si="5"/>
        <v>2.2291046550185187E-2</v>
      </c>
      <c r="AB4" s="4" t="s">
        <v>33</v>
      </c>
      <c r="AC4" s="4">
        <f>SQRT((AC3/SQRT(AC2))^2+(('Sonde étalon'!$D$13)/2)^2+(0.0625/(2*SQRT(3)))^2+(0.001/(2*SQRT(3)))^2)</f>
        <v>4.8987784067681721E-2</v>
      </c>
      <c r="AD4" s="4">
        <f>SQRT((AD3/SQRT(AD2))^2+(('Sonde étalon'!$D$13)/2)^2+(0.0625/(2*SQRT(3)))^2+(0.001/(2*SQRT(3)))^2)</f>
        <v>4.9278177325304977E-2</v>
      </c>
      <c r="AE4" s="4">
        <f>SQRT((AE3/SQRT(AE2))^2+(('Sonde étalon'!$D$13)/2)^2+(0.0625/(2*SQRT(3)))^2+(0.001/(2*SQRT(3)))^2)</f>
        <v>4.9378932787859785E-2</v>
      </c>
      <c r="AF4" s="4">
        <f>SQRT((AF3/SQRT(AF2))^2+(('Sonde étalon'!$D$13)/2)^2+(0.0625/(2*SQRT(3)))^2+(0.001/(2*SQRT(3)))^2)</f>
        <v>4.9240731969315304E-2</v>
      </c>
      <c r="AG4" s="4">
        <f>SQRT((AG3/SQRT(AG2))^2+(('Sonde étalon'!$D$13)/2)^2+(0.0625/(2*SQRT(3)))^2+(0.001/(2*SQRT(3)))^2)</f>
        <v>4.8858080650163976E-2</v>
      </c>
      <c r="AH4" s="4">
        <f>SQRT((AH3/SQRT(AH2))^2+(('Sonde étalon'!$D$13)/2)^2+(0.0625/(2*SQRT(3)))^2+(0.001/(2*SQRT(3)))^2)</f>
        <v>4.8869190404333261E-2</v>
      </c>
      <c r="AI4" s="4">
        <f>SQRT((AI3/SQRT(AI2))^2+(('Sonde étalon'!$D$13)/2)^2+(0.0625/(2*SQRT(3)))^2+(0.001/(2*SQRT(3)))^2)</f>
        <v>4.917568877009322E-2</v>
      </c>
      <c r="AJ4" s="4">
        <f>SQRT((AJ3/SQRT(AJ2))^2+(('Sonde étalon'!$D$13)/2)^2+(0.0625/(2*SQRT(3)))^2+(0.001/(2*SQRT(3)))^2)</f>
        <v>4.9010784675135075E-2</v>
      </c>
      <c r="AK4" s="4">
        <f>SQRT((AK3/SQRT(AK2))^2+(('Sonde étalon'!$D$13)/2)^2+(0.0625/(2*SQRT(3)))^2+(0.001/(2*SQRT(3)))^2)</f>
        <v>4.9095562338802169E-2</v>
      </c>
      <c r="AL4"/>
      <c r="AM4" s="4" t="s">
        <v>33</v>
      </c>
      <c r="AN4" s="4">
        <f>SQRT((AN3/SQRT(AN2))^2+(('Sonde étalon'!$D$12)/2)^2+(0.0625/(2*SQRT(3)))^2+(0.01/(2*SQRT(3)))^2)</f>
        <v>4.4031546390033427E-2</v>
      </c>
      <c r="AO4" s="4">
        <f>SQRT((AO3/SQRT(AO2))^2+(('Sonde étalon'!$D$12)/2)^2+(0.0625/(2*SQRT(3)))^2+(0.01/(2*SQRT(3)))^2)</f>
        <v>4.4015398825867601E-2</v>
      </c>
      <c r="AP4" s="4">
        <f>SQRT((AP3/SQRT(AP2))^2+(('Sonde étalon'!$D$12)/2)^2+(0.0625/(2*SQRT(3)))^2+(0.01/(2*SQRT(3)))^2)</f>
        <v>4.4026195013184319E-2</v>
      </c>
      <c r="AQ4" s="4">
        <f>SQRT((AQ3/SQRT(AQ2))^2+(('Sonde étalon'!$D$12)/2)^2+(0.0625/(2*SQRT(3)))^2+(0.01/(2*SQRT(3)))^2)</f>
        <v>4.4011452996516855E-2</v>
      </c>
      <c r="AR4" s="4">
        <f>SQRT((AR3/SQRT(AR2))^2+(('Sonde étalon'!$D$12)/2)^2+(0.0625/(2*SQRT(3)))^2+(0.01/(2*SQRT(3)))^2)</f>
        <v>4.401913947958179E-2</v>
      </c>
      <c r="AS4" s="4">
        <f>SQRT((AS3/SQRT(AS2))^2+(('Sonde étalon'!$D$12)/2)^2+(0.0625/(2*SQRT(3)))^2+(0.01/(2*SQRT(3)))^2)</f>
        <v>4.4028602053508142E-2</v>
      </c>
      <c r="AT4" s="4">
        <f>SQRT((AT3/SQRT(AT2))^2+(('Sonde étalon'!$D$12)/2)^2+(0.0625/(2*SQRT(3)))^2+(0.01/(2*SQRT(3)))^2)</f>
        <v>4.4021907478003129E-2</v>
      </c>
      <c r="AU4" s="4">
        <f>SQRT((AU3/SQRT(AU2))^2+(('Sonde étalon'!$D$12)/2)^2+(0.0625/(2*SQRT(3)))^2+(0.01/(2*SQRT(3)))^2)</f>
        <v>4.4018583340127031E-2</v>
      </c>
      <c r="AV4" s="4">
        <f>SQRT((AV3/SQRT(AV2))^2+(('Sonde étalon'!$D$12)/2)^2+(0.0625/(2*SQRT(3)))^2+(0.01/(2*SQRT(3)))^2)</f>
        <v>4.4022663742317864E-2</v>
      </c>
    </row>
    <row r="5" spans="1:48" ht="17.25" thickTop="1" thickBot="1" x14ac:dyDescent="0.3">
      <c r="A5" s="3" t="s">
        <v>27</v>
      </c>
      <c r="B5" s="5" t="s">
        <v>0</v>
      </c>
      <c r="C5" s="7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/>
      <c r="N5" s="3" t="s">
        <v>28</v>
      </c>
      <c r="O5" s="3" t="s">
        <v>29</v>
      </c>
      <c r="P5"/>
      <c r="R5" s="3" t="s">
        <v>15</v>
      </c>
      <c r="S5" s="3" t="s">
        <v>16</v>
      </c>
      <c r="T5" s="3" t="s">
        <v>17</v>
      </c>
      <c r="U5" s="3" t="s">
        <v>18</v>
      </c>
      <c r="V5" s="3" t="s">
        <v>19</v>
      </c>
      <c r="W5" s="3" t="s">
        <v>20</v>
      </c>
      <c r="X5" s="3" t="s">
        <v>21</v>
      </c>
      <c r="Y5" s="3" t="s">
        <v>22</v>
      </c>
      <c r="Z5" s="3" t="s">
        <v>23</v>
      </c>
      <c r="AA5"/>
      <c r="AB5"/>
      <c r="AC5" s="3" t="s">
        <v>15</v>
      </c>
      <c r="AD5" s="3" t="s">
        <v>16</v>
      </c>
      <c r="AE5" s="3" t="s">
        <v>17</v>
      </c>
      <c r="AF5" s="3" t="s">
        <v>18</v>
      </c>
      <c r="AG5" s="3" t="s">
        <v>19</v>
      </c>
      <c r="AH5" s="3" t="s">
        <v>20</v>
      </c>
      <c r="AI5" s="3" t="s">
        <v>21</v>
      </c>
      <c r="AJ5" s="3" t="s">
        <v>22</v>
      </c>
      <c r="AK5" s="3" t="s">
        <v>23</v>
      </c>
      <c r="AL5"/>
      <c r="AM5"/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20</v>
      </c>
      <c r="AT5" s="3" t="s">
        <v>21</v>
      </c>
      <c r="AU5" s="3" t="s">
        <v>22</v>
      </c>
      <c r="AV5" s="3" t="s">
        <v>23</v>
      </c>
    </row>
    <row r="6" spans="1:48" ht="16.5" thickTop="1" x14ac:dyDescent="0.25">
      <c r="A6" s="18">
        <v>12</v>
      </c>
      <c r="B6" s="19">
        <v>43581</v>
      </c>
      <c r="C6" s="20">
        <v>0.41711805555555559</v>
      </c>
      <c r="D6" s="18">
        <v>-20.63</v>
      </c>
      <c r="E6" s="18">
        <v>-20.56</v>
      </c>
      <c r="F6" s="18">
        <v>-20.440000000000001</v>
      </c>
      <c r="G6" s="18">
        <v>-20.5</v>
      </c>
      <c r="H6" s="18">
        <v>-20.69</v>
      </c>
      <c r="I6" s="18">
        <v>-20.69</v>
      </c>
      <c r="J6" s="18">
        <v>-20.25</v>
      </c>
      <c r="K6" s="18">
        <v>-20.309999999999999</v>
      </c>
      <c r="L6" s="18">
        <v>-20.81</v>
      </c>
      <c r="M6" s="18">
        <v>24.8</v>
      </c>
      <c r="N6" s="29">
        <v>-20.49</v>
      </c>
      <c r="O6" s="4">
        <f>N6-'Sonde étalon'!$C$12</f>
        <v>-20.49</v>
      </c>
      <c r="P6"/>
      <c r="R6" s="4">
        <f t="shared" ref="R6:R69" si="6">D6-O6</f>
        <v>-0.14000000000000057</v>
      </c>
      <c r="S6" s="4">
        <f t="shared" ref="S6:S69" si="7">E6-O6</f>
        <v>-7.0000000000000284E-2</v>
      </c>
      <c r="T6" s="4">
        <f t="shared" ref="T6:T69" si="8">F6-O6</f>
        <v>4.9999999999997158E-2</v>
      </c>
      <c r="U6" s="4">
        <f t="shared" ref="U6:U69" si="9">G6-O6</f>
        <v>-1.0000000000001563E-2</v>
      </c>
      <c r="V6" s="4">
        <f t="shared" ref="V6:V69" si="10">H6-O6</f>
        <v>-0.20000000000000284</v>
      </c>
      <c r="W6" s="4">
        <f t="shared" ref="W6:W69" si="11">I6-O6</f>
        <v>-0.20000000000000284</v>
      </c>
      <c r="X6" s="4">
        <f t="shared" ref="X6:X69" si="12">J6-O6</f>
        <v>0.23999999999999844</v>
      </c>
      <c r="Y6" s="4">
        <f t="shared" ref="Y6:Y69" si="13">K6-O6</f>
        <v>0.17999999999999972</v>
      </c>
      <c r="Z6" s="4">
        <f t="shared" ref="Z6:Z69" si="14">L6-O6</f>
        <v>-0.32000000000000028</v>
      </c>
      <c r="AB6"/>
      <c r="AC6" s="4">
        <f>D6-$R$3</f>
        <v>-20.552583333333331</v>
      </c>
      <c r="AD6" s="4">
        <f>E6-$S$3</f>
        <v>-20.473166666666664</v>
      </c>
      <c r="AE6" s="4">
        <f>F6-$T$3</f>
        <v>-20.4605</v>
      </c>
      <c r="AF6" s="4">
        <f>G6-$U$3</f>
        <v>-20.476166666666668</v>
      </c>
      <c r="AG6" s="4">
        <f>H6-$V$3</f>
        <v>-20.527416666666667</v>
      </c>
      <c r="AH6" s="4">
        <f>I6-$W$3</f>
        <v>-20.521833333333333</v>
      </c>
      <c r="AI6" s="4">
        <f>J6-$X$3</f>
        <v>-20.472083333333334</v>
      </c>
      <c r="AJ6" s="4">
        <f>K6-$Y$3</f>
        <v>-20.465</v>
      </c>
      <c r="AK6" s="4">
        <f>L6-$Z$3</f>
        <v>-20.491499999999998</v>
      </c>
      <c r="AL6"/>
      <c r="AM6"/>
      <c r="AN6" s="4">
        <f>AC6-O6</f>
        <v>-6.2583333333332547E-2</v>
      </c>
      <c r="AO6" s="4">
        <f>AD6-O6</f>
        <v>1.6833333333334366E-2</v>
      </c>
      <c r="AP6" s="4">
        <f>AE6-O6</f>
        <v>2.9499999999998749E-2</v>
      </c>
      <c r="AQ6" s="4">
        <f>AF6-O6</f>
        <v>1.38333333333307E-2</v>
      </c>
      <c r="AR6" s="4">
        <f>AG6-O6</f>
        <v>-3.7416666666668874E-2</v>
      </c>
      <c r="AS6" s="4">
        <f>AH6-O6</f>
        <v>-3.1833333333334934E-2</v>
      </c>
      <c r="AT6" s="4">
        <f>AI6-O6</f>
        <v>1.7916666666664582E-2</v>
      </c>
      <c r="AU6" s="4">
        <f>AJ6-O6</f>
        <v>2.4999999999998579E-2</v>
      </c>
      <c r="AV6" s="4">
        <f>AK6-O6</f>
        <v>-1.5000000000000568E-3</v>
      </c>
    </row>
    <row r="7" spans="1:48" x14ac:dyDescent="0.25">
      <c r="A7" s="18">
        <v>13</v>
      </c>
      <c r="B7" s="19">
        <v>43581</v>
      </c>
      <c r="C7" s="20">
        <v>0.41781249999999998</v>
      </c>
      <c r="D7" s="18">
        <v>-20.63</v>
      </c>
      <c r="E7" s="18">
        <v>-20.63</v>
      </c>
      <c r="F7" s="18">
        <v>-20.56</v>
      </c>
      <c r="G7" s="18">
        <v>-20.56</v>
      </c>
      <c r="H7" s="18">
        <v>-20.75</v>
      </c>
      <c r="I7" s="18">
        <v>-20.75</v>
      </c>
      <c r="J7" s="18">
        <v>-20.309999999999999</v>
      </c>
      <c r="K7" s="18">
        <v>-20.440000000000001</v>
      </c>
      <c r="L7" s="18">
        <v>-20.88</v>
      </c>
      <c r="M7" s="18">
        <v>24.8</v>
      </c>
      <c r="N7" s="29">
        <v>-20.57</v>
      </c>
      <c r="O7" s="4">
        <f>N7-'Sonde étalon'!$C$12</f>
        <v>-20.57</v>
      </c>
      <c r="P7"/>
      <c r="R7" s="4">
        <f t="shared" si="6"/>
        <v>-5.9999999999998721E-2</v>
      </c>
      <c r="S7" s="4">
        <f t="shared" si="7"/>
        <v>-5.9999999999998721E-2</v>
      </c>
      <c r="T7" s="4">
        <f t="shared" si="8"/>
        <v>1.0000000000001563E-2</v>
      </c>
      <c r="U7" s="4">
        <f t="shared" si="9"/>
        <v>1.0000000000001563E-2</v>
      </c>
      <c r="V7" s="4">
        <f t="shared" si="10"/>
        <v>-0.17999999999999972</v>
      </c>
      <c r="W7" s="4">
        <f t="shared" si="11"/>
        <v>-0.17999999999999972</v>
      </c>
      <c r="X7" s="4">
        <f t="shared" si="12"/>
        <v>0.26000000000000156</v>
      </c>
      <c r="Y7" s="4">
        <f t="shared" si="13"/>
        <v>0.12999999999999901</v>
      </c>
      <c r="Z7" s="4">
        <f t="shared" si="14"/>
        <v>-0.30999999999999872</v>
      </c>
      <c r="AB7"/>
      <c r="AC7" s="4">
        <f t="shared" ref="AC7:AC70" si="15">D7-$R$3</f>
        <v>-20.552583333333331</v>
      </c>
      <c r="AD7" s="4">
        <f t="shared" ref="AD7:AD70" si="16">E7-$S$3</f>
        <v>-20.543166666666664</v>
      </c>
      <c r="AE7" s="4">
        <f t="shared" ref="AE7:AE70" si="17">F7-$T$3</f>
        <v>-20.580499999999997</v>
      </c>
      <c r="AF7" s="4">
        <f t="shared" ref="AF7:AF70" si="18">G7-$U$3</f>
        <v>-20.536166666666666</v>
      </c>
      <c r="AG7" s="4">
        <f t="shared" ref="AG7:AG70" si="19">H7-$V$3</f>
        <v>-20.587416666666666</v>
      </c>
      <c r="AH7" s="4">
        <f t="shared" ref="AH7:AH70" si="20">I7-$W$3</f>
        <v>-20.581833333333332</v>
      </c>
      <c r="AI7" s="4">
        <f t="shared" ref="AI7:AI70" si="21">J7-$X$3</f>
        <v>-20.532083333333333</v>
      </c>
      <c r="AJ7" s="4">
        <f t="shared" ref="AJ7:AJ70" si="22">K7-$Y$3</f>
        <v>-20.595000000000002</v>
      </c>
      <c r="AK7" s="4">
        <f t="shared" ref="AK7:AK70" si="23">L7-$Z$3</f>
        <v>-20.561499999999999</v>
      </c>
      <c r="AL7"/>
      <c r="AM7"/>
      <c r="AN7" s="4">
        <f t="shared" ref="AN7:AN70" si="24">AC7-O7</f>
        <v>1.74166666666693E-2</v>
      </c>
      <c r="AO7" s="4">
        <f t="shared" ref="AO7:AO70" si="25">AD7-O7</f>
        <v>2.6833333333335929E-2</v>
      </c>
      <c r="AP7" s="4">
        <f t="shared" ref="AP7:AP70" si="26">AE7-O7</f>
        <v>-1.0499999999996845E-2</v>
      </c>
      <c r="AQ7" s="4">
        <f t="shared" ref="AQ7:AQ70" si="27">AF7-O7</f>
        <v>3.3833333333333826E-2</v>
      </c>
      <c r="AR7" s="4">
        <f t="shared" ref="AR7:AR70" si="28">AG7-O7</f>
        <v>-1.7416666666665748E-2</v>
      </c>
      <c r="AS7" s="4">
        <f t="shared" ref="AS7:AS70" si="29">AH7-O7</f>
        <v>-1.1833333333331808E-2</v>
      </c>
      <c r="AT7" s="4">
        <f t="shared" ref="AT7:AT70" si="30">AI7-O7</f>
        <v>3.7916666666667709E-2</v>
      </c>
      <c r="AU7" s="4">
        <f t="shared" ref="AU7:AU70" si="31">AJ7-O7</f>
        <v>-2.5000000000002132E-2</v>
      </c>
      <c r="AV7" s="4">
        <f t="shared" ref="AV7:AV70" si="32">AK7-O7</f>
        <v>8.5000000000015064E-3</v>
      </c>
    </row>
    <row r="8" spans="1:48" x14ac:dyDescent="0.25">
      <c r="A8" s="18">
        <v>14</v>
      </c>
      <c r="B8" s="19">
        <v>43581</v>
      </c>
      <c r="C8" s="20">
        <v>0.41850694444444447</v>
      </c>
      <c r="D8" s="18">
        <v>-20.69</v>
      </c>
      <c r="E8" s="18">
        <v>-20.69</v>
      </c>
      <c r="F8" s="18">
        <v>-20.56</v>
      </c>
      <c r="G8" s="18">
        <v>-20.63</v>
      </c>
      <c r="H8" s="18">
        <v>-20.81</v>
      </c>
      <c r="I8" s="18">
        <v>-20.81</v>
      </c>
      <c r="J8" s="18">
        <v>-20.38</v>
      </c>
      <c r="K8" s="18">
        <v>-20.5</v>
      </c>
      <c r="L8" s="18">
        <v>-20.94</v>
      </c>
      <c r="M8" s="18">
        <v>24.8</v>
      </c>
      <c r="N8" s="29">
        <v>-20.63</v>
      </c>
      <c r="O8" s="4">
        <f>N8-'Sonde étalon'!$C$12</f>
        <v>-20.63</v>
      </c>
      <c r="P8"/>
      <c r="R8" s="4">
        <f t="shared" si="6"/>
        <v>-6.0000000000002274E-2</v>
      </c>
      <c r="S8" s="4">
        <f t="shared" si="7"/>
        <v>-6.0000000000002274E-2</v>
      </c>
      <c r="T8" s="4">
        <f t="shared" si="8"/>
        <v>7.0000000000000284E-2</v>
      </c>
      <c r="U8" s="4">
        <f t="shared" si="9"/>
        <v>0</v>
      </c>
      <c r="V8" s="4">
        <f t="shared" si="10"/>
        <v>-0.17999999999999972</v>
      </c>
      <c r="W8" s="4">
        <f t="shared" si="11"/>
        <v>-0.17999999999999972</v>
      </c>
      <c r="X8" s="4">
        <f t="shared" si="12"/>
        <v>0.25</v>
      </c>
      <c r="Y8" s="4">
        <f t="shared" si="13"/>
        <v>0.12999999999999901</v>
      </c>
      <c r="Z8" s="4">
        <f t="shared" si="14"/>
        <v>-0.31000000000000227</v>
      </c>
      <c r="AB8"/>
      <c r="AC8" s="4">
        <f t="shared" si="15"/>
        <v>-20.612583333333333</v>
      </c>
      <c r="AD8" s="4">
        <f t="shared" si="16"/>
        <v>-20.603166666666667</v>
      </c>
      <c r="AE8" s="4">
        <f t="shared" si="17"/>
        <v>-20.580499999999997</v>
      </c>
      <c r="AF8" s="4">
        <f t="shared" si="18"/>
        <v>-20.606166666666667</v>
      </c>
      <c r="AG8" s="4">
        <f t="shared" si="19"/>
        <v>-20.647416666666665</v>
      </c>
      <c r="AH8" s="4">
        <f t="shared" si="20"/>
        <v>-20.641833333333331</v>
      </c>
      <c r="AI8" s="4">
        <f t="shared" si="21"/>
        <v>-20.602083333333333</v>
      </c>
      <c r="AJ8" s="4">
        <f t="shared" si="22"/>
        <v>-20.655000000000001</v>
      </c>
      <c r="AK8" s="4">
        <f t="shared" si="23"/>
        <v>-20.621500000000001</v>
      </c>
      <c r="AL8"/>
      <c r="AM8"/>
      <c r="AN8" s="4">
        <f t="shared" si="24"/>
        <v>1.7416666666665748E-2</v>
      </c>
      <c r="AO8" s="4">
        <f t="shared" si="25"/>
        <v>2.6833333333332376E-2</v>
      </c>
      <c r="AP8" s="4">
        <f t="shared" si="26"/>
        <v>4.9500000000001876E-2</v>
      </c>
      <c r="AQ8" s="4">
        <f t="shared" si="27"/>
        <v>2.3833333333332263E-2</v>
      </c>
      <c r="AR8" s="4">
        <f t="shared" si="28"/>
        <v>-1.7416666666665748E-2</v>
      </c>
      <c r="AS8" s="4">
        <f t="shared" si="29"/>
        <v>-1.1833333333331808E-2</v>
      </c>
      <c r="AT8" s="4">
        <f t="shared" si="30"/>
        <v>2.7916666666666146E-2</v>
      </c>
      <c r="AU8" s="4">
        <f t="shared" si="31"/>
        <v>-2.5000000000002132E-2</v>
      </c>
      <c r="AV8" s="4">
        <f t="shared" si="32"/>
        <v>8.4999999999979536E-3</v>
      </c>
    </row>
    <row r="9" spans="1:48" x14ac:dyDescent="0.25">
      <c r="A9" s="18">
        <v>15</v>
      </c>
      <c r="B9" s="19">
        <v>43581</v>
      </c>
      <c r="C9" s="20">
        <v>0.41920138888888886</v>
      </c>
      <c r="D9" s="18">
        <v>-20.75</v>
      </c>
      <c r="E9" s="18">
        <v>-20.75</v>
      </c>
      <c r="F9" s="18">
        <v>-20.63</v>
      </c>
      <c r="G9" s="18">
        <v>-20.69</v>
      </c>
      <c r="H9" s="18">
        <v>-20.88</v>
      </c>
      <c r="I9" s="18">
        <v>-20.88</v>
      </c>
      <c r="J9" s="18">
        <v>-20.440000000000001</v>
      </c>
      <c r="K9" s="18">
        <v>-20.56</v>
      </c>
      <c r="L9" s="18">
        <v>-21</v>
      </c>
      <c r="M9" s="18">
        <v>24.8</v>
      </c>
      <c r="N9" s="29">
        <v>-20.69</v>
      </c>
      <c r="O9" s="4">
        <f>N9-'Sonde étalon'!$C$12</f>
        <v>-20.69</v>
      </c>
      <c r="P9"/>
      <c r="R9" s="4">
        <f t="shared" si="6"/>
        <v>-5.9999999999998721E-2</v>
      </c>
      <c r="S9" s="4">
        <f t="shared" si="7"/>
        <v>-5.9999999999998721E-2</v>
      </c>
      <c r="T9" s="4">
        <f t="shared" si="8"/>
        <v>6.0000000000002274E-2</v>
      </c>
      <c r="U9" s="4">
        <f t="shared" si="9"/>
        <v>0</v>
      </c>
      <c r="V9" s="4">
        <f t="shared" si="10"/>
        <v>-0.18999999999999773</v>
      </c>
      <c r="W9" s="4">
        <f t="shared" si="11"/>
        <v>-0.18999999999999773</v>
      </c>
      <c r="X9" s="4">
        <f t="shared" si="12"/>
        <v>0.25</v>
      </c>
      <c r="Y9" s="4">
        <f t="shared" si="13"/>
        <v>0.13000000000000256</v>
      </c>
      <c r="Z9" s="4">
        <f t="shared" si="14"/>
        <v>-0.30999999999999872</v>
      </c>
      <c r="AB9"/>
      <c r="AC9" s="4">
        <f t="shared" si="15"/>
        <v>-20.672583333333336</v>
      </c>
      <c r="AD9" s="4">
        <f t="shared" si="16"/>
        <v>-20.663166666666665</v>
      </c>
      <c r="AE9" s="4">
        <f t="shared" si="17"/>
        <v>-20.650499999999997</v>
      </c>
      <c r="AF9" s="4">
        <f t="shared" si="18"/>
        <v>-20.666166666666669</v>
      </c>
      <c r="AG9" s="4">
        <f t="shared" si="19"/>
        <v>-20.717416666666665</v>
      </c>
      <c r="AH9" s="4">
        <f t="shared" si="20"/>
        <v>-20.711833333333331</v>
      </c>
      <c r="AI9" s="4">
        <f t="shared" si="21"/>
        <v>-20.662083333333335</v>
      </c>
      <c r="AJ9" s="4">
        <f t="shared" si="22"/>
        <v>-20.715</v>
      </c>
      <c r="AK9" s="4">
        <f t="shared" si="23"/>
        <v>-20.6815</v>
      </c>
      <c r="AL9"/>
      <c r="AM9"/>
      <c r="AN9" s="4">
        <f t="shared" si="24"/>
        <v>1.7416666666665748E-2</v>
      </c>
      <c r="AO9" s="4">
        <f t="shared" si="25"/>
        <v>2.6833333333335929E-2</v>
      </c>
      <c r="AP9" s="4">
        <f t="shared" si="26"/>
        <v>3.9500000000003865E-2</v>
      </c>
      <c r="AQ9" s="4">
        <f t="shared" si="27"/>
        <v>2.3833333333332263E-2</v>
      </c>
      <c r="AR9" s="4">
        <f t="shared" si="28"/>
        <v>-2.7416666666663758E-2</v>
      </c>
      <c r="AS9" s="4">
        <f t="shared" si="29"/>
        <v>-2.1833333333329819E-2</v>
      </c>
      <c r="AT9" s="4">
        <f t="shared" si="30"/>
        <v>2.7916666666666146E-2</v>
      </c>
      <c r="AU9" s="4">
        <f t="shared" si="31"/>
        <v>-2.4999999999998579E-2</v>
      </c>
      <c r="AV9" s="4">
        <f t="shared" si="32"/>
        <v>8.5000000000015064E-3</v>
      </c>
    </row>
    <row r="10" spans="1:48" x14ac:dyDescent="0.25">
      <c r="A10" s="18">
        <v>16</v>
      </c>
      <c r="B10" s="19">
        <v>43581</v>
      </c>
      <c r="C10" s="20">
        <v>0.41989583333333336</v>
      </c>
      <c r="D10" s="18">
        <v>-20.81</v>
      </c>
      <c r="E10" s="18">
        <v>-20.81</v>
      </c>
      <c r="F10" s="18">
        <v>-20.69</v>
      </c>
      <c r="G10" s="18">
        <v>-20.75</v>
      </c>
      <c r="H10" s="18">
        <v>-20.94</v>
      </c>
      <c r="I10" s="18">
        <v>-20.94</v>
      </c>
      <c r="J10" s="18">
        <v>-20.5</v>
      </c>
      <c r="K10" s="18">
        <v>-20.56</v>
      </c>
      <c r="L10" s="18">
        <v>-21.06</v>
      </c>
      <c r="M10" s="18">
        <v>24.8</v>
      </c>
      <c r="N10" s="29">
        <v>-20.74</v>
      </c>
      <c r="O10" s="4">
        <f>N10-'Sonde étalon'!$C$12</f>
        <v>-20.74</v>
      </c>
      <c r="P10"/>
      <c r="R10" s="4">
        <f t="shared" si="6"/>
        <v>-7.0000000000000284E-2</v>
      </c>
      <c r="S10" s="4">
        <f t="shared" si="7"/>
        <v>-7.0000000000000284E-2</v>
      </c>
      <c r="T10" s="4">
        <f t="shared" si="8"/>
        <v>4.9999999999997158E-2</v>
      </c>
      <c r="U10" s="4">
        <f t="shared" si="9"/>
        <v>-1.0000000000001563E-2</v>
      </c>
      <c r="V10" s="4">
        <f t="shared" si="10"/>
        <v>-0.20000000000000284</v>
      </c>
      <c r="W10" s="4">
        <f t="shared" si="11"/>
        <v>-0.20000000000000284</v>
      </c>
      <c r="X10" s="4">
        <f t="shared" si="12"/>
        <v>0.23999999999999844</v>
      </c>
      <c r="Y10" s="4">
        <f t="shared" si="13"/>
        <v>0.17999999999999972</v>
      </c>
      <c r="Z10" s="4">
        <f t="shared" si="14"/>
        <v>-0.32000000000000028</v>
      </c>
      <c r="AB10"/>
      <c r="AC10" s="4">
        <f t="shared" si="15"/>
        <v>-20.732583333333331</v>
      </c>
      <c r="AD10" s="4">
        <f t="shared" si="16"/>
        <v>-20.723166666666664</v>
      </c>
      <c r="AE10" s="4">
        <f t="shared" si="17"/>
        <v>-20.7105</v>
      </c>
      <c r="AF10" s="4">
        <f t="shared" si="18"/>
        <v>-20.726166666666668</v>
      </c>
      <c r="AG10" s="4">
        <f t="shared" si="19"/>
        <v>-20.777416666666667</v>
      </c>
      <c r="AH10" s="4">
        <f t="shared" si="20"/>
        <v>-20.771833333333333</v>
      </c>
      <c r="AI10" s="4">
        <f t="shared" si="21"/>
        <v>-20.722083333333334</v>
      </c>
      <c r="AJ10" s="4">
        <f t="shared" si="22"/>
        <v>-20.715</v>
      </c>
      <c r="AK10" s="4">
        <f t="shared" si="23"/>
        <v>-20.741499999999998</v>
      </c>
      <c r="AL10"/>
      <c r="AM10"/>
      <c r="AN10" s="4">
        <f t="shared" si="24"/>
        <v>7.4166666666677372E-3</v>
      </c>
      <c r="AO10" s="4">
        <f t="shared" si="25"/>
        <v>1.6833333333334366E-2</v>
      </c>
      <c r="AP10" s="4">
        <f t="shared" si="26"/>
        <v>2.9499999999998749E-2</v>
      </c>
      <c r="AQ10" s="4">
        <f t="shared" si="27"/>
        <v>1.38333333333307E-2</v>
      </c>
      <c r="AR10" s="4">
        <f t="shared" si="28"/>
        <v>-3.7416666666668874E-2</v>
      </c>
      <c r="AS10" s="4">
        <f t="shared" si="29"/>
        <v>-3.1833333333334934E-2</v>
      </c>
      <c r="AT10" s="4">
        <f t="shared" si="30"/>
        <v>1.7916666666664582E-2</v>
      </c>
      <c r="AU10" s="4">
        <f t="shared" si="31"/>
        <v>2.4999999999998579E-2</v>
      </c>
      <c r="AV10" s="4">
        <f t="shared" si="32"/>
        <v>-1.5000000000000568E-3</v>
      </c>
    </row>
    <row r="11" spans="1:48" x14ac:dyDescent="0.25">
      <c r="A11" s="18">
        <v>17</v>
      </c>
      <c r="B11" s="19">
        <v>43581</v>
      </c>
      <c r="C11" s="20">
        <v>0.42059027777777774</v>
      </c>
      <c r="D11" s="18">
        <v>-20.88</v>
      </c>
      <c r="E11" s="18">
        <v>-20.88</v>
      </c>
      <c r="F11" s="18">
        <v>-20.75</v>
      </c>
      <c r="G11" s="18">
        <v>-20.81</v>
      </c>
      <c r="H11" s="18">
        <v>-20.94</v>
      </c>
      <c r="I11" s="18">
        <v>-20.94</v>
      </c>
      <c r="J11" s="18">
        <v>-20.56</v>
      </c>
      <c r="K11" s="18">
        <v>-20.63</v>
      </c>
      <c r="L11" s="18">
        <v>-21.13</v>
      </c>
      <c r="M11" s="18">
        <v>24.8</v>
      </c>
      <c r="N11" s="29">
        <v>-20.77</v>
      </c>
      <c r="O11" s="4">
        <f>N11-'Sonde étalon'!$C$12</f>
        <v>-20.77</v>
      </c>
      <c r="P11"/>
      <c r="R11" s="4">
        <f t="shared" si="6"/>
        <v>-0.10999999999999943</v>
      </c>
      <c r="S11" s="4">
        <f t="shared" si="7"/>
        <v>-0.10999999999999943</v>
      </c>
      <c r="T11" s="4">
        <f t="shared" si="8"/>
        <v>1.9999999999999574E-2</v>
      </c>
      <c r="U11" s="4">
        <f t="shared" si="9"/>
        <v>-3.9999999999999147E-2</v>
      </c>
      <c r="V11" s="4">
        <f t="shared" si="10"/>
        <v>-0.17000000000000171</v>
      </c>
      <c r="W11" s="4">
        <f t="shared" si="11"/>
        <v>-0.17000000000000171</v>
      </c>
      <c r="X11" s="4">
        <f t="shared" si="12"/>
        <v>0.21000000000000085</v>
      </c>
      <c r="Y11" s="4">
        <f t="shared" si="13"/>
        <v>0.14000000000000057</v>
      </c>
      <c r="Z11" s="4">
        <f t="shared" si="14"/>
        <v>-0.35999999999999943</v>
      </c>
      <c r="AB11"/>
      <c r="AC11" s="4">
        <f t="shared" si="15"/>
        <v>-20.802583333333331</v>
      </c>
      <c r="AD11" s="4">
        <f t="shared" si="16"/>
        <v>-20.793166666666664</v>
      </c>
      <c r="AE11" s="4">
        <f t="shared" si="17"/>
        <v>-20.770499999999998</v>
      </c>
      <c r="AF11" s="4">
        <f t="shared" si="18"/>
        <v>-20.786166666666666</v>
      </c>
      <c r="AG11" s="4">
        <f t="shared" si="19"/>
        <v>-20.777416666666667</v>
      </c>
      <c r="AH11" s="4">
        <f t="shared" si="20"/>
        <v>-20.771833333333333</v>
      </c>
      <c r="AI11" s="4">
        <f t="shared" si="21"/>
        <v>-20.782083333333333</v>
      </c>
      <c r="AJ11" s="4">
        <f t="shared" si="22"/>
        <v>-20.785</v>
      </c>
      <c r="AK11" s="4">
        <f t="shared" si="23"/>
        <v>-20.811499999999999</v>
      </c>
      <c r="AL11"/>
      <c r="AM11"/>
      <c r="AN11" s="4">
        <f t="shared" si="24"/>
        <v>-3.258333333333141E-2</v>
      </c>
      <c r="AO11" s="4">
        <f t="shared" si="25"/>
        <v>-2.3166666666664781E-2</v>
      </c>
      <c r="AP11" s="4">
        <f t="shared" si="26"/>
        <v>-4.9999999999883471E-4</v>
      </c>
      <c r="AQ11" s="4">
        <f t="shared" si="27"/>
        <v>-1.6166666666666885E-2</v>
      </c>
      <c r="AR11" s="4">
        <f t="shared" si="28"/>
        <v>-7.4166666666677372E-3</v>
      </c>
      <c r="AS11" s="4">
        <f t="shared" si="29"/>
        <v>-1.8333333333337976E-3</v>
      </c>
      <c r="AT11" s="4">
        <f t="shared" si="30"/>
        <v>-1.2083333333333002E-2</v>
      </c>
      <c r="AU11" s="4">
        <f t="shared" si="31"/>
        <v>-1.5000000000000568E-2</v>
      </c>
      <c r="AV11" s="4">
        <f t="shared" si="32"/>
        <v>-4.1499999999999204E-2</v>
      </c>
    </row>
    <row r="12" spans="1:48" x14ac:dyDescent="0.25">
      <c r="A12" s="18">
        <v>18</v>
      </c>
      <c r="B12" s="19">
        <v>43581</v>
      </c>
      <c r="C12" s="21">
        <v>0.42128472222222224</v>
      </c>
      <c r="D12" s="18">
        <v>-20.88</v>
      </c>
      <c r="E12" s="18">
        <v>-20.88</v>
      </c>
      <c r="F12" s="18">
        <v>-20.75</v>
      </c>
      <c r="G12" s="18">
        <v>-20.81</v>
      </c>
      <c r="H12" s="18">
        <v>-21</v>
      </c>
      <c r="I12" s="18">
        <v>-21</v>
      </c>
      <c r="J12" s="18">
        <v>-20.63</v>
      </c>
      <c r="K12" s="18">
        <v>-20.69</v>
      </c>
      <c r="L12" s="18">
        <v>-21.13</v>
      </c>
      <c r="M12" s="18">
        <v>24.8</v>
      </c>
      <c r="N12" s="29">
        <v>-20.81</v>
      </c>
      <c r="O12" s="4">
        <f>N12-'Sonde étalon'!$C$12</f>
        <v>-20.81</v>
      </c>
      <c r="P12"/>
      <c r="R12" s="4">
        <f t="shared" si="6"/>
        <v>-7.0000000000000284E-2</v>
      </c>
      <c r="S12" s="4">
        <f t="shared" si="7"/>
        <v>-7.0000000000000284E-2</v>
      </c>
      <c r="T12" s="4">
        <f t="shared" si="8"/>
        <v>5.9999999999998721E-2</v>
      </c>
      <c r="U12" s="4">
        <f t="shared" si="9"/>
        <v>0</v>
      </c>
      <c r="V12" s="4">
        <f t="shared" si="10"/>
        <v>-0.19000000000000128</v>
      </c>
      <c r="W12" s="4">
        <f t="shared" si="11"/>
        <v>-0.19000000000000128</v>
      </c>
      <c r="X12" s="4">
        <f t="shared" si="12"/>
        <v>0.17999999999999972</v>
      </c>
      <c r="Y12" s="4">
        <f t="shared" si="13"/>
        <v>0.11999999999999744</v>
      </c>
      <c r="Z12" s="4">
        <f t="shared" si="14"/>
        <v>-0.32000000000000028</v>
      </c>
      <c r="AB12"/>
      <c r="AC12" s="4">
        <f t="shared" si="15"/>
        <v>-20.802583333333331</v>
      </c>
      <c r="AD12" s="4">
        <f t="shared" si="16"/>
        <v>-20.793166666666664</v>
      </c>
      <c r="AE12" s="4">
        <f t="shared" si="17"/>
        <v>-20.770499999999998</v>
      </c>
      <c r="AF12" s="4">
        <f t="shared" si="18"/>
        <v>-20.786166666666666</v>
      </c>
      <c r="AG12" s="4">
        <f t="shared" si="19"/>
        <v>-20.837416666666666</v>
      </c>
      <c r="AH12" s="4">
        <f t="shared" si="20"/>
        <v>-20.831833333333332</v>
      </c>
      <c r="AI12" s="4">
        <f t="shared" si="21"/>
        <v>-20.852083333333333</v>
      </c>
      <c r="AJ12" s="4">
        <f t="shared" si="22"/>
        <v>-20.845000000000002</v>
      </c>
      <c r="AK12" s="4">
        <f t="shared" si="23"/>
        <v>-20.811499999999999</v>
      </c>
      <c r="AL12"/>
      <c r="AM12"/>
      <c r="AN12" s="4">
        <f t="shared" si="24"/>
        <v>7.4166666666677372E-3</v>
      </c>
      <c r="AO12" s="4">
        <f t="shared" si="25"/>
        <v>1.6833333333334366E-2</v>
      </c>
      <c r="AP12" s="4">
        <f t="shared" si="26"/>
        <v>3.9500000000000313E-2</v>
      </c>
      <c r="AQ12" s="4">
        <f t="shared" si="27"/>
        <v>2.3833333333332263E-2</v>
      </c>
      <c r="AR12" s="4">
        <f t="shared" si="28"/>
        <v>-2.7416666666667311E-2</v>
      </c>
      <c r="AS12" s="4">
        <f t="shared" si="29"/>
        <v>-2.1833333333333371E-2</v>
      </c>
      <c r="AT12" s="4">
        <f t="shared" si="30"/>
        <v>-4.2083333333334139E-2</v>
      </c>
      <c r="AU12" s="4">
        <f t="shared" si="31"/>
        <v>-3.5000000000003695E-2</v>
      </c>
      <c r="AV12" s="4">
        <f t="shared" si="32"/>
        <v>-1.5000000000000568E-3</v>
      </c>
    </row>
    <row r="13" spans="1:48" x14ac:dyDescent="0.25">
      <c r="A13" s="18">
        <v>19</v>
      </c>
      <c r="B13" s="19">
        <v>43581</v>
      </c>
      <c r="C13" s="20">
        <v>0.42197916666666663</v>
      </c>
      <c r="D13" s="18">
        <v>-20.94</v>
      </c>
      <c r="E13" s="18">
        <v>-20.94</v>
      </c>
      <c r="F13" s="18">
        <v>-20.81</v>
      </c>
      <c r="G13" s="18">
        <v>-20.88</v>
      </c>
      <c r="H13" s="18">
        <v>-21</v>
      </c>
      <c r="I13" s="18">
        <v>-21</v>
      </c>
      <c r="J13" s="18">
        <v>-20.63</v>
      </c>
      <c r="K13" s="18">
        <v>-20.69</v>
      </c>
      <c r="L13" s="18">
        <v>-21.19</v>
      </c>
      <c r="M13" s="18">
        <v>24.8</v>
      </c>
      <c r="N13" s="29">
        <v>-20.84</v>
      </c>
      <c r="O13" s="4">
        <f>N13-'Sonde étalon'!$C$12</f>
        <v>-20.84</v>
      </c>
      <c r="P13"/>
      <c r="R13" s="4">
        <f t="shared" si="6"/>
        <v>-0.10000000000000142</v>
      </c>
      <c r="S13" s="4">
        <f t="shared" si="7"/>
        <v>-0.10000000000000142</v>
      </c>
      <c r="T13" s="4">
        <f t="shared" si="8"/>
        <v>3.0000000000001137E-2</v>
      </c>
      <c r="U13" s="4">
        <f t="shared" si="9"/>
        <v>-3.9999999999999147E-2</v>
      </c>
      <c r="V13" s="4">
        <f t="shared" si="10"/>
        <v>-0.16000000000000014</v>
      </c>
      <c r="W13" s="4">
        <f t="shared" si="11"/>
        <v>-0.16000000000000014</v>
      </c>
      <c r="X13" s="4">
        <f t="shared" si="12"/>
        <v>0.21000000000000085</v>
      </c>
      <c r="Y13" s="4">
        <f t="shared" si="13"/>
        <v>0.14999999999999858</v>
      </c>
      <c r="Z13" s="4">
        <f t="shared" si="14"/>
        <v>-0.35000000000000142</v>
      </c>
      <c r="AB13"/>
      <c r="AC13" s="4">
        <f t="shared" si="15"/>
        <v>-20.862583333333333</v>
      </c>
      <c r="AD13" s="4">
        <f t="shared" si="16"/>
        <v>-20.853166666666667</v>
      </c>
      <c r="AE13" s="4">
        <f t="shared" si="17"/>
        <v>-20.830499999999997</v>
      </c>
      <c r="AF13" s="4">
        <f t="shared" si="18"/>
        <v>-20.856166666666667</v>
      </c>
      <c r="AG13" s="4">
        <f t="shared" si="19"/>
        <v>-20.837416666666666</v>
      </c>
      <c r="AH13" s="4">
        <f t="shared" si="20"/>
        <v>-20.831833333333332</v>
      </c>
      <c r="AI13" s="4">
        <f t="shared" si="21"/>
        <v>-20.852083333333333</v>
      </c>
      <c r="AJ13" s="4">
        <f t="shared" si="22"/>
        <v>-20.845000000000002</v>
      </c>
      <c r="AK13" s="4">
        <f t="shared" si="23"/>
        <v>-20.871500000000001</v>
      </c>
      <c r="AL13"/>
      <c r="AM13"/>
      <c r="AN13" s="4">
        <f t="shared" si="24"/>
        <v>-2.25833333333334E-2</v>
      </c>
      <c r="AO13" s="4">
        <f t="shared" si="25"/>
        <v>-1.3166666666666771E-2</v>
      </c>
      <c r="AP13" s="4">
        <f t="shared" si="26"/>
        <v>9.5000000000027285E-3</v>
      </c>
      <c r="AQ13" s="4">
        <f t="shared" si="27"/>
        <v>-1.6166666666666885E-2</v>
      </c>
      <c r="AR13" s="4">
        <f t="shared" si="28"/>
        <v>2.583333333333826E-3</v>
      </c>
      <c r="AS13" s="4">
        <f t="shared" si="29"/>
        <v>8.1666666666677656E-3</v>
      </c>
      <c r="AT13" s="4">
        <f t="shared" si="30"/>
        <v>-1.2083333333333002E-2</v>
      </c>
      <c r="AU13" s="4">
        <f t="shared" si="31"/>
        <v>-5.000000000002558E-3</v>
      </c>
      <c r="AV13" s="4">
        <f t="shared" si="32"/>
        <v>-3.1500000000001194E-2</v>
      </c>
    </row>
    <row r="14" spans="1:48" x14ac:dyDescent="0.25">
      <c r="A14" s="18">
        <v>20</v>
      </c>
      <c r="B14" s="19">
        <v>43581</v>
      </c>
      <c r="C14" s="20">
        <v>0.42267361111111112</v>
      </c>
      <c r="D14" s="18">
        <v>-20.94</v>
      </c>
      <c r="E14" s="18">
        <v>-20.94</v>
      </c>
      <c r="F14" s="18">
        <v>-20.81</v>
      </c>
      <c r="G14" s="18">
        <v>-20.88</v>
      </c>
      <c r="H14" s="18">
        <v>-21.06</v>
      </c>
      <c r="I14" s="18">
        <v>-21.06</v>
      </c>
      <c r="J14" s="18">
        <v>-20.63</v>
      </c>
      <c r="K14" s="18">
        <v>-20.69</v>
      </c>
      <c r="L14" s="18">
        <v>-21.19</v>
      </c>
      <c r="M14" s="18">
        <v>24.8</v>
      </c>
      <c r="N14" s="29">
        <v>-20.88</v>
      </c>
      <c r="O14" s="4">
        <f>N14-'Sonde étalon'!$C$12</f>
        <v>-20.88</v>
      </c>
      <c r="P14"/>
      <c r="R14" s="4">
        <f t="shared" si="6"/>
        <v>-6.0000000000002274E-2</v>
      </c>
      <c r="S14" s="4">
        <f t="shared" si="7"/>
        <v>-6.0000000000002274E-2</v>
      </c>
      <c r="T14" s="4">
        <f t="shared" si="8"/>
        <v>7.0000000000000284E-2</v>
      </c>
      <c r="U14" s="4">
        <f t="shared" si="9"/>
        <v>0</v>
      </c>
      <c r="V14" s="4">
        <f t="shared" si="10"/>
        <v>-0.17999999999999972</v>
      </c>
      <c r="W14" s="4">
        <f t="shared" si="11"/>
        <v>-0.17999999999999972</v>
      </c>
      <c r="X14" s="4">
        <f t="shared" si="12"/>
        <v>0.25</v>
      </c>
      <c r="Y14" s="4">
        <f t="shared" si="13"/>
        <v>0.18999999999999773</v>
      </c>
      <c r="Z14" s="4">
        <f t="shared" si="14"/>
        <v>-0.31000000000000227</v>
      </c>
      <c r="AB14"/>
      <c r="AC14" s="4">
        <f t="shared" si="15"/>
        <v>-20.862583333333333</v>
      </c>
      <c r="AD14" s="4">
        <f t="shared" si="16"/>
        <v>-20.853166666666667</v>
      </c>
      <c r="AE14" s="4">
        <f t="shared" si="17"/>
        <v>-20.830499999999997</v>
      </c>
      <c r="AF14" s="4">
        <f t="shared" si="18"/>
        <v>-20.856166666666667</v>
      </c>
      <c r="AG14" s="4">
        <f t="shared" si="19"/>
        <v>-20.897416666666665</v>
      </c>
      <c r="AH14" s="4">
        <f t="shared" si="20"/>
        <v>-20.891833333333331</v>
      </c>
      <c r="AI14" s="4">
        <f t="shared" si="21"/>
        <v>-20.852083333333333</v>
      </c>
      <c r="AJ14" s="4">
        <f t="shared" si="22"/>
        <v>-20.845000000000002</v>
      </c>
      <c r="AK14" s="4">
        <f t="shared" si="23"/>
        <v>-20.871500000000001</v>
      </c>
      <c r="AL14"/>
      <c r="AM14"/>
      <c r="AN14" s="4">
        <f t="shared" si="24"/>
        <v>1.7416666666665748E-2</v>
      </c>
      <c r="AO14" s="4">
        <f t="shared" si="25"/>
        <v>2.6833333333332376E-2</v>
      </c>
      <c r="AP14" s="4">
        <f t="shared" si="26"/>
        <v>4.9500000000001876E-2</v>
      </c>
      <c r="AQ14" s="4">
        <f t="shared" si="27"/>
        <v>2.3833333333332263E-2</v>
      </c>
      <c r="AR14" s="4">
        <f t="shared" si="28"/>
        <v>-1.7416666666665748E-2</v>
      </c>
      <c r="AS14" s="4">
        <f t="shared" si="29"/>
        <v>-1.1833333333331808E-2</v>
      </c>
      <c r="AT14" s="4">
        <f t="shared" si="30"/>
        <v>2.7916666666666146E-2</v>
      </c>
      <c r="AU14" s="4">
        <f t="shared" si="31"/>
        <v>3.4999999999996589E-2</v>
      </c>
      <c r="AV14" s="4">
        <f t="shared" si="32"/>
        <v>8.4999999999979536E-3</v>
      </c>
    </row>
    <row r="15" spans="1:48" x14ac:dyDescent="0.25">
      <c r="A15" s="18">
        <v>21</v>
      </c>
      <c r="B15" s="19">
        <v>43581</v>
      </c>
      <c r="C15" s="20">
        <v>0.42336805555555551</v>
      </c>
      <c r="D15" s="18">
        <v>-21</v>
      </c>
      <c r="E15" s="18">
        <v>-21</v>
      </c>
      <c r="F15" s="18">
        <v>-20.88</v>
      </c>
      <c r="G15" s="18">
        <v>-20.94</v>
      </c>
      <c r="H15" s="18">
        <v>-21.06</v>
      </c>
      <c r="I15" s="18">
        <v>-21.06</v>
      </c>
      <c r="J15" s="18">
        <v>-20.69</v>
      </c>
      <c r="K15" s="18">
        <v>-20.75</v>
      </c>
      <c r="L15" s="18">
        <v>-21.19</v>
      </c>
      <c r="M15" s="18">
        <v>24.8</v>
      </c>
      <c r="N15" s="29">
        <v>-20.9</v>
      </c>
      <c r="O15" s="4">
        <f>N15-'Sonde étalon'!$C$12</f>
        <v>-20.9</v>
      </c>
      <c r="P15"/>
      <c r="R15" s="4">
        <f t="shared" si="6"/>
        <v>-0.10000000000000142</v>
      </c>
      <c r="S15" s="4">
        <f t="shared" si="7"/>
        <v>-0.10000000000000142</v>
      </c>
      <c r="T15" s="4">
        <f t="shared" si="8"/>
        <v>1.9999999999999574E-2</v>
      </c>
      <c r="U15" s="4">
        <f t="shared" si="9"/>
        <v>-4.00000000000027E-2</v>
      </c>
      <c r="V15" s="4">
        <f t="shared" si="10"/>
        <v>-0.16000000000000014</v>
      </c>
      <c r="W15" s="4">
        <f t="shared" si="11"/>
        <v>-0.16000000000000014</v>
      </c>
      <c r="X15" s="4">
        <f t="shared" si="12"/>
        <v>0.2099999999999973</v>
      </c>
      <c r="Y15" s="4">
        <f t="shared" si="13"/>
        <v>0.14999999999999858</v>
      </c>
      <c r="Z15" s="4">
        <f t="shared" si="14"/>
        <v>-0.2900000000000027</v>
      </c>
      <c r="AB15"/>
      <c r="AC15" s="4">
        <f t="shared" si="15"/>
        <v>-20.922583333333336</v>
      </c>
      <c r="AD15" s="4">
        <f t="shared" si="16"/>
        <v>-20.913166666666665</v>
      </c>
      <c r="AE15" s="4">
        <f t="shared" si="17"/>
        <v>-20.900499999999997</v>
      </c>
      <c r="AF15" s="4">
        <f t="shared" si="18"/>
        <v>-20.916166666666669</v>
      </c>
      <c r="AG15" s="4">
        <f t="shared" si="19"/>
        <v>-20.897416666666665</v>
      </c>
      <c r="AH15" s="4">
        <f t="shared" si="20"/>
        <v>-20.891833333333331</v>
      </c>
      <c r="AI15" s="4">
        <f t="shared" si="21"/>
        <v>-20.912083333333335</v>
      </c>
      <c r="AJ15" s="4">
        <f t="shared" si="22"/>
        <v>-20.905000000000001</v>
      </c>
      <c r="AK15" s="4">
        <f t="shared" si="23"/>
        <v>-20.871500000000001</v>
      </c>
      <c r="AL15"/>
      <c r="AM15"/>
      <c r="AN15" s="4">
        <f t="shared" si="24"/>
        <v>-2.2583333333336952E-2</v>
      </c>
      <c r="AO15" s="4">
        <f t="shared" si="25"/>
        <v>-1.3166666666666771E-2</v>
      </c>
      <c r="AP15" s="4">
        <f t="shared" si="26"/>
        <v>-4.9999999999883471E-4</v>
      </c>
      <c r="AQ15" s="4">
        <f t="shared" si="27"/>
        <v>-1.6166666666670437E-2</v>
      </c>
      <c r="AR15" s="4">
        <f t="shared" si="28"/>
        <v>2.583333333333826E-3</v>
      </c>
      <c r="AS15" s="4">
        <f t="shared" si="29"/>
        <v>8.1666666666677656E-3</v>
      </c>
      <c r="AT15" s="4">
    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  </c>
    </row>
    <row r="16" spans="1:48" x14ac:dyDescent="0.25">
      <c r="A16" s="18">
        <v>22</v>
      </c>
      <c r="B16" s="19">
        <v>43581</v>
      </c>
      <c r="C16" s="20">
        <v>0.42406250000000001</v>
      </c>
      <c r="D16" s="18">
        <v>-21</v>
      </c>
      <c r="E16" s="18">
        <v>-21</v>
      </c>
      <c r="F16" s="18">
        <v>-20.88</v>
      </c>
      <c r="G16" s="18">
        <v>-20.94</v>
      </c>
      <c r="H16" s="18">
        <v>-21.06</v>
      </c>
      <c r="I16" s="18">
        <v>-21.06</v>
      </c>
      <c r="J16" s="18">
        <v>-20.69</v>
      </c>
      <c r="K16" s="18">
        <v>-20.75</v>
      </c>
      <c r="L16" s="18">
        <v>-21.25</v>
      </c>
      <c r="M16" s="18">
        <v>24.8</v>
      </c>
      <c r="N16" s="29">
        <v>-20.92</v>
      </c>
      <c r="O16" s="4">
        <f>N16-'Sonde étalon'!$C$12</f>
        <v>-20.92</v>
      </c>
      <c r="P16"/>
      <c r="R16" s="4">
        <f t="shared" si="6"/>
        <v>-7.9999999999998295E-2</v>
      </c>
      <c r="S16" s="4">
        <f t="shared" si="7"/>
        <v>-7.9999999999998295E-2</v>
      </c>
      <c r="T16" s="4">
        <f t="shared" si="8"/>
        <v>4.00000000000027E-2</v>
      </c>
      <c r="U16" s="4">
        <f t="shared" si="9"/>
        <v>-1.9999999999999574E-2</v>
      </c>
      <c r="V16" s="4">
        <f t="shared" si="10"/>
        <v>-0.13999999999999702</v>
      </c>
      <c r="W16" s="4">
        <f t="shared" si="11"/>
        <v>-0.13999999999999702</v>
      </c>
      <c r="X16" s="4">
        <f t="shared" si="12"/>
        <v>0.23000000000000043</v>
      </c>
      <c r="Y16" s="4">
        <f t="shared" si="13"/>
        <v>0.17000000000000171</v>
      </c>
      <c r="Z16" s="4">
        <f t="shared" si="14"/>
        <v>-0.32999999999999829</v>
      </c>
      <c r="AB16"/>
      <c r="AC16" s="4">
        <f t="shared" si="15"/>
        <v>-20.922583333333336</v>
      </c>
      <c r="AD16" s="4">
        <f t="shared" si="16"/>
        <v>-20.913166666666665</v>
      </c>
      <c r="AE16" s="4">
        <f t="shared" si="17"/>
        <v>-20.900499999999997</v>
      </c>
      <c r="AF16" s="4">
        <f t="shared" si="18"/>
        <v>-20.916166666666669</v>
      </c>
      <c r="AG16" s="4">
        <f t="shared" si="19"/>
        <v>-20.897416666666665</v>
      </c>
      <c r="AH16" s="4">
        <f t="shared" si="20"/>
        <v>-20.891833333333331</v>
      </c>
      <c r="AI16" s="4">
        <f t="shared" si="21"/>
        <v>-20.912083333333335</v>
      </c>
      <c r="AJ16" s="4">
        <f t="shared" si="22"/>
        <v>-20.905000000000001</v>
      </c>
      <c r="AK16" s="4">
        <f t="shared" si="23"/>
        <v>-20.9315</v>
      </c>
      <c r="AL16"/>
      <c r="AM16"/>
      <c r="AN16" s="4">
        <f t="shared" si="24"/>
        <v>-2.583333333333826E-3</v>
      </c>
      <c r="AO16" s="4">
        <f t="shared" si="25"/>
        <v>6.8333333333363555E-3</v>
      </c>
      <c r="AP16" s="4">
        <f t="shared" si="26"/>
        <v>1.9500000000004292E-2</v>
      </c>
      <c r="AQ16" s="4">
        <f t="shared" si="27"/>
        <v>3.8333333333326891E-3</v>
      </c>
      <c r="AR16" s="4">
        <f t="shared" si="28"/>
        <v>2.2583333333336952E-2</v>
      </c>
      <c r="AS16" s="4">
        <f t="shared" si="29"/>
        <v>2.8166666666670892E-2</v>
      </c>
      <c r="AT16" s="4">
        <f t="shared" si="30"/>
        <v>7.9166666666665719E-3</v>
      </c>
      <c r="AU16" s="4">
        <f t="shared" si="31"/>
        <v>1.5000000000000568E-2</v>
      </c>
      <c r="AV16" s="4">
        <f t="shared" si="32"/>
        <v>-1.1499999999998067E-2</v>
      </c>
    </row>
    <row r="17" spans="1:48" x14ac:dyDescent="0.25">
      <c r="A17" s="18">
        <v>23</v>
      </c>
      <c r="B17" s="19">
        <v>43581</v>
      </c>
      <c r="C17" s="20">
        <v>0.4247569444444444</v>
      </c>
      <c r="D17" s="18">
        <v>-21</v>
      </c>
      <c r="E17" s="18">
        <v>-21</v>
      </c>
      <c r="F17" s="18">
        <v>-20.94</v>
      </c>
      <c r="G17" s="18">
        <v>-20.94</v>
      </c>
      <c r="H17" s="18">
        <v>-21.13</v>
      </c>
      <c r="I17" s="18">
        <v>-21.13</v>
      </c>
      <c r="J17" s="18">
        <v>-20.69</v>
      </c>
      <c r="K17" s="18">
        <v>-20.81</v>
      </c>
      <c r="L17" s="18">
        <v>-21.25</v>
      </c>
      <c r="M17" s="18">
        <v>24.8</v>
      </c>
      <c r="N17" s="29">
        <v>-20.94</v>
      </c>
      <c r="O17" s="4">
        <f>N17-'Sonde étalon'!$C$12</f>
        <v>-20.94</v>
      </c>
      <c r="P17"/>
      <c r="R17" s="4">
        <f t="shared" si="6"/>
        <v>-5.9999999999998721E-2</v>
      </c>
      <c r="S17" s="4">
        <f t="shared" si="7"/>
        <v>-5.9999999999998721E-2</v>
      </c>
      <c r="T17" s="4">
        <f t="shared" si="8"/>
        <v>0</v>
      </c>
      <c r="U17" s="4">
        <f t="shared" si="9"/>
        <v>0</v>
      </c>
      <c r="V17" s="4">
        <f t="shared" si="10"/>
        <v>-0.18999999999999773</v>
      </c>
      <c r="W17" s="4">
        <f t="shared" si="11"/>
        <v>-0.18999999999999773</v>
      </c>
      <c r="X17" s="4">
        <f t="shared" si="12"/>
        <v>0.25</v>
      </c>
      <c r="Y17" s="4">
        <f t="shared" si="13"/>
        <v>0.13000000000000256</v>
      </c>
      <c r="Z17" s="4">
        <f t="shared" si="14"/>
        <v>-0.30999999999999872</v>
      </c>
      <c r="AB17"/>
      <c r="AC17" s="4">
        <f t="shared" si="15"/>
        <v>-20.922583333333336</v>
      </c>
      <c r="AD17" s="4">
        <f t="shared" si="16"/>
        <v>-20.913166666666665</v>
      </c>
      <c r="AE17" s="4">
        <f t="shared" si="17"/>
        <v>-20.9605</v>
      </c>
      <c r="AF17" s="4">
        <f t="shared" si="18"/>
        <v>-20.916166666666669</v>
      </c>
      <c r="AG17" s="4">
        <f t="shared" si="19"/>
        <v>-20.967416666666665</v>
      </c>
      <c r="AH17" s="4">
        <f t="shared" si="20"/>
        <v>-20.961833333333331</v>
      </c>
      <c r="AI17" s="4">
        <f t="shared" si="21"/>
        <v>-20.912083333333335</v>
      </c>
      <c r="AJ17" s="4">
        <f t="shared" si="22"/>
        <v>-20.965</v>
      </c>
      <c r="AK17" s="4">
        <f t="shared" si="23"/>
        <v>-20.9315</v>
      </c>
      <c r="AL17"/>
      <c r="AM17"/>
      <c r="AN17" s="4">
        <f t="shared" si="24"/>
        <v>1.7416666666665748E-2</v>
      </c>
      <c r="AO17" s="4">
        <f t="shared" si="25"/>
        <v>2.6833333333335929E-2</v>
      </c>
      <c r="AP17" s="4">
        <f t="shared" si="26"/>
        <v>-2.0499999999998408E-2</v>
      </c>
      <c r="AQ17" s="4">
        <f t="shared" si="27"/>
        <v>2.3833333333332263E-2</v>
      </c>
      <c r="AR17" s="4">
        <f t="shared" si="28"/>
        <v>-2.7416666666663758E-2</v>
      </c>
      <c r="AS17" s="4">
        <f t="shared" si="29"/>
        <v>-2.1833333333329819E-2</v>
      </c>
      <c r="AT17" s="4">
        <f t="shared" si="30"/>
        <v>2.7916666666666146E-2</v>
      </c>
      <c r="AU17" s="4">
        <f t="shared" si="31"/>
        <v>-2.4999999999998579E-2</v>
      </c>
      <c r="AV17" s="4">
        <f t="shared" si="32"/>
        <v>8.5000000000015064E-3</v>
      </c>
    </row>
    <row r="18" spans="1:48" x14ac:dyDescent="0.25">
      <c r="A18" s="18">
        <v>24</v>
      </c>
      <c r="B18" s="19">
        <v>43581</v>
      </c>
      <c r="C18" s="20">
        <v>0.42545138888888889</v>
      </c>
      <c r="D18" s="18">
        <v>-21.06</v>
      </c>
      <c r="E18" s="18">
        <v>-21.06</v>
      </c>
      <c r="F18" s="18">
        <v>-20.94</v>
      </c>
      <c r="G18" s="18">
        <v>-21</v>
      </c>
      <c r="H18" s="18">
        <v>-21.13</v>
      </c>
      <c r="I18" s="18">
        <v>-21.13</v>
      </c>
      <c r="J18" s="18">
        <v>-20.75</v>
      </c>
      <c r="K18" s="18">
        <v>-20.81</v>
      </c>
      <c r="L18" s="18">
        <v>-21.25</v>
      </c>
      <c r="M18" s="18">
        <v>24.8</v>
      </c>
      <c r="N18" s="29">
        <v>-20.97</v>
      </c>
      <c r="O18" s="4">
        <f>N18-'Sonde étalon'!$C$12</f>
        <v>-20.97</v>
      </c>
      <c r="P18"/>
      <c r="R18" s="4">
        <f t="shared" si="6"/>
        <v>-8.9999999999999858E-2</v>
      </c>
      <c r="S18" s="4">
        <f t="shared" si="7"/>
        <v>-8.9999999999999858E-2</v>
      </c>
      <c r="T18" s="4">
        <f t="shared" si="8"/>
        <v>2.9999999999997584E-2</v>
      </c>
      <c r="U18" s="4">
        <f t="shared" si="9"/>
        <v>-3.0000000000001137E-2</v>
      </c>
      <c r="V18" s="4">
        <f t="shared" si="10"/>
        <v>-0.16000000000000014</v>
      </c>
      <c r="W18" s="4">
        <f t="shared" si="11"/>
        <v>-0.16000000000000014</v>
      </c>
      <c r="X18" s="4">
        <f t="shared" si="12"/>
        <v>0.21999999999999886</v>
      </c>
      <c r="Y18" s="4">
        <f t="shared" si="13"/>
        <v>0.16000000000000014</v>
      </c>
      <c r="Z18" s="4">
        <f t="shared" si="14"/>
        <v>-0.28000000000000114</v>
      </c>
      <c r="AB18"/>
      <c r="AC18" s="4">
        <f t="shared" si="15"/>
        <v>-20.982583333333331</v>
      </c>
      <c r="AD18" s="4">
        <f t="shared" si="16"/>
        <v>-20.973166666666664</v>
      </c>
      <c r="AE18" s="4">
        <f t="shared" si="17"/>
        <v>-20.9605</v>
      </c>
      <c r="AF18" s="4">
        <f t="shared" si="18"/>
        <v>-20.976166666666668</v>
      </c>
      <c r="AG18" s="4">
        <f t="shared" si="19"/>
        <v>-20.967416666666665</v>
      </c>
      <c r="AH18" s="4">
        <f t="shared" si="20"/>
        <v>-20.961833333333331</v>
      </c>
      <c r="AI18" s="4">
        <f t="shared" si="21"/>
        <v>-20.972083333333334</v>
      </c>
      <c r="AJ18" s="4">
        <f t="shared" si="22"/>
        <v>-20.965</v>
      </c>
      <c r="AK18" s="4">
        <f t="shared" si="23"/>
        <v>-20.9315</v>
      </c>
      <c r="AL18"/>
      <c r="AM18"/>
      <c r="AN18" s="4">
        <f t="shared" si="24"/>
        <v>-1.2583333333331836E-2</v>
      </c>
      <c r="AO18" s="4">
        <f t="shared" si="25"/>
        <v>-3.1666666666652077E-3</v>
      </c>
      <c r="AP18" s="4">
        <f t="shared" si="26"/>
        <v>9.4999999999991758E-3</v>
      </c>
      <c r="AQ18" s="4">
        <f t="shared" si="27"/>
        <v>-6.1666666666688741E-3</v>
      </c>
      <c r="AR18" s="4">
        <f t="shared" si="28"/>
        <v>2.583333333333826E-3</v>
      </c>
      <c r="AS18" s="4">
        <f t="shared" si="29"/>
        <v>8.1666666666677656E-3</v>
      </c>
      <c r="AT18" s="4">
        <f t="shared" si="30"/>
        <v>-2.0833333333349913E-3</v>
      </c>
      <c r="AU18" s="4">
        <f t="shared" si="31"/>
        <v>4.9999999999990052E-3</v>
      </c>
      <c r="AV18" s="4">
        <f t="shared" si="32"/>
        <v>3.8499999999999091E-2</v>
      </c>
    </row>
    <row r="19" spans="1:48" x14ac:dyDescent="0.25">
      <c r="A19" s="18">
        <v>25</v>
      </c>
      <c r="B19" s="19">
        <v>43581</v>
      </c>
      <c r="C19" s="20">
        <v>0.42614583333333328</v>
      </c>
      <c r="D19" s="18">
        <v>-21.06</v>
      </c>
      <c r="E19" s="18">
        <v>-21.06</v>
      </c>
      <c r="F19" s="18">
        <v>-20.94</v>
      </c>
      <c r="G19" s="18">
        <v>-21</v>
      </c>
      <c r="H19" s="18">
        <v>-21.13</v>
      </c>
      <c r="I19" s="18">
        <v>-21.13</v>
      </c>
      <c r="J19" s="18">
        <v>-20.75</v>
      </c>
      <c r="K19" s="18">
        <v>-20.81</v>
      </c>
      <c r="L19" s="18">
        <v>-21.31</v>
      </c>
      <c r="M19" s="18">
        <v>24.8</v>
      </c>
      <c r="N19" s="29">
        <v>-20.99</v>
      </c>
      <c r="O19" s="4">
        <f>N19-'Sonde étalon'!$C$12</f>
        <v>-20.99</v>
      </c>
      <c r="P19"/>
      <c r="R19" s="4">
        <f t="shared" si="6"/>
        <v>-7.0000000000000284E-2</v>
      </c>
      <c r="S19" s="4">
        <f t="shared" si="7"/>
        <v>-7.0000000000000284E-2</v>
      </c>
      <c r="T19" s="4">
        <f t="shared" si="8"/>
        <v>4.9999999999997158E-2</v>
      </c>
      <c r="U19" s="4">
        <f t="shared" si="9"/>
        <v>-1.0000000000001563E-2</v>
      </c>
      <c r="V19" s="4">
        <f t="shared" si="10"/>
        <v>-0.14000000000000057</v>
      </c>
      <c r="W19" s="4">
        <f t="shared" si="11"/>
        <v>-0.14000000000000057</v>
      </c>
      <c r="X19" s="4">
        <f t="shared" si="12"/>
        <v>0.23999999999999844</v>
      </c>
      <c r="Y19" s="4">
        <f t="shared" si="13"/>
        <v>0.17999999999999972</v>
      </c>
      <c r="Z19" s="4">
        <f t="shared" si="14"/>
        <v>-0.32000000000000028</v>
      </c>
      <c r="AB19"/>
      <c r="AC19" s="4">
        <f t="shared" si="15"/>
        <v>-20.982583333333331</v>
      </c>
      <c r="AD19" s="4">
        <f t="shared" si="16"/>
        <v>-20.973166666666664</v>
      </c>
      <c r="AE19" s="4">
        <f t="shared" si="17"/>
        <v>-20.9605</v>
      </c>
      <c r="AF19" s="4">
        <f t="shared" si="18"/>
        <v>-20.976166666666668</v>
      </c>
      <c r="AG19" s="4">
        <f t="shared" si="19"/>
        <v>-20.967416666666665</v>
      </c>
      <c r="AH19" s="4">
        <f t="shared" si="20"/>
        <v>-20.961833333333331</v>
      </c>
      <c r="AI19" s="4">
        <f t="shared" si="21"/>
        <v>-20.972083333333334</v>
      </c>
      <c r="AJ19" s="4">
        <f t="shared" si="22"/>
        <v>-20.965</v>
      </c>
      <c r="AK19" s="4">
        <f t="shared" si="23"/>
        <v>-20.991499999999998</v>
      </c>
      <c r="AL19"/>
      <c r="AM19"/>
      <c r="AN19" s="4">
        <f t="shared" si="24"/>
        <v>7.4166666666677372E-3</v>
      </c>
      <c r="AO19" s="4">
        <f t="shared" si="25"/>
        <v>1.6833333333334366E-2</v>
      </c>
      <c r="AP19" s="4">
        <f t="shared" si="26"/>
        <v>2.9499999999998749E-2</v>
      </c>
      <c r="AQ19" s="4">
        <f t="shared" si="27"/>
        <v>1.38333333333307E-2</v>
      </c>
      <c r="AR19" s="4">
        <f t="shared" si="28"/>
        <v>2.25833333333334E-2</v>
      </c>
      <c r="AS19" s="4">
        <f t="shared" si="29"/>
        <v>2.8166666666667339E-2</v>
      </c>
      <c r="AT19" s="4">
        <f t="shared" si="30"/>
        <v>1.7916666666664582E-2</v>
      </c>
      <c r="AU19" s="4">
        <f t="shared" si="31"/>
        <v>2.4999999999998579E-2</v>
      </c>
      <c r="AV19" s="4">
        <f t="shared" si="32"/>
        <v>-1.5000000000000568E-3</v>
      </c>
    </row>
    <row r="20" spans="1:48" x14ac:dyDescent="0.25">
      <c r="A20" s="18">
        <v>26</v>
      </c>
      <c r="B20" s="19">
        <v>43581</v>
      </c>
      <c r="C20" s="20">
        <v>0.42684027777777778</v>
      </c>
      <c r="D20" s="18">
        <v>-21.13</v>
      </c>
      <c r="E20" s="18">
        <v>-21.13</v>
      </c>
      <c r="F20" s="18">
        <v>-21</v>
      </c>
      <c r="G20" s="18">
        <v>-21.06</v>
      </c>
      <c r="H20" s="18">
        <v>-21.19</v>
      </c>
      <c r="I20" s="18">
        <v>-21.19</v>
      </c>
      <c r="J20" s="18">
        <v>-20.81</v>
      </c>
      <c r="K20" s="18">
        <v>-20.88</v>
      </c>
      <c r="L20" s="18">
        <v>-21.31</v>
      </c>
      <c r="M20" s="18">
        <v>24.8</v>
      </c>
      <c r="N20" s="29">
        <v>-21.01</v>
      </c>
      <c r="O20" s="4">
        <f>N20-'Sonde étalon'!$C$12</f>
        <v>-21.01</v>
      </c>
      <c r="P20"/>
      <c r="R20" s="4">
        <f t="shared" si="6"/>
        <v>-0.11999999999999744</v>
      </c>
      <c r="S20" s="4">
        <f t="shared" si="7"/>
        <v>-0.11999999999999744</v>
      </c>
      <c r="T20" s="4">
        <f t="shared" si="8"/>
        <v>1.0000000000001563E-2</v>
      </c>
      <c r="U20" s="4">
        <f t="shared" si="9"/>
        <v>-4.9999999999997158E-2</v>
      </c>
      <c r="V20" s="4">
        <f t="shared" si="10"/>
        <v>-0.17999999999999972</v>
      </c>
      <c r="W20" s="4">
        <f t="shared" si="11"/>
        <v>-0.17999999999999972</v>
      </c>
      <c r="X20" s="4">
        <f t="shared" si="12"/>
        <v>0.20000000000000284</v>
      </c>
      <c r="Y20" s="4">
        <f t="shared" si="13"/>
        <v>0.13000000000000256</v>
      </c>
      <c r="Z20" s="4">
        <f t="shared" si="14"/>
        <v>-0.29999999999999716</v>
      </c>
      <c r="AB20"/>
      <c r="AC20" s="4">
        <f t="shared" si="15"/>
        <v>-21.052583333333331</v>
      </c>
      <c r="AD20" s="4">
        <f t="shared" si="16"/>
        <v>-21.043166666666664</v>
      </c>
      <c r="AE20" s="4">
        <f t="shared" si="17"/>
        <v>-21.020499999999998</v>
      </c>
      <c r="AF20" s="4">
        <f t="shared" si="18"/>
        <v>-21.036166666666666</v>
      </c>
      <c r="AG20" s="4">
        <f t="shared" si="19"/>
        <v>-21.027416666666667</v>
      </c>
      <c r="AH20" s="4">
        <f t="shared" si="20"/>
        <v>-21.021833333333333</v>
      </c>
      <c r="AI20" s="4">
        <f t="shared" si="21"/>
        <v>-21.032083333333333</v>
      </c>
      <c r="AJ20" s="4">
        <f t="shared" si="22"/>
        <v>-21.035</v>
      </c>
      <c r="AK20" s="4">
        <f t="shared" si="23"/>
        <v>-20.991499999999998</v>
      </c>
      <c r="AL20"/>
      <c r="AM20"/>
      <c r="AN20" s="4">
        <f t="shared" si="24"/>
        <v>-4.2583333333329421E-2</v>
      </c>
      <c r="AO20" s="4">
        <f t="shared" si="25"/>
        <v>-3.3166666666662792E-2</v>
      </c>
      <c r="AP20" s="4">
        <f t="shared" si="26"/>
        <v>-1.0499999999996845E-2</v>
      </c>
      <c r="AQ20" s="4">
        <f t="shared" si="27"/>
        <v>-2.6166666666664895E-2</v>
      </c>
      <c r="AR20" s="4">
        <f t="shared" si="28"/>
        <v>-1.7416666666665748E-2</v>
      </c>
      <c r="AS20" s="4">
        <f t="shared" si="29"/>
        <v>-1.1833333333331808E-2</v>
      </c>
      <c r="AT20" s="4">
        <f t="shared" si="30"/>
        <v>-2.2083333333331012E-2</v>
      </c>
      <c r="AU20" s="4">
        <f t="shared" si="31"/>
        <v>-2.4999999999998579E-2</v>
      </c>
      <c r="AV20" s="4">
        <f t="shared" si="32"/>
        <v>1.850000000000307E-2</v>
      </c>
    </row>
    <row r="21" spans="1:48" x14ac:dyDescent="0.25">
      <c r="A21" s="18">
        <v>27</v>
      </c>
      <c r="B21" s="19">
        <v>43581</v>
      </c>
      <c r="C21" s="20">
        <v>0.42753472222222227</v>
      </c>
      <c r="D21" s="18">
        <v>-21.13</v>
      </c>
      <c r="E21" s="18">
        <v>-21.13</v>
      </c>
      <c r="F21" s="18">
        <v>-21</v>
      </c>
      <c r="G21" s="18">
        <v>-21.06</v>
      </c>
      <c r="H21" s="18">
        <v>-21.19</v>
      </c>
      <c r="I21" s="18">
        <v>-21.19</v>
      </c>
      <c r="J21" s="18">
        <v>-20.81</v>
      </c>
      <c r="K21" s="18">
        <v>-20.88</v>
      </c>
      <c r="L21" s="18">
        <v>-21.38</v>
      </c>
      <c r="M21" s="18">
        <v>24.8</v>
      </c>
      <c r="N21" s="29">
        <v>-21.03</v>
      </c>
      <c r="O21" s="4">
        <f>N21-'Sonde étalon'!$C$12</f>
        <v>-21.03</v>
      </c>
      <c r="P21"/>
      <c r="R21" s="4">
        <f t="shared" si="6"/>
        <v>-9.9999999999997868E-2</v>
      </c>
      <c r="S21" s="4">
        <f t="shared" si="7"/>
        <v>-9.9999999999997868E-2</v>
      </c>
      <c r="T21" s="4">
        <f t="shared" si="8"/>
        <v>3.0000000000001137E-2</v>
      </c>
      <c r="U21" s="4">
        <f t="shared" si="9"/>
        <v>-2.9999999999997584E-2</v>
      </c>
      <c r="V21" s="4">
        <f t="shared" si="10"/>
        <v>-0.16000000000000014</v>
      </c>
      <c r="W21" s="4">
        <f t="shared" si="11"/>
        <v>-0.16000000000000014</v>
      </c>
      <c r="X21" s="4">
        <f t="shared" si="12"/>
        <v>0.22000000000000242</v>
      </c>
      <c r="Y21" s="4">
        <f t="shared" si="13"/>
        <v>0.15000000000000213</v>
      </c>
      <c r="Z21" s="4">
        <f t="shared" si="14"/>
        <v>-0.34999999999999787</v>
      </c>
      <c r="AB21"/>
      <c r="AC21" s="4">
        <f t="shared" si="15"/>
        <v>-21.052583333333331</v>
      </c>
      <c r="AD21" s="4">
        <f t="shared" si="16"/>
        <v>-21.043166666666664</v>
      </c>
      <c r="AE21" s="4">
        <f t="shared" si="17"/>
        <v>-21.020499999999998</v>
      </c>
      <c r="AF21" s="4">
        <f t="shared" si="18"/>
        <v>-21.036166666666666</v>
      </c>
      <c r="AG21" s="4">
        <f t="shared" si="19"/>
        <v>-21.027416666666667</v>
      </c>
      <c r="AH21" s="4">
        <f t="shared" si="20"/>
        <v>-21.021833333333333</v>
      </c>
      <c r="AI21" s="4">
        <f t="shared" si="21"/>
        <v>-21.032083333333333</v>
      </c>
      <c r="AJ21" s="4">
        <f t="shared" si="22"/>
        <v>-21.035</v>
      </c>
      <c r="AK21" s="4">
        <f t="shared" si="23"/>
        <v>-21.061499999999999</v>
      </c>
      <c r="AL21"/>
      <c r="AM21"/>
      <c r="AN21" s="4">
        <f t="shared" si="24"/>
        <v>-2.2583333333329847E-2</v>
      </c>
      <c r="AO21" s="4">
        <f t="shared" si="25"/>
        <v>-1.3166666666663218E-2</v>
      </c>
      <c r="AP21" s="4">
        <f t="shared" si="26"/>
        <v>9.5000000000027285E-3</v>
      </c>
      <c r="AQ21" s="4">
        <f t="shared" si="27"/>
        <v>-6.1666666666653214E-3</v>
      </c>
      <c r="AR21" s="4">
        <f t="shared" si="28"/>
        <v>2.583333333333826E-3</v>
      </c>
      <c r="AS21" s="4">
        <f t="shared" si="29"/>
        <v>8.1666666666677656E-3</v>
      </c>
      <c r="AT21" s="4">
        <f t="shared" si="30"/>
        <v>-2.0833333333314386E-3</v>
      </c>
      <c r="AU21" s="4">
        <f t="shared" si="31"/>
        <v>-4.9999999999990052E-3</v>
      </c>
      <c r="AV21" s="4">
        <f t="shared" si="32"/>
        <v>-3.1499999999997641E-2</v>
      </c>
    </row>
    <row r="22" spans="1:48" x14ac:dyDescent="0.25">
      <c r="A22" s="18">
        <v>28</v>
      </c>
      <c r="B22" s="19">
        <v>43581</v>
      </c>
      <c r="C22" s="20">
        <v>0.42822916666666666</v>
      </c>
      <c r="D22" s="18">
        <v>-21.13</v>
      </c>
      <c r="E22" s="18">
        <v>-21.13</v>
      </c>
      <c r="F22" s="18">
        <v>-21.06</v>
      </c>
      <c r="G22" s="18">
        <v>-21.06</v>
      </c>
      <c r="H22" s="18">
        <v>-21.25</v>
      </c>
      <c r="I22" s="18">
        <v>-21.25</v>
      </c>
      <c r="J22" s="18">
        <v>-20.81</v>
      </c>
      <c r="K22" s="18">
        <v>-20.88</v>
      </c>
      <c r="L22" s="18">
        <v>-21.38</v>
      </c>
      <c r="M22" s="18">
        <v>24.8</v>
      </c>
      <c r="N22" s="29">
        <v>-21.04</v>
      </c>
      <c r="O22" s="4">
        <f>N22-'Sonde étalon'!$C$12</f>
        <v>-21.04</v>
      </c>
      <c r="P22"/>
      <c r="R22" s="4">
        <f t="shared" si="6"/>
        <v>-8.9999999999999858E-2</v>
      </c>
      <c r="S22" s="4">
        <f t="shared" si="7"/>
        <v>-8.9999999999999858E-2</v>
      </c>
      <c r="T22" s="4">
        <f t="shared" si="8"/>
        <v>-1.9999999999999574E-2</v>
      </c>
      <c r="U22" s="4">
        <f t="shared" si="9"/>
        <v>-1.9999999999999574E-2</v>
      </c>
      <c r="V22" s="4">
        <f t="shared" si="10"/>
        <v>-0.21000000000000085</v>
      </c>
      <c r="W22" s="4">
        <f t="shared" si="11"/>
        <v>-0.21000000000000085</v>
      </c>
      <c r="X22" s="4">
        <f t="shared" si="12"/>
        <v>0.23000000000000043</v>
      </c>
      <c r="Y22" s="4">
        <f t="shared" si="13"/>
        <v>0.16000000000000014</v>
      </c>
      <c r="Z22" s="4">
        <f t="shared" si="14"/>
        <v>-0.33999999999999986</v>
      </c>
      <c r="AB22"/>
      <c r="AC22" s="4">
        <f t="shared" si="15"/>
        <v>-21.052583333333331</v>
      </c>
      <c r="AD22" s="4">
        <f t="shared" si="16"/>
        <v>-21.043166666666664</v>
      </c>
      <c r="AE22" s="4">
        <f t="shared" si="17"/>
        <v>-21.080499999999997</v>
      </c>
      <c r="AF22" s="4">
        <f t="shared" si="18"/>
        <v>-21.036166666666666</v>
      </c>
      <c r="AG22" s="4">
        <f t="shared" si="19"/>
        <v>-21.087416666666666</v>
      </c>
      <c r="AH22" s="4">
        <f t="shared" si="20"/>
        <v>-21.081833333333332</v>
      </c>
      <c r="AI22" s="4">
        <f t="shared" si="21"/>
        <v>-21.032083333333333</v>
      </c>
      <c r="AJ22" s="4">
        <f t="shared" si="22"/>
        <v>-21.035</v>
      </c>
      <c r="AK22" s="4">
        <f t="shared" si="23"/>
        <v>-21.061499999999999</v>
      </c>
      <c r="AL22"/>
      <c r="AM22"/>
      <c r="AN22" s="4">
        <f t="shared" si="24"/>
        <v>-1.2583333333331836E-2</v>
      </c>
      <c r="AO22" s="4">
        <f t="shared" si="25"/>
        <v>-3.1666666666652077E-3</v>
      </c>
      <c r="AP22" s="4">
        <f t="shared" si="26"/>
        <v>-4.0499999999997982E-2</v>
      </c>
      <c r="AQ22" s="4">
        <f t="shared" si="27"/>
        <v>3.8333333333326891E-3</v>
      </c>
      <c r="AR22" s="4">
        <f t="shared" si="28"/>
        <v>-4.7416666666666885E-2</v>
      </c>
      <c r="AS22" s="4">
        <f t="shared" si="29"/>
        <v>-4.1833333333332945E-2</v>
      </c>
      <c r="AT22" s="4">
        <f t="shared" si="30"/>
        <v>7.9166666666665719E-3</v>
      </c>
      <c r="AU22" s="4">
        <f t="shared" si="31"/>
        <v>4.9999999999990052E-3</v>
      </c>
      <c r="AV22" s="4">
        <f t="shared" si="32"/>
        <v>-2.1499999999999631E-2</v>
      </c>
    </row>
    <row r="23" spans="1:48" x14ac:dyDescent="0.25">
      <c r="A23" s="18">
        <v>29</v>
      </c>
      <c r="B23" s="19">
        <v>43581</v>
      </c>
      <c r="C23" s="20">
        <v>0.42892361111111116</v>
      </c>
      <c r="D23" s="18">
        <v>-21.13</v>
      </c>
      <c r="E23" s="18">
        <v>-21.13</v>
      </c>
      <c r="F23" s="18">
        <v>-21.06</v>
      </c>
      <c r="G23" s="18">
        <v>-21.13</v>
      </c>
      <c r="H23" s="18">
        <v>-21.25</v>
      </c>
      <c r="I23" s="18">
        <v>-21.25</v>
      </c>
      <c r="J23" s="18">
        <v>-20.88</v>
      </c>
      <c r="K23" s="18">
        <v>-20.94</v>
      </c>
      <c r="L23" s="18">
        <v>-21.38</v>
      </c>
      <c r="M23" s="18">
        <v>24.9</v>
      </c>
      <c r="N23" s="29">
        <v>-21.07</v>
      </c>
      <c r="O23" s="4">
        <f>N23-'Sonde étalon'!$C$12</f>
        <v>-21.07</v>
      </c>
      <c r="P23"/>
      <c r="R23" s="4">
        <f t="shared" si="6"/>
        <v>-5.9999999999998721E-2</v>
      </c>
      <c r="S23" s="4">
        <f t="shared" si="7"/>
        <v>-5.9999999999998721E-2</v>
      </c>
      <c r="T23" s="4">
        <f t="shared" si="8"/>
        <v>1.0000000000001563E-2</v>
      </c>
      <c r="U23" s="4">
        <f t="shared" si="9"/>
        <v>-5.9999999999998721E-2</v>
      </c>
      <c r="V23" s="4">
        <f t="shared" si="10"/>
        <v>-0.17999999999999972</v>
      </c>
      <c r="W23" s="4">
        <f t="shared" si="11"/>
        <v>-0.17999999999999972</v>
      </c>
      <c r="X23" s="4">
        <f t="shared" si="12"/>
        <v>0.19000000000000128</v>
      </c>
      <c r="Y23" s="4">
        <f t="shared" si="13"/>
        <v>0.12999999999999901</v>
      </c>
      <c r="Z23" s="4">
        <f t="shared" si="14"/>
        <v>-0.30999999999999872</v>
      </c>
      <c r="AB23"/>
      <c r="AC23" s="4">
        <f t="shared" si="15"/>
        <v>-21.052583333333331</v>
      </c>
      <c r="AD23" s="4">
        <f t="shared" si="16"/>
        <v>-21.043166666666664</v>
      </c>
      <c r="AE23" s="4">
        <f t="shared" si="17"/>
        <v>-21.080499999999997</v>
      </c>
      <c r="AF23" s="4">
        <f t="shared" si="18"/>
        <v>-21.106166666666667</v>
      </c>
      <c r="AG23" s="4">
        <f t="shared" si="19"/>
        <v>-21.087416666666666</v>
      </c>
      <c r="AH23" s="4">
        <f t="shared" si="20"/>
        <v>-21.081833333333332</v>
      </c>
      <c r="AI23" s="4">
        <f t="shared" si="21"/>
        <v>-21.102083333333333</v>
      </c>
      <c r="AJ23" s="4">
        <f t="shared" si="22"/>
        <v>-21.095000000000002</v>
      </c>
      <c r="AK23" s="4">
        <f t="shared" si="23"/>
        <v>-21.061499999999999</v>
      </c>
      <c r="AL23"/>
      <c r="AM23"/>
      <c r="AN23" s="4">
        <f t="shared" si="24"/>
        <v>1.74166666666693E-2</v>
      </c>
      <c r="AO23" s="4">
        <f t="shared" si="25"/>
        <v>2.6833333333335929E-2</v>
      </c>
      <c r="AP23" s="4">
        <f t="shared" si="26"/>
        <v>-1.0499999999996845E-2</v>
      </c>
      <c r="AQ23" s="4">
        <f t="shared" si="27"/>
        <v>-3.6166666666666458E-2</v>
      </c>
      <c r="AR23" s="4">
        <f t="shared" si="28"/>
        <v>-1.7416666666665748E-2</v>
      </c>
      <c r="AS23" s="4">
        <f t="shared" si="29"/>
        <v>-1.1833333333331808E-2</v>
      </c>
      <c r="AT23" s="4">
        <f t="shared" si="30"/>
        <v>-3.2083333333332575E-2</v>
      </c>
      <c r="AU23" s="4">
        <f t="shared" si="31"/>
        <v>-2.5000000000002132E-2</v>
      </c>
      <c r="AV23" s="4">
        <f t="shared" si="32"/>
        <v>8.5000000000015064E-3</v>
      </c>
    </row>
    <row r="24" spans="1:48" x14ac:dyDescent="0.25">
      <c r="A24" s="18">
        <v>30</v>
      </c>
      <c r="B24" s="19">
        <v>43581</v>
      </c>
      <c r="C24" s="20">
        <v>0.42961805555555554</v>
      </c>
      <c r="D24" s="18">
        <v>-21.19</v>
      </c>
      <c r="E24" s="18">
        <v>-21.19</v>
      </c>
      <c r="F24" s="18">
        <v>-21.06</v>
      </c>
      <c r="G24" s="18">
        <v>-21.13</v>
      </c>
      <c r="H24" s="18">
        <v>-21.25</v>
      </c>
      <c r="I24" s="18">
        <v>-21.25</v>
      </c>
      <c r="J24" s="18">
        <v>-20.88</v>
      </c>
      <c r="K24" s="18">
        <v>-20.94</v>
      </c>
      <c r="L24" s="18">
        <v>-21.38</v>
      </c>
      <c r="M24" s="18">
        <v>24.8</v>
      </c>
      <c r="N24" s="29">
        <v>-21.08</v>
      </c>
      <c r="O24" s="4">
        <f>N24-'Sonde étalon'!$C$12</f>
        <v>-21.08</v>
      </c>
      <c r="P24"/>
      <c r="R24" s="4">
        <f t="shared" si="6"/>
        <v>-0.11000000000000298</v>
      </c>
      <c r="S24" s="4">
        <f t="shared" si="7"/>
        <v>-0.11000000000000298</v>
      </c>
      <c r="T24" s="4">
        <f t="shared" si="8"/>
        <v>1.9999999999999574E-2</v>
      </c>
      <c r="U24" s="4">
        <f t="shared" si="9"/>
        <v>-5.0000000000000711E-2</v>
      </c>
      <c r="V24" s="4">
        <f t="shared" si="10"/>
        <v>-0.17000000000000171</v>
      </c>
      <c r="W24" s="4">
        <f t="shared" si="11"/>
        <v>-0.17000000000000171</v>
      </c>
      <c r="X24" s="4">
        <f t="shared" si="12"/>
        <v>0.19999999999999929</v>
      </c>
      <c r="Y24" s="4">
        <f t="shared" si="13"/>
        <v>0.13999999999999702</v>
      </c>
      <c r="Z24" s="4">
        <f t="shared" si="14"/>
        <v>-0.30000000000000071</v>
      </c>
      <c r="AB24"/>
      <c r="AC24" s="4">
        <f t="shared" si="15"/>
        <v>-21.112583333333333</v>
      </c>
      <c r="AD24" s="4">
        <f t="shared" si="16"/>
        <v>-21.103166666666667</v>
      </c>
      <c r="AE24" s="4">
        <f t="shared" si="17"/>
        <v>-21.080499999999997</v>
      </c>
      <c r="AF24" s="4">
        <f t="shared" si="18"/>
        <v>-21.106166666666667</v>
      </c>
      <c r="AG24" s="4">
        <f t="shared" si="19"/>
        <v>-21.087416666666666</v>
      </c>
      <c r="AH24" s="4">
        <f t="shared" si="20"/>
        <v>-21.081833333333332</v>
      </c>
      <c r="AI24" s="4">
        <f t="shared" si="21"/>
        <v>-21.102083333333333</v>
      </c>
      <c r="AJ24" s="4">
        <f t="shared" si="22"/>
        <v>-21.095000000000002</v>
      </c>
      <c r="AK24" s="4">
        <f t="shared" si="23"/>
        <v>-21.061499999999999</v>
      </c>
      <c r="AL24"/>
      <c r="AM24"/>
      <c r="AN24" s="4">
        <f t="shared" si="24"/>
        <v>-3.2583333333334963E-2</v>
      </c>
      <c r="AO24" s="4">
        <f t="shared" si="25"/>
        <v>-2.3166666666668334E-2</v>
      </c>
      <c r="AP24" s="4">
        <f t="shared" si="26"/>
        <v>-4.9999999999883471E-4</v>
      </c>
      <c r="AQ24" s="4">
        <f t="shared" si="27"/>
        <v>-2.6166666666668448E-2</v>
      </c>
      <c r="AR24" s="4">
        <f t="shared" si="28"/>
        <v>-7.4166666666677372E-3</v>
      </c>
      <c r="AS24" s="4">
        <f t="shared" si="29"/>
        <v>-1.8333333333337976E-3</v>
      </c>
      <c r="AT24" s="4">
        <f t="shared" si="30"/>
        <v>-2.2083333333334565E-2</v>
      </c>
      <c r="AU24" s="4">
        <f t="shared" si="31"/>
        <v>-1.5000000000004121E-2</v>
      </c>
      <c r="AV24" s="4">
        <f t="shared" si="32"/>
        <v>1.8499999999999517E-2</v>
      </c>
    </row>
    <row r="25" spans="1:48" x14ac:dyDescent="0.25">
      <c r="A25" s="18">
        <v>31</v>
      </c>
      <c r="B25" s="19">
        <v>43581</v>
      </c>
      <c r="C25" s="20">
        <v>0.43031250000000004</v>
      </c>
      <c r="D25" s="18">
        <v>-21.19</v>
      </c>
      <c r="E25" s="18">
        <v>-21.19</v>
      </c>
      <c r="F25" s="18">
        <v>-21.06</v>
      </c>
      <c r="G25" s="18">
        <v>-21.13</v>
      </c>
      <c r="H25" s="18">
        <v>-21.25</v>
      </c>
      <c r="I25" s="18">
        <v>-21.31</v>
      </c>
      <c r="J25" s="18">
        <v>-20.88</v>
      </c>
      <c r="K25" s="18">
        <v>-20.94</v>
      </c>
      <c r="L25" s="18">
        <v>-21.44</v>
      </c>
      <c r="M25" s="18">
        <v>24.9</v>
      </c>
      <c r="N25" s="29">
        <v>-21.09</v>
      </c>
      <c r="O25" s="4">
        <f>N25-'Sonde étalon'!$C$12</f>
        <v>-21.09</v>
      </c>
      <c r="P25"/>
      <c r="R25" s="4">
        <f t="shared" si="6"/>
        <v>-0.10000000000000142</v>
      </c>
      <c r="S25" s="4">
        <f t="shared" si="7"/>
        <v>-0.10000000000000142</v>
      </c>
      <c r="T25" s="4">
        <f t="shared" si="8"/>
        <v>3.0000000000001137E-2</v>
      </c>
      <c r="U25" s="4">
        <f t="shared" si="9"/>
        <v>-3.9999999999999147E-2</v>
      </c>
      <c r="V25" s="4">
        <f t="shared" si="10"/>
        <v>-0.16000000000000014</v>
      </c>
      <c r="W25" s="4">
        <f t="shared" si="11"/>
        <v>-0.21999999999999886</v>
      </c>
      <c r="X25" s="4">
        <f t="shared" si="12"/>
        <v>0.21000000000000085</v>
      </c>
      <c r="Y25" s="4">
        <f t="shared" si="13"/>
        <v>0.14999999999999858</v>
      </c>
      <c r="Z25" s="4">
        <f t="shared" si="14"/>
        <v>-0.35000000000000142</v>
      </c>
      <c r="AB25"/>
      <c r="AC25" s="4">
        <f t="shared" si="15"/>
        <v>-21.112583333333333</v>
      </c>
      <c r="AD25" s="4">
        <f t="shared" si="16"/>
        <v>-21.103166666666667</v>
      </c>
      <c r="AE25" s="4">
        <f t="shared" si="17"/>
        <v>-21.080499999999997</v>
      </c>
      <c r="AF25" s="4">
        <f t="shared" si="18"/>
        <v>-21.106166666666667</v>
      </c>
      <c r="AG25" s="4">
        <f t="shared" si="19"/>
        <v>-21.087416666666666</v>
      </c>
      <c r="AH25" s="4">
        <f t="shared" si="20"/>
        <v>-21.141833333333331</v>
      </c>
      <c r="AI25" s="4">
        <f t="shared" si="21"/>
        <v>-21.102083333333333</v>
      </c>
      <c r="AJ25" s="4">
        <f t="shared" si="22"/>
        <v>-21.095000000000002</v>
      </c>
      <c r="AK25" s="4">
        <f t="shared" si="23"/>
        <v>-21.121500000000001</v>
      </c>
      <c r="AL25"/>
      <c r="AM25"/>
      <c r="AN25" s="4">
        <f t="shared" si="24"/>
        <v>-2.25833333333334E-2</v>
      </c>
      <c r="AO25" s="4">
        <f t="shared" si="25"/>
        <v>-1.3166666666666771E-2</v>
      </c>
      <c r="AP25" s="4">
        <f t="shared" si="26"/>
        <v>9.5000000000027285E-3</v>
      </c>
      <c r="AQ25" s="4">
        <f t="shared" si="27"/>
        <v>-1.6166666666666885E-2</v>
      </c>
      <c r="AR25" s="4">
        <f t="shared" si="28"/>
        <v>2.583333333333826E-3</v>
      </c>
      <c r="AS25" s="4">
        <f t="shared" si="29"/>
        <v>-5.1833333333330955E-2</v>
      </c>
      <c r="AT25" s="4">
        <f t="shared" si="30"/>
        <v>-1.2083333333333002E-2</v>
      </c>
      <c r="AU25" s="4">
        <f t="shared" si="31"/>
        <v>-5.000000000002558E-3</v>
      </c>
      <c r="AV25" s="4">
        <f t="shared" si="32"/>
        <v>-3.1500000000001194E-2</v>
      </c>
    </row>
    <row r="26" spans="1:48" x14ac:dyDescent="0.25">
      <c r="A26" s="18">
        <v>32</v>
      </c>
      <c r="B26" s="19">
        <v>43581</v>
      </c>
      <c r="C26" s="20">
        <v>0.43100694444444443</v>
      </c>
      <c r="D26" s="18">
        <v>-21.19</v>
      </c>
      <c r="E26" s="18">
        <v>-21.19</v>
      </c>
      <c r="F26" s="18">
        <v>-21.06</v>
      </c>
      <c r="G26" s="18">
        <v>-21.13</v>
      </c>
      <c r="H26" s="18">
        <v>-21.25</v>
      </c>
      <c r="I26" s="18">
        <v>-21.31</v>
      </c>
      <c r="J26" s="18">
        <v>-20.88</v>
      </c>
      <c r="K26" s="18">
        <v>-20.94</v>
      </c>
      <c r="L26" s="18">
        <v>-21.44</v>
      </c>
      <c r="M26" s="18">
        <v>24.9</v>
      </c>
      <c r="N26" s="29">
        <v>-21.11</v>
      </c>
      <c r="O26" s="4">
        <f>N26-'Sonde étalon'!$C$12</f>
        <v>-21.11</v>
      </c>
      <c r="P26"/>
      <c r="R26" s="4">
        <f t="shared" si="6"/>
        <v>-8.0000000000001847E-2</v>
      </c>
      <c r="S26" s="4">
        <f t="shared" si="7"/>
        <v>-8.0000000000001847E-2</v>
      </c>
      <c r="T26" s="4">
        <f t="shared" si="8"/>
        <v>5.0000000000000711E-2</v>
      </c>
      <c r="U26" s="4">
        <f t="shared" si="9"/>
        <v>-1.9999999999999574E-2</v>
      </c>
      <c r="V26" s="4">
        <f t="shared" si="10"/>
        <v>-0.14000000000000057</v>
      </c>
      <c r="W26" s="4">
        <f t="shared" si="11"/>
        <v>-0.19999999999999929</v>
      </c>
      <c r="X26" s="4">
        <f t="shared" si="12"/>
        <v>0.23000000000000043</v>
      </c>
      <c r="Y26" s="4">
        <f t="shared" si="13"/>
        <v>0.16999999999999815</v>
      </c>
      <c r="Z26" s="4">
        <f t="shared" si="14"/>
        <v>-0.33000000000000185</v>
      </c>
      <c r="AB26"/>
      <c r="AC26" s="4">
        <f t="shared" si="15"/>
        <v>-21.112583333333333</v>
      </c>
      <c r="AD26" s="4">
        <f t="shared" si="16"/>
        <v>-21.103166666666667</v>
      </c>
      <c r="AE26" s="4">
        <f t="shared" si="17"/>
        <v>-21.080499999999997</v>
      </c>
      <c r="AF26" s="4">
        <f t="shared" si="18"/>
        <v>-21.106166666666667</v>
      </c>
      <c r="AG26" s="4">
        <f t="shared" si="19"/>
        <v>-21.087416666666666</v>
      </c>
      <c r="AH26" s="4">
        <f t="shared" si="20"/>
        <v>-21.141833333333331</v>
      </c>
      <c r="AI26" s="4">
        <f t="shared" si="21"/>
        <v>-21.102083333333333</v>
      </c>
      <c r="AJ26" s="4">
        <f t="shared" si="22"/>
        <v>-21.095000000000002</v>
      </c>
      <c r="AK26" s="4">
        <f t="shared" si="23"/>
        <v>-21.121500000000001</v>
      </c>
      <c r="AL26"/>
      <c r="AM26"/>
      <c r="AN26" s="4">
        <f t="shared" si="24"/>
        <v>-2.583333333333826E-3</v>
      </c>
      <c r="AO26" s="4">
        <f t="shared" si="25"/>
        <v>6.8333333333328028E-3</v>
      </c>
      <c r="AP26" s="4">
        <f t="shared" si="26"/>
        <v>2.9500000000002302E-2</v>
      </c>
      <c r="AQ26" s="4">
        <f t="shared" si="27"/>
        <v>3.8333333333326891E-3</v>
      </c>
      <c r="AR26" s="4">
        <f t="shared" si="28"/>
        <v>2.25833333333334E-2</v>
      </c>
      <c r="AS26" s="4">
        <f t="shared" si="29"/>
        <v>-3.1833333333331382E-2</v>
      </c>
      <c r="AT26" s="4">
        <f t="shared" si="30"/>
        <v>7.9166666666665719E-3</v>
      </c>
      <c r="AU26" s="4">
        <f t="shared" si="31"/>
        <v>1.4999999999997016E-2</v>
      </c>
      <c r="AV26" s="4">
        <f t="shared" si="32"/>
        <v>-1.150000000000162E-2</v>
      </c>
    </row>
    <row r="27" spans="1:48" x14ac:dyDescent="0.25">
      <c r="A27" s="18">
        <v>33</v>
      </c>
      <c r="B27" s="19">
        <v>43581</v>
      </c>
      <c r="C27" s="20">
        <v>0.43170138888888893</v>
      </c>
      <c r="D27" s="18">
        <v>-21.19</v>
      </c>
      <c r="E27" s="18">
        <v>-21.19</v>
      </c>
      <c r="F27" s="18">
        <v>-21.13</v>
      </c>
      <c r="G27" s="18">
        <v>-21.13</v>
      </c>
      <c r="H27" s="18">
        <v>-21.31</v>
      </c>
      <c r="I27" s="18">
        <v>-21.31</v>
      </c>
      <c r="J27" s="18">
        <v>-20.88</v>
      </c>
      <c r="K27" s="18">
        <v>-21</v>
      </c>
      <c r="L27" s="18">
        <v>-21.44</v>
      </c>
      <c r="M27" s="18">
        <v>24.9</v>
      </c>
      <c r="N27" s="29">
        <v>-21.11</v>
      </c>
      <c r="O27" s="4">
        <f>N27-'Sonde étalon'!$C$12</f>
        <v>-21.11</v>
      </c>
      <c r="P27"/>
      <c r="R27" s="4">
        <f t="shared" si="6"/>
        <v>-8.0000000000001847E-2</v>
      </c>
      <c r="S27" s="4">
        <f t="shared" si="7"/>
        <v>-8.0000000000001847E-2</v>
      </c>
      <c r="T27" s="4">
        <f t="shared" si="8"/>
        <v>-1.9999999999999574E-2</v>
      </c>
      <c r="U27" s="4">
        <f t="shared" si="9"/>
        <v>-1.9999999999999574E-2</v>
      </c>
      <c r="V27" s="4">
        <f t="shared" si="10"/>
        <v>-0.19999999999999929</v>
      </c>
      <c r="W27" s="4">
        <f t="shared" si="11"/>
        <v>-0.19999999999999929</v>
      </c>
      <c r="X27" s="4">
        <f t="shared" si="12"/>
        <v>0.23000000000000043</v>
      </c>
      <c r="Y27" s="4">
        <f t="shared" si="13"/>
        <v>0.10999999999999943</v>
      </c>
      <c r="Z27" s="4">
        <f t="shared" si="14"/>
        <v>-0.33000000000000185</v>
      </c>
      <c r="AB27"/>
      <c r="AC27" s="4">
        <f t="shared" si="15"/>
        <v>-21.112583333333333</v>
      </c>
      <c r="AD27" s="4">
        <f t="shared" si="16"/>
        <v>-21.103166666666667</v>
      </c>
      <c r="AE27" s="4">
        <f t="shared" si="17"/>
        <v>-21.150499999999997</v>
      </c>
      <c r="AF27" s="4">
        <f t="shared" si="18"/>
        <v>-21.106166666666667</v>
      </c>
      <c r="AG27" s="4">
        <f t="shared" si="19"/>
        <v>-21.147416666666665</v>
      </c>
      <c r="AH27" s="4">
        <f t="shared" si="20"/>
        <v>-21.141833333333331</v>
      </c>
      <c r="AI27" s="4">
        <f t="shared" si="21"/>
        <v>-21.102083333333333</v>
      </c>
      <c r="AJ27" s="4">
        <f t="shared" si="22"/>
        <v>-21.155000000000001</v>
      </c>
      <c r="AK27" s="4">
        <f t="shared" si="23"/>
        <v>-21.121500000000001</v>
      </c>
      <c r="AL27"/>
      <c r="AM27"/>
      <c r="AN27" s="4">
        <f t="shared" si="24"/>
        <v>-2.583333333333826E-3</v>
      </c>
      <c r="AO27" s="4">
        <f t="shared" si="25"/>
        <v>6.8333333333328028E-3</v>
      </c>
      <c r="AP27" s="4">
        <f t="shared" si="26"/>
        <v>-4.0499999999997982E-2</v>
      </c>
      <c r="AQ27" s="4">
        <f t="shared" si="27"/>
        <v>3.8333333333326891E-3</v>
      </c>
      <c r="AR27" s="4">
        <f t="shared" si="28"/>
        <v>-3.7416666666665321E-2</v>
      </c>
      <c r="AS27" s="4">
        <f t="shared" si="29"/>
        <v>-3.1833333333331382E-2</v>
      </c>
      <c r="AT27" s="4">
        <f t="shared" si="30"/>
        <v>7.9166666666665719E-3</v>
      </c>
      <c r="AU27" s="4">
        <f t="shared" si="31"/>
        <v>-4.5000000000001705E-2</v>
      </c>
      <c r="AV27" s="4">
        <f t="shared" si="32"/>
        <v>-1.150000000000162E-2</v>
      </c>
    </row>
    <row r="28" spans="1:48" x14ac:dyDescent="0.25">
      <c r="A28" s="18">
        <v>34</v>
      </c>
      <c r="B28" s="19">
        <v>43581</v>
      </c>
      <c r="C28" s="20">
        <v>0.43239583333333331</v>
      </c>
      <c r="D28" s="18">
        <v>-21.19</v>
      </c>
      <c r="E28" s="18">
        <v>-21.19</v>
      </c>
      <c r="F28" s="18">
        <v>-21.13</v>
      </c>
      <c r="G28" s="18">
        <v>-21.13</v>
      </c>
      <c r="H28" s="18">
        <v>-21.31</v>
      </c>
      <c r="I28" s="18">
        <v>-21.31</v>
      </c>
      <c r="J28" s="18">
        <v>-20.88</v>
      </c>
      <c r="K28" s="18">
        <v>-21</v>
      </c>
      <c r="L28" s="18">
        <v>-21.44</v>
      </c>
      <c r="M28" s="18">
        <v>24.9</v>
      </c>
      <c r="N28" s="29">
        <v>-21.13</v>
      </c>
      <c r="O28" s="4">
        <f>N28-'Sonde étalon'!$C$12</f>
        <v>-21.13</v>
      </c>
      <c r="P28"/>
      <c r="R28" s="4">
        <f t="shared" si="6"/>
        <v>-6.0000000000002274E-2</v>
      </c>
      <c r="S28" s="4">
        <f t="shared" si="7"/>
        <v>-6.0000000000002274E-2</v>
      </c>
      <c r="T28" s="4">
        <f t="shared" si="8"/>
        <v>0</v>
      </c>
      <c r="U28" s="4">
        <f t="shared" si="9"/>
        <v>0</v>
      </c>
      <c r="V28" s="4">
        <f t="shared" si="10"/>
        <v>-0.17999999999999972</v>
      </c>
      <c r="W28" s="4">
        <f t="shared" si="11"/>
        <v>-0.17999999999999972</v>
      </c>
      <c r="X28" s="4">
        <f t="shared" si="12"/>
        <v>0.25</v>
      </c>
      <c r="Y28" s="4">
        <f t="shared" si="13"/>
        <v>0.12999999999999901</v>
      </c>
      <c r="Z28" s="4">
        <f t="shared" si="14"/>
        <v>-0.31000000000000227</v>
      </c>
      <c r="AB28"/>
      <c r="AC28" s="4">
        <f t="shared" si="15"/>
        <v>-21.112583333333333</v>
      </c>
      <c r="AD28" s="4">
        <f t="shared" si="16"/>
        <v>-21.103166666666667</v>
      </c>
      <c r="AE28" s="4">
        <f t="shared" si="17"/>
        <v>-21.150499999999997</v>
      </c>
      <c r="AF28" s="4">
        <f t="shared" si="18"/>
        <v>-21.106166666666667</v>
      </c>
      <c r="AG28" s="4">
        <f t="shared" si="19"/>
        <v>-21.147416666666665</v>
      </c>
      <c r="AH28" s="4">
        <f t="shared" si="20"/>
        <v>-21.141833333333331</v>
      </c>
      <c r="AI28" s="4">
        <f t="shared" si="21"/>
        <v>-21.102083333333333</v>
      </c>
      <c r="AJ28" s="4">
        <f t="shared" si="22"/>
        <v>-21.155000000000001</v>
      </c>
      <c r="AK28" s="4">
        <f t="shared" si="23"/>
        <v>-21.121500000000001</v>
      </c>
      <c r="AL28"/>
      <c r="AM28"/>
      <c r="AN28" s="4">
        <f t="shared" si="24"/>
        <v>1.7416666666665748E-2</v>
      </c>
      <c r="AO28" s="4">
        <f t="shared" si="25"/>
        <v>2.6833333333332376E-2</v>
      </c>
      <c r="AP28" s="4">
        <f t="shared" si="26"/>
        <v>-2.0499999999998408E-2</v>
      </c>
      <c r="AQ28" s="4">
        <f t="shared" si="27"/>
        <v>2.3833333333332263E-2</v>
      </c>
      <c r="AR28" s="4">
        <f t="shared" si="28"/>
        <v>-1.7416666666665748E-2</v>
      </c>
      <c r="AS28" s="4">
        <f t="shared" si="29"/>
        <v>-1.1833333333331808E-2</v>
      </c>
      <c r="AT28" s="4">
        <f t="shared" si="30"/>
        <v>2.7916666666666146E-2</v>
      </c>
      <c r="AU28" s="4">
        <f t="shared" si="31"/>
        <v>-2.5000000000002132E-2</v>
      </c>
      <c r="AV28" s="4">
        <f t="shared" si="32"/>
        <v>8.4999999999979536E-3</v>
      </c>
    </row>
    <row r="29" spans="1:48" x14ac:dyDescent="0.25">
      <c r="A29" s="18">
        <v>35</v>
      </c>
      <c r="B29" s="19">
        <v>43581</v>
      </c>
      <c r="C29" s="20">
        <v>0.43309027777777781</v>
      </c>
      <c r="D29" s="18">
        <v>-21.25</v>
      </c>
      <c r="E29" s="18">
        <v>-21.25</v>
      </c>
      <c r="F29" s="18">
        <v>-21.13</v>
      </c>
      <c r="G29" s="18">
        <v>-21.19</v>
      </c>
      <c r="H29" s="18">
        <v>-21.31</v>
      </c>
      <c r="I29" s="18">
        <v>-21.31</v>
      </c>
      <c r="J29" s="18">
        <v>-20.94</v>
      </c>
      <c r="K29" s="18">
        <v>-21</v>
      </c>
      <c r="L29" s="18">
        <v>-21.44</v>
      </c>
      <c r="M29" s="18">
        <v>24.9</v>
      </c>
      <c r="N29" s="29">
        <v>-21.13</v>
      </c>
      <c r="O29" s="4">
        <f>N29-'Sonde étalon'!$C$12</f>
        <v>-21.13</v>
      </c>
      <c r="P29"/>
      <c r="R29" s="4">
        <f t="shared" si="6"/>
        <v>-0.12000000000000099</v>
      </c>
      <c r="S29" s="4">
        <f t="shared" si="7"/>
        <v>-0.12000000000000099</v>
      </c>
      <c r="T29" s="4">
        <f t="shared" si="8"/>
        <v>0</v>
      </c>
      <c r="U29" s="4">
        <f t="shared" si="9"/>
        <v>-6.0000000000002274E-2</v>
      </c>
      <c r="V29" s="4">
        <f t="shared" si="10"/>
        <v>-0.17999999999999972</v>
      </c>
      <c r="W29" s="4">
        <f t="shared" si="11"/>
        <v>-0.17999999999999972</v>
      </c>
      <c r="X29" s="4">
        <f t="shared" si="12"/>
        <v>0.18999999999999773</v>
      </c>
      <c r="Y29" s="4">
        <f t="shared" si="13"/>
        <v>0.12999999999999901</v>
      </c>
      <c r="Z29" s="4">
        <f t="shared" si="14"/>
        <v>-0.31000000000000227</v>
      </c>
      <c r="AB29"/>
      <c r="AC29" s="4">
        <f t="shared" si="15"/>
        <v>-21.172583333333336</v>
      </c>
      <c r="AD29" s="4">
        <f t="shared" si="16"/>
        <v>-21.163166666666665</v>
      </c>
      <c r="AE29" s="4">
        <f t="shared" si="17"/>
        <v>-21.150499999999997</v>
      </c>
      <c r="AF29" s="4">
        <f t="shared" si="18"/>
        <v>-21.166166666666669</v>
      </c>
      <c r="AG29" s="4">
        <f t="shared" si="19"/>
        <v>-21.147416666666665</v>
      </c>
      <c r="AH29" s="4">
        <f t="shared" si="20"/>
        <v>-21.141833333333331</v>
      </c>
      <c r="AI29" s="4">
        <f t="shared" si="21"/>
        <v>-21.162083333333335</v>
      </c>
      <c r="AJ29" s="4">
        <f t="shared" si="22"/>
        <v>-21.155000000000001</v>
      </c>
      <c r="AK29" s="4">
        <f t="shared" si="23"/>
        <v>-21.121500000000001</v>
      </c>
      <c r="AL29"/>
      <c r="AM29"/>
      <c r="AN29" s="4">
        <f t="shared" si="24"/>
        <v>-4.2583333333336526E-2</v>
      </c>
      <c r="AO29" s="4">
        <f t="shared" si="25"/>
        <v>-3.3166666666666345E-2</v>
      </c>
      <c r="AP29" s="4">
        <f t="shared" si="26"/>
        <v>-2.0499999999998408E-2</v>
      </c>
      <c r="AQ29" s="4">
        <f t="shared" si="27"/>
        <v>-3.6166666666670011E-2</v>
      </c>
      <c r="AR29" s="4">
        <f t="shared" si="28"/>
        <v>-1.7416666666665748E-2</v>
      </c>
      <c r="AS29" s="4">
        <f t="shared" si="29"/>
        <v>-1.1833333333331808E-2</v>
      </c>
      <c r="AT29" s="4">
        <f t="shared" si="30"/>
        <v>-3.2083333333336128E-2</v>
      </c>
      <c r="AU29" s="4">
        <f t="shared" si="31"/>
        <v>-2.5000000000002132E-2</v>
      </c>
      <c r="AV29" s="4">
        <f t="shared" si="32"/>
        <v>8.4999999999979536E-3</v>
      </c>
    </row>
    <row r="30" spans="1:48" x14ac:dyDescent="0.25">
      <c r="A30" s="18">
        <v>36</v>
      </c>
      <c r="B30" s="19">
        <v>43581</v>
      </c>
      <c r="C30" s="20">
        <v>0.4337847222222222</v>
      </c>
      <c r="D30" s="18">
        <v>-21.25</v>
      </c>
      <c r="E30" s="18">
        <v>-21.25</v>
      </c>
      <c r="F30" s="18">
        <v>-21.13</v>
      </c>
      <c r="G30" s="18">
        <v>-21.19</v>
      </c>
      <c r="H30" s="18">
        <v>-21.31</v>
      </c>
      <c r="I30" s="18">
        <v>-21.31</v>
      </c>
      <c r="J30" s="18">
        <v>-20.94</v>
      </c>
      <c r="K30" s="18">
        <v>-21</v>
      </c>
      <c r="L30" s="18">
        <v>-21.5</v>
      </c>
      <c r="M30" s="18">
        <v>24.9</v>
      </c>
      <c r="N30" s="29">
        <v>-21.15</v>
      </c>
      <c r="O30" s="4">
        <f>N30-'Sonde étalon'!$C$12</f>
        <v>-21.15</v>
      </c>
      <c r="P30"/>
      <c r="R30" s="4">
        <f t="shared" si="6"/>
        <v>-0.10000000000000142</v>
      </c>
      <c r="S30" s="4">
        <f t="shared" si="7"/>
        <v>-0.10000000000000142</v>
      </c>
      <c r="T30" s="4">
        <f t="shared" si="8"/>
        <v>1.9999999999999574E-2</v>
      </c>
      <c r="U30" s="4">
        <f t="shared" si="9"/>
        <v>-4.00000000000027E-2</v>
      </c>
      <c r="V30" s="4">
        <f t="shared" si="10"/>
        <v>-0.16000000000000014</v>
      </c>
      <c r="W30" s="4">
        <f t="shared" si="11"/>
        <v>-0.16000000000000014</v>
      </c>
      <c r="X30" s="4">
        <f t="shared" si="12"/>
        <v>0.2099999999999973</v>
      </c>
      <c r="Y30" s="4">
        <f t="shared" si="13"/>
        <v>0.14999999999999858</v>
      </c>
      <c r="Z30" s="4">
        <f t="shared" si="14"/>
        <v>-0.35000000000000142</v>
      </c>
      <c r="AB30"/>
      <c r="AC30" s="4">
        <f t="shared" si="15"/>
        <v>-21.172583333333336</v>
      </c>
      <c r="AD30" s="4">
        <f t="shared" si="16"/>
        <v>-21.163166666666665</v>
      </c>
      <c r="AE30" s="4">
        <f t="shared" si="17"/>
        <v>-21.150499999999997</v>
      </c>
      <c r="AF30" s="4">
        <f t="shared" si="18"/>
        <v>-21.166166666666669</v>
      </c>
      <c r="AG30" s="4">
        <f t="shared" si="19"/>
        <v>-21.147416666666665</v>
      </c>
      <c r="AH30" s="4">
        <f t="shared" si="20"/>
        <v>-21.141833333333331</v>
      </c>
      <c r="AI30" s="4">
        <f t="shared" si="21"/>
        <v>-21.162083333333335</v>
      </c>
      <c r="AJ30" s="4">
        <f t="shared" si="22"/>
        <v>-21.155000000000001</v>
      </c>
      <c r="AK30" s="4">
        <f t="shared" si="23"/>
        <v>-21.1815</v>
      </c>
      <c r="AL30"/>
      <c r="AM30"/>
      <c r="AN30" s="4">
        <f t="shared" si="24"/>
        <v>-2.2583333333336952E-2</v>
      </c>
      <c r="AO30" s="4">
        <f t="shared" si="25"/>
        <v>-1.3166666666666771E-2</v>
      </c>
      <c r="AP30" s="4">
        <f t="shared" si="26"/>
        <v>-4.9999999999883471E-4</v>
      </c>
      <c r="AQ30" s="4">
        <f t="shared" si="27"/>
        <v>-1.6166666666670437E-2</v>
      </c>
      <c r="AR30" s="4">
        <f t="shared" si="28"/>
        <v>2.583333333333826E-3</v>
      </c>
      <c r="AS30" s="4">
        <f t="shared" si="29"/>
        <v>8.1666666666677656E-3</v>
      </c>
      <c r="AT30" s="4">
        <f t="shared" si="30"/>
        <v>-1.2083333333336554E-2</v>
      </c>
      <c r="AU30" s="4">
        <f t="shared" si="31"/>
        <v>-5.000000000002558E-3</v>
      </c>
      <c r="AV30" s="4">
        <f t="shared" si="32"/>
        <v>-3.1500000000001194E-2</v>
      </c>
    </row>
    <row r="31" spans="1:48" x14ac:dyDescent="0.25">
      <c r="A31" s="18">
        <v>37</v>
      </c>
      <c r="B31" s="19">
        <v>43581</v>
      </c>
      <c r="C31" s="20">
        <v>0.43447916666666669</v>
      </c>
      <c r="D31" s="18">
        <v>-21.25</v>
      </c>
      <c r="E31" s="18">
        <v>-21.25</v>
      </c>
      <c r="F31" s="18">
        <v>-21.13</v>
      </c>
      <c r="G31" s="18">
        <v>-21.19</v>
      </c>
      <c r="H31" s="18">
        <v>-21.31</v>
      </c>
      <c r="I31" s="18">
        <v>-21.38</v>
      </c>
      <c r="J31" s="18">
        <v>-20.94</v>
      </c>
      <c r="K31" s="18">
        <v>-21</v>
      </c>
      <c r="L31" s="18">
        <v>-21.5</v>
      </c>
      <c r="M31" s="18">
        <v>24.9</v>
      </c>
      <c r="N31" s="29">
        <v>-21.16</v>
      </c>
      <c r="O31" s="4">
        <f>N31-'Sonde étalon'!$C$12</f>
        <v>-21.16</v>
      </c>
      <c r="P31"/>
      <c r="R31" s="4">
        <f t="shared" si="6"/>
        <v>-8.9999999999999858E-2</v>
      </c>
      <c r="S31" s="4">
        <f t="shared" si="7"/>
        <v>-8.9999999999999858E-2</v>
      </c>
      <c r="T31" s="4">
        <f t="shared" si="8"/>
        <v>3.0000000000001137E-2</v>
      </c>
      <c r="U31" s="4">
        <f t="shared" si="9"/>
        <v>-3.0000000000001137E-2</v>
      </c>
      <c r="V31" s="4">
        <f t="shared" si="10"/>
        <v>-0.14999999999999858</v>
      </c>
      <c r="W31" s="4">
        <f t="shared" si="11"/>
        <v>-0.21999999999999886</v>
      </c>
      <c r="X31" s="4">
        <f t="shared" si="12"/>
        <v>0.21999999999999886</v>
      </c>
      <c r="Y31" s="4">
        <f t="shared" si="13"/>
        <v>0.16000000000000014</v>
      </c>
      <c r="Z31" s="4">
        <f t="shared" si="14"/>
        <v>-0.33999999999999986</v>
      </c>
      <c r="AB31"/>
      <c r="AC31" s="4">
        <f t="shared" si="15"/>
        <v>-21.172583333333336</v>
      </c>
      <c r="AD31" s="4">
        <f t="shared" si="16"/>
        <v>-21.163166666666665</v>
      </c>
      <c r="AE31" s="4">
        <f t="shared" si="17"/>
        <v>-21.150499999999997</v>
      </c>
      <c r="AF31" s="4">
        <f t="shared" si="18"/>
        <v>-21.166166666666669</v>
      </c>
      <c r="AG31" s="4">
        <f t="shared" si="19"/>
        <v>-21.147416666666665</v>
      </c>
      <c r="AH31" s="4">
        <f t="shared" si="20"/>
        <v>-21.211833333333331</v>
      </c>
      <c r="AI31" s="4">
        <f t="shared" si="21"/>
        <v>-21.162083333333335</v>
      </c>
      <c r="AJ31" s="4">
        <f t="shared" si="22"/>
        <v>-21.155000000000001</v>
      </c>
      <c r="AK31" s="4">
        <f t="shared" si="23"/>
        <v>-21.1815</v>
      </c>
      <c r="AL31"/>
      <c r="AM31"/>
      <c r="AN31" s="4">
        <f t="shared" si="24"/>
        <v>-1.2583333333335389E-2</v>
      </c>
      <c r="AO31" s="4">
        <f t="shared" si="25"/>
        <v>-3.1666666666652077E-3</v>
      </c>
      <c r="AP31" s="4">
        <f t="shared" si="26"/>
        <v>9.5000000000027285E-3</v>
      </c>
      <c r="AQ31" s="4">
        <f t="shared" si="27"/>
        <v>-6.1666666666688741E-3</v>
      </c>
      <c r="AR31" s="4">
        <f t="shared" si="28"/>
        <v>1.2583333333335389E-2</v>
      </c>
      <c r="AS31" s="4">
        <f t="shared" si="29"/>
        <v>-5.1833333333330955E-2</v>
      </c>
      <c r="AT31" s="4">
        <f t="shared" si="30"/>
        <v>-2.0833333333349913E-3</v>
      </c>
      <c r="AU31" s="4">
        <f t="shared" si="31"/>
        <v>4.9999999999990052E-3</v>
      </c>
      <c r="AV31" s="4">
        <f t="shared" si="32"/>
        <v>-2.1499999999999631E-2</v>
      </c>
    </row>
    <row r="32" spans="1:48" x14ac:dyDescent="0.25">
      <c r="A32" s="18">
        <v>38</v>
      </c>
      <c r="B32" s="19">
        <v>43581</v>
      </c>
      <c r="C32" s="20">
        <v>0.43517361111111108</v>
      </c>
      <c r="D32" s="18">
        <v>-21.25</v>
      </c>
      <c r="E32" s="18">
        <v>-21.25</v>
      </c>
      <c r="F32" s="18">
        <v>-21.19</v>
      </c>
      <c r="G32" s="18">
        <v>-21.19</v>
      </c>
      <c r="H32" s="18">
        <v>-21.38</v>
      </c>
      <c r="I32" s="18">
        <v>-21.38</v>
      </c>
      <c r="J32" s="18">
        <v>-21</v>
      </c>
      <c r="K32" s="18">
        <v>-21</v>
      </c>
      <c r="L32" s="18">
        <v>-21.5</v>
      </c>
      <c r="M32" s="18">
        <v>24.8</v>
      </c>
      <c r="N32" s="29">
        <v>-21.17</v>
      </c>
      <c r="O32" s="4">
        <f>N32-'Sonde étalon'!$C$12</f>
        <v>-21.17</v>
      </c>
      <c r="P32"/>
      <c r="R32" s="4">
        <f t="shared" si="6"/>
        <v>-7.9999999999998295E-2</v>
      </c>
      <c r="S32" s="4">
        <f t="shared" si="7"/>
        <v>-7.9999999999998295E-2</v>
      </c>
      <c r="T32" s="4">
        <f t="shared" si="8"/>
        <v>-1.9999999999999574E-2</v>
      </c>
      <c r="U32" s="4">
        <f t="shared" si="9"/>
        <v>-1.9999999999999574E-2</v>
      </c>
      <c r="V32" s="4">
        <f t="shared" si="10"/>
        <v>-0.2099999999999973</v>
      </c>
      <c r="W32" s="4">
        <f t="shared" si="11"/>
        <v>-0.2099999999999973</v>
      </c>
      <c r="X32" s="4">
        <f t="shared" si="12"/>
        <v>0.17000000000000171</v>
      </c>
      <c r="Y32" s="4">
        <f t="shared" si="13"/>
        <v>0.17000000000000171</v>
      </c>
      <c r="Z32" s="4">
        <f t="shared" si="14"/>
        <v>-0.32999999999999829</v>
      </c>
      <c r="AB32"/>
      <c r="AC32" s="4">
        <f t="shared" si="15"/>
        <v>-21.172583333333336</v>
      </c>
      <c r="AD32" s="4">
        <f t="shared" si="16"/>
        <v>-21.163166666666665</v>
      </c>
      <c r="AE32" s="4">
        <f t="shared" si="17"/>
        <v>-21.2105</v>
      </c>
      <c r="AF32" s="4">
        <f t="shared" si="18"/>
        <v>-21.166166666666669</v>
      </c>
      <c r="AG32" s="4">
        <f t="shared" si="19"/>
        <v>-21.217416666666665</v>
      </c>
      <c r="AH32" s="4">
        <f t="shared" si="20"/>
        <v>-21.211833333333331</v>
      </c>
      <c r="AI32" s="4">
        <f t="shared" si="21"/>
        <v>-21.222083333333334</v>
      </c>
      <c r="AJ32" s="4">
        <f t="shared" si="22"/>
        <v>-21.155000000000001</v>
      </c>
      <c r="AK32" s="4">
        <f t="shared" si="23"/>
        <v>-21.1815</v>
      </c>
      <c r="AL32"/>
      <c r="AM32"/>
      <c r="AN32" s="4">
        <f t="shared" si="24"/>
        <v>-2.583333333333826E-3</v>
      </c>
      <c r="AO32" s="4">
        <f t="shared" si="25"/>
        <v>6.8333333333363555E-3</v>
      </c>
      <c r="AP32" s="4">
        <f t="shared" si="26"/>
        <v>-4.0499999999997982E-2</v>
      </c>
      <c r="AQ32" s="4">
        <f t="shared" si="27"/>
        <v>3.8333333333326891E-3</v>
      </c>
      <c r="AR32" s="4">
        <f t="shared" si="28"/>
        <v>-4.7416666666663332E-2</v>
      </c>
      <c r="AS32" s="4">
        <f t="shared" si="29"/>
        <v>-4.1833333333329392E-2</v>
      </c>
      <c r="AT32" s="4">
        <f t="shared" si="30"/>
        <v>-5.2083333333332149E-2</v>
      </c>
      <c r="AU32" s="4">
        <f t="shared" si="31"/>
        <v>1.5000000000000568E-2</v>
      </c>
      <c r="AV32" s="4">
        <f t="shared" si="32"/>
        <v>-1.1499999999998067E-2</v>
      </c>
    </row>
    <row r="33" spans="1:48" x14ac:dyDescent="0.25">
      <c r="A33" s="18">
        <v>39</v>
      </c>
      <c r="B33" s="19">
        <v>43581</v>
      </c>
      <c r="C33" s="20">
        <v>0.43586805555555558</v>
      </c>
      <c r="D33" s="18">
        <v>-21.31</v>
      </c>
      <c r="E33" s="18">
        <v>-21.25</v>
      </c>
      <c r="F33" s="18">
        <v>-21.19</v>
      </c>
      <c r="G33" s="18">
        <v>-21.19</v>
      </c>
      <c r="H33" s="18">
        <v>-21.38</v>
      </c>
      <c r="I33" s="18">
        <v>-21.38</v>
      </c>
      <c r="J33" s="18">
        <v>-21</v>
      </c>
      <c r="K33" s="18">
        <v>-21.06</v>
      </c>
      <c r="L33" s="18">
        <v>-21.5</v>
      </c>
      <c r="M33" s="18">
        <v>24.8</v>
      </c>
      <c r="N33" s="29">
        <v>-21.19</v>
      </c>
      <c r="O33" s="4">
        <f>N33-'Sonde étalon'!$C$12</f>
        <v>-21.19</v>
      </c>
      <c r="P33"/>
      <c r="R33" s="4">
        <f t="shared" si="6"/>
        <v>-0.11999999999999744</v>
      </c>
      <c r="S33" s="4">
        <f t="shared" si="7"/>
        <v>-5.9999999999998721E-2</v>
      </c>
      <c r="T33" s="4">
        <f t="shared" si="8"/>
        <v>0</v>
      </c>
      <c r="U33" s="4">
        <f t="shared" si="9"/>
        <v>0</v>
      </c>
      <c r="V33" s="4">
        <f t="shared" si="10"/>
        <v>-0.18999999999999773</v>
      </c>
      <c r="W33" s="4">
        <f t="shared" si="11"/>
        <v>-0.18999999999999773</v>
      </c>
      <c r="X33" s="4">
        <f t="shared" si="12"/>
        <v>0.19000000000000128</v>
      </c>
      <c r="Y33" s="4">
        <f t="shared" si="13"/>
        <v>0.13000000000000256</v>
      </c>
      <c r="Z33" s="4">
        <f t="shared" si="14"/>
        <v>-0.30999999999999872</v>
      </c>
      <c r="AB33"/>
      <c r="AC33" s="4">
        <f t="shared" si="15"/>
        <v>-21.232583333333331</v>
      </c>
      <c r="AD33" s="4">
        <f t="shared" si="16"/>
        <v>-21.163166666666665</v>
      </c>
      <c r="AE33" s="4">
        <f t="shared" si="17"/>
        <v>-21.2105</v>
      </c>
      <c r="AF33" s="4">
        <f t="shared" si="18"/>
        <v>-21.166166666666669</v>
      </c>
      <c r="AG33" s="4">
        <f t="shared" si="19"/>
        <v>-21.217416666666665</v>
      </c>
      <c r="AH33" s="4">
        <f t="shared" si="20"/>
        <v>-21.211833333333331</v>
      </c>
      <c r="AI33" s="4">
        <f t="shared" si="21"/>
        <v>-21.222083333333334</v>
      </c>
      <c r="AJ33" s="4">
        <f t="shared" si="22"/>
        <v>-21.215</v>
      </c>
      <c r="AK33" s="4">
        <f t="shared" si="23"/>
        <v>-21.1815</v>
      </c>
      <c r="AL33"/>
      <c r="AM33"/>
      <c r="AN33" s="4">
        <f t="shared" si="24"/>
        <v>-4.2583333333329421E-2</v>
      </c>
      <c r="AO33" s="4">
        <f t="shared" si="25"/>
        <v>2.6833333333335929E-2</v>
      </c>
      <c r="AP33" s="4">
        <f t="shared" si="26"/>
        <v>-2.0499999999998408E-2</v>
      </c>
      <c r="AQ33" s="4">
        <f t="shared" si="27"/>
        <v>2.3833333333332263E-2</v>
      </c>
      <c r="AR33" s="4">
        <f t="shared" si="28"/>
        <v>-2.7416666666663758E-2</v>
      </c>
      <c r="AS33" s="4">
        <f t="shared" si="29"/>
        <v>-2.1833333333329819E-2</v>
      </c>
      <c r="AT33" s="4">
        <f t="shared" si="30"/>
        <v>-3.2083333333332575E-2</v>
      </c>
      <c r="AU33" s="4">
        <f t="shared" si="31"/>
        <v>-2.4999999999998579E-2</v>
      </c>
      <c r="AV33" s="4">
        <f t="shared" si="32"/>
        <v>8.5000000000015064E-3</v>
      </c>
    </row>
    <row r="34" spans="1:48" x14ac:dyDescent="0.25">
      <c r="A34" s="18">
        <v>40</v>
      </c>
      <c r="B34" s="19">
        <v>43581</v>
      </c>
      <c r="C34" s="20">
        <v>0.43656249999999996</v>
      </c>
      <c r="D34" s="18">
        <v>-21.31</v>
      </c>
      <c r="E34" s="18">
        <v>-21.31</v>
      </c>
      <c r="F34" s="18">
        <v>-21.19</v>
      </c>
      <c r="G34" s="18">
        <v>-21.25</v>
      </c>
      <c r="H34" s="18">
        <v>-21.38</v>
      </c>
      <c r="I34" s="18">
        <v>-21.38</v>
      </c>
      <c r="J34" s="18">
        <v>-21</v>
      </c>
      <c r="K34" s="18">
        <v>-21.06</v>
      </c>
      <c r="L34" s="18">
        <v>-21.56</v>
      </c>
      <c r="M34" s="18">
        <v>24.8</v>
      </c>
      <c r="N34" s="29">
        <v>-21.22</v>
      </c>
      <c r="O34" s="4">
        <f>N34-'Sonde étalon'!$C$12</f>
        <v>-21.22</v>
      </c>
      <c r="P34"/>
      <c r="R34" s="4">
        <f t="shared" si="6"/>
        <v>-8.9999999999999858E-2</v>
      </c>
      <c r="S34" s="4">
        <f t="shared" si="7"/>
        <v>-8.9999999999999858E-2</v>
      </c>
      <c r="T34" s="4">
        <f t="shared" si="8"/>
        <v>2.9999999999997584E-2</v>
      </c>
      <c r="U34" s="4">
        <f t="shared" si="9"/>
        <v>-3.0000000000001137E-2</v>
      </c>
      <c r="V34" s="4">
        <f t="shared" si="10"/>
        <v>-0.16000000000000014</v>
      </c>
      <c r="W34" s="4">
        <f t="shared" si="11"/>
        <v>-0.16000000000000014</v>
      </c>
      <c r="X34" s="4">
        <f t="shared" si="12"/>
        <v>0.21999999999999886</v>
      </c>
      <c r="Y34" s="4">
        <f t="shared" si="13"/>
        <v>0.16000000000000014</v>
      </c>
      <c r="Z34" s="4">
        <f t="shared" si="14"/>
        <v>-0.33999999999999986</v>
      </c>
      <c r="AB34"/>
      <c r="AC34" s="4">
        <f t="shared" si="15"/>
        <v>-21.232583333333331</v>
      </c>
      <c r="AD34" s="4">
        <f t="shared" si="16"/>
        <v>-21.223166666666664</v>
      </c>
      <c r="AE34" s="4">
        <f t="shared" si="17"/>
        <v>-21.2105</v>
      </c>
      <c r="AF34" s="4">
        <f t="shared" si="18"/>
        <v>-21.226166666666668</v>
      </c>
      <c r="AG34" s="4">
        <f t="shared" si="19"/>
        <v>-21.217416666666665</v>
      </c>
      <c r="AH34" s="4">
        <f t="shared" si="20"/>
        <v>-21.211833333333331</v>
      </c>
      <c r="AI34" s="4">
        <f t="shared" si="21"/>
        <v>-21.222083333333334</v>
      </c>
      <c r="AJ34" s="4">
        <f t="shared" si="22"/>
        <v>-21.215</v>
      </c>
      <c r="AK34" s="4">
        <f t="shared" si="23"/>
        <v>-21.241499999999998</v>
      </c>
      <c r="AL34"/>
      <c r="AM34"/>
      <c r="AN34" s="4">
        <f t="shared" si="24"/>
        <v>-1.2583333333331836E-2</v>
      </c>
      <c r="AO34" s="4">
        <f t="shared" si="25"/>
        <v>-3.1666666666652077E-3</v>
      </c>
      <c r="AP34" s="4">
        <f t="shared" si="26"/>
        <v>9.4999999999991758E-3</v>
      </c>
      <c r="AQ34" s="4">
        <f t="shared" si="27"/>
        <v>-6.1666666666688741E-3</v>
      </c>
      <c r="AR34" s="4">
        <f t="shared" si="28"/>
        <v>2.583333333333826E-3</v>
      </c>
      <c r="AS34" s="4">
        <f t="shared" si="29"/>
        <v>8.1666666666677656E-3</v>
      </c>
      <c r="AT34" s="4">
        <f t="shared" si="30"/>
        <v>-2.0833333333349913E-3</v>
      </c>
      <c r="AU34" s="4">
        <f t="shared" si="31"/>
        <v>4.9999999999990052E-3</v>
      </c>
      <c r="AV34" s="4">
        <f t="shared" si="32"/>
        <v>-2.1499999999999631E-2</v>
      </c>
    </row>
    <row r="35" spans="1:48" x14ac:dyDescent="0.25">
      <c r="A35" s="18">
        <v>41</v>
      </c>
      <c r="B35" s="19">
        <v>43581</v>
      </c>
      <c r="C35" s="20">
        <v>0.43725694444444446</v>
      </c>
      <c r="D35" s="18">
        <v>-21.31</v>
      </c>
      <c r="E35" s="18">
        <v>-21.31</v>
      </c>
      <c r="F35" s="18">
        <v>-21.19</v>
      </c>
      <c r="G35" s="18">
        <v>-21.25</v>
      </c>
      <c r="H35" s="18">
        <v>-21.38</v>
      </c>
      <c r="I35" s="18">
        <v>-21.38</v>
      </c>
      <c r="J35" s="18">
        <v>-21</v>
      </c>
      <c r="K35" s="18">
        <v>-21.06</v>
      </c>
      <c r="L35" s="18">
        <v>-21.56</v>
      </c>
      <c r="M35" s="18">
        <v>24.8</v>
      </c>
      <c r="N35" s="29">
        <v>-21.23</v>
      </c>
      <c r="O35" s="4">
        <f>N35-'Sonde étalon'!$C$12</f>
        <v>-21.23</v>
      </c>
      <c r="P35"/>
      <c r="R35" s="4">
        <f t="shared" si="6"/>
        <v>-7.9999999999998295E-2</v>
      </c>
      <c r="S35" s="4">
        <f t="shared" si="7"/>
        <v>-7.9999999999998295E-2</v>
      </c>
      <c r="T35" s="4">
        <f t="shared" si="8"/>
        <v>3.9999999999999147E-2</v>
      </c>
      <c r="U35" s="4">
        <f t="shared" si="9"/>
        <v>-1.9999999999999574E-2</v>
      </c>
      <c r="V35" s="4">
        <f t="shared" si="10"/>
        <v>-0.14999999999999858</v>
      </c>
      <c r="W35" s="4">
        <f t="shared" si="11"/>
        <v>-0.14999999999999858</v>
      </c>
      <c r="X35" s="4">
        <f t="shared" si="12"/>
        <v>0.23000000000000043</v>
      </c>
      <c r="Y35" s="4">
        <f t="shared" si="13"/>
        <v>0.17000000000000171</v>
      </c>
      <c r="Z35" s="4">
        <f t="shared" si="14"/>
        <v>-0.32999999999999829</v>
      </c>
      <c r="AB35"/>
      <c r="AC35" s="4">
        <f t="shared" si="15"/>
        <v>-21.232583333333331</v>
      </c>
      <c r="AD35" s="4">
        <f t="shared" si="16"/>
        <v>-21.223166666666664</v>
      </c>
      <c r="AE35" s="4">
        <f t="shared" si="17"/>
        <v>-21.2105</v>
      </c>
      <c r="AF35" s="4">
        <f t="shared" si="18"/>
        <v>-21.226166666666668</v>
      </c>
      <c r="AG35" s="4">
        <f t="shared" si="19"/>
        <v>-21.217416666666665</v>
      </c>
      <c r="AH35" s="4">
        <f t="shared" si="20"/>
        <v>-21.211833333333331</v>
      </c>
      <c r="AI35" s="4">
        <f t="shared" si="21"/>
        <v>-21.222083333333334</v>
      </c>
      <c r="AJ35" s="4">
        <f t="shared" si="22"/>
        <v>-21.215</v>
      </c>
      <c r="AK35" s="4">
        <f t="shared" si="23"/>
        <v>-21.241499999999998</v>
      </c>
      <c r="AL35"/>
      <c r="AM35"/>
      <c r="AN35" s="4">
        <f t="shared" si="24"/>
        <v>-2.5833333333302733E-3</v>
      </c>
      <c r="AO35" s="4">
        <f t="shared" si="25"/>
        <v>6.8333333333363555E-3</v>
      </c>
      <c r="AP35" s="4">
        <f t="shared" si="26"/>
        <v>1.9500000000000739E-2</v>
      </c>
      <c r="AQ35" s="4">
        <f t="shared" si="27"/>
        <v>3.8333333333326891E-3</v>
      </c>
      <c r="AR35" s="4">
        <f t="shared" si="28"/>
        <v>1.2583333333335389E-2</v>
      </c>
      <c r="AS35" s="4">
        <f t="shared" si="29"/>
        <v>1.8166666666669329E-2</v>
      </c>
      <c r="AT35" s="4">
        <f t="shared" si="30"/>
        <v>7.9166666666665719E-3</v>
      </c>
      <c r="AU35" s="4">
        <f t="shared" si="31"/>
        <v>1.5000000000000568E-2</v>
      </c>
      <c r="AV35" s="4">
        <f t="shared" si="32"/>
        <v>-1.1499999999998067E-2</v>
      </c>
    </row>
    <row r="36" spans="1:48" x14ac:dyDescent="0.25">
      <c r="A36" s="18">
        <v>42</v>
      </c>
      <c r="B36" s="19">
        <v>43581</v>
      </c>
      <c r="C36" s="20">
        <v>0.4379513888888889</v>
      </c>
      <c r="D36" s="18">
        <v>-21.31</v>
      </c>
      <c r="E36" s="18">
        <v>-21.31</v>
      </c>
      <c r="F36" s="18">
        <v>-21.19</v>
      </c>
      <c r="G36" s="18">
        <v>-21.25</v>
      </c>
      <c r="H36" s="18">
        <v>-21.38</v>
      </c>
      <c r="I36" s="18">
        <v>-21.44</v>
      </c>
      <c r="J36" s="18">
        <v>-21</v>
      </c>
      <c r="K36" s="18">
        <v>-21.06</v>
      </c>
      <c r="L36" s="18">
        <v>-21.56</v>
      </c>
      <c r="M36" s="18">
        <v>24.8</v>
      </c>
      <c r="N36" s="29">
        <v>-21.23</v>
      </c>
      <c r="O36" s="4">
        <f>N36-'Sonde étalon'!$C$12</f>
        <v>-21.23</v>
      </c>
      <c r="P36"/>
      <c r="R36" s="4">
        <f t="shared" si="6"/>
        <v>-7.9999999999998295E-2</v>
      </c>
      <c r="S36" s="4">
        <f t="shared" si="7"/>
        <v>-7.9999999999998295E-2</v>
      </c>
      <c r="T36" s="4">
        <f t="shared" si="8"/>
        <v>3.9999999999999147E-2</v>
      </c>
      <c r="U36" s="4">
        <f t="shared" si="9"/>
        <v>-1.9999999999999574E-2</v>
      </c>
      <c r="V36" s="4">
        <f t="shared" si="10"/>
        <v>-0.14999999999999858</v>
      </c>
      <c r="W36" s="4">
        <f t="shared" si="11"/>
        <v>-0.21000000000000085</v>
      </c>
      <c r="X36" s="4">
        <f t="shared" si="12"/>
        <v>0.23000000000000043</v>
      </c>
      <c r="Y36" s="4">
        <f t="shared" si="13"/>
        <v>0.17000000000000171</v>
      </c>
      <c r="Z36" s="4">
        <f t="shared" si="14"/>
        <v>-0.32999999999999829</v>
      </c>
      <c r="AB36"/>
      <c r="AC36" s="4">
        <f t="shared" si="15"/>
        <v>-21.232583333333331</v>
      </c>
      <c r="AD36" s="4">
        <f t="shared" si="16"/>
        <v>-21.223166666666664</v>
      </c>
      <c r="AE36" s="4">
        <f t="shared" si="17"/>
        <v>-21.2105</v>
      </c>
      <c r="AF36" s="4">
        <f t="shared" si="18"/>
        <v>-21.226166666666668</v>
      </c>
      <c r="AG36" s="4">
        <f t="shared" si="19"/>
        <v>-21.217416666666665</v>
      </c>
      <c r="AH36" s="4">
        <f t="shared" si="20"/>
        <v>-21.271833333333333</v>
      </c>
      <c r="AI36" s="4">
        <f t="shared" si="21"/>
        <v>-21.222083333333334</v>
      </c>
      <c r="AJ36" s="4">
        <f t="shared" si="22"/>
        <v>-21.215</v>
      </c>
      <c r="AK36" s="4">
        <f t="shared" si="23"/>
        <v>-21.241499999999998</v>
      </c>
      <c r="AL36"/>
      <c r="AM36"/>
      <c r="AN36" s="4">
        <f t="shared" si="24"/>
        <v>-2.5833333333302733E-3</v>
      </c>
      <c r="AO36" s="4">
        <f t="shared" si="25"/>
        <v>6.8333333333363555E-3</v>
      </c>
      <c r="AP36" s="4">
        <f t="shared" si="26"/>
        <v>1.9500000000000739E-2</v>
      </c>
      <c r="AQ36" s="4">
        <f t="shared" si="27"/>
        <v>3.8333333333326891E-3</v>
      </c>
      <c r="AR36" s="4">
        <f t="shared" si="28"/>
        <v>1.2583333333335389E-2</v>
      </c>
      <c r="AS36" s="4">
        <f t="shared" si="29"/>
        <v>-4.1833333333332945E-2</v>
      </c>
      <c r="AT36" s="4">
        <f t="shared" si="30"/>
        <v>7.9166666666665719E-3</v>
      </c>
      <c r="AU36" s="4">
        <f t="shared" si="31"/>
        <v>1.5000000000000568E-2</v>
      </c>
      <c r="AV36" s="4">
        <f t="shared" si="32"/>
        <v>-1.1499999999998067E-2</v>
      </c>
    </row>
    <row r="37" spans="1:48" x14ac:dyDescent="0.25">
      <c r="A37" s="18">
        <v>43</v>
      </c>
      <c r="B37" s="19">
        <v>43581</v>
      </c>
      <c r="C37" s="20">
        <v>0.43864583333333335</v>
      </c>
      <c r="D37" s="18">
        <v>-21.31</v>
      </c>
      <c r="E37" s="18">
        <v>-21.31</v>
      </c>
      <c r="F37" s="18">
        <v>-21.25</v>
      </c>
      <c r="G37" s="18">
        <v>-21.25</v>
      </c>
      <c r="H37" s="18">
        <v>-21.44</v>
      </c>
      <c r="I37" s="18">
        <v>-21.44</v>
      </c>
      <c r="J37" s="18">
        <v>-21.06</v>
      </c>
      <c r="K37" s="18">
        <v>-21.13</v>
      </c>
      <c r="L37" s="18">
        <v>-21.56</v>
      </c>
      <c r="M37" s="18">
        <v>24.8</v>
      </c>
      <c r="N37" s="29">
        <v>-21.25</v>
      </c>
      <c r="O37" s="4">
        <f>N37-'Sonde étalon'!$C$12</f>
        <v>-21.25</v>
      </c>
      <c r="P37"/>
      <c r="R37" s="4">
        <f t="shared" si="6"/>
        <v>-5.9999999999998721E-2</v>
      </c>
      <c r="S37" s="4">
        <f t="shared" si="7"/>
        <v>-5.9999999999998721E-2</v>
      </c>
      <c r="T37" s="4">
        <f t="shared" si="8"/>
        <v>0</v>
      </c>
      <c r="U37" s="4">
        <f t="shared" si="9"/>
        <v>0</v>
      </c>
      <c r="V37" s="4">
        <f t="shared" si="10"/>
        <v>-0.19000000000000128</v>
      </c>
      <c r="W37" s="4">
        <f t="shared" si="11"/>
        <v>-0.19000000000000128</v>
      </c>
      <c r="X37" s="4">
        <f t="shared" si="12"/>
        <v>0.19000000000000128</v>
      </c>
      <c r="Y37" s="4">
        <f t="shared" si="13"/>
        <v>0.12000000000000099</v>
      </c>
      <c r="Z37" s="4">
        <f t="shared" si="14"/>
        <v>-0.30999999999999872</v>
      </c>
      <c r="AB37"/>
      <c r="AC37" s="4">
        <f t="shared" si="15"/>
        <v>-21.232583333333331</v>
      </c>
      <c r="AD37" s="4">
        <f t="shared" si="16"/>
        <v>-21.223166666666664</v>
      </c>
      <c r="AE37" s="4">
        <f t="shared" si="17"/>
        <v>-21.270499999999998</v>
      </c>
      <c r="AF37" s="4">
        <f t="shared" si="18"/>
        <v>-21.226166666666668</v>
      </c>
      <c r="AG37" s="4">
        <f t="shared" si="19"/>
        <v>-21.277416666666667</v>
      </c>
      <c r="AH37" s="4">
        <f t="shared" si="20"/>
        <v>-21.271833333333333</v>
      </c>
      <c r="AI37" s="4">
        <f t="shared" si="21"/>
        <v>-21.282083333333333</v>
      </c>
      <c r="AJ37" s="4">
        <f t="shared" si="22"/>
        <v>-21.285</v>
      </c>
      <c r="AK37" s="4">
        <f t="shared" si="23"/>
        <v>-21.241499999999998</v>
      </c>
      <c r="AL37"/>
      <c r="AM37"/>
      <c r="AN37" s="4">
        <f t="shared" si="24"/>
        <v>1.74166666666693E-2</v>
      </c>
      <c r="AO37" s="4">
        <f t="shared" si="25"/>
        <v>2.6833333333335929E-2</v>
      </c>
      <c r="AP37" s="4">
        <f t="shared" si="26"/>
        <v>-2.0499999999998408E-2</v>
      </c>
      <c r="AQ37" s="4">
        <f t="shared" si="27"/>
        <v>2.3833333333332263E-2</v>
      </c>
      <c r="AR37" s="4">
        <f t="shared" si="28"/>
        <v>-2.7416666666667311E-2</v>
      </c>
      <c r="AS37" s="4">
        <f t="shared" si="29"/>
        <v>-2.1833333333333371E-2</v>
      </c>
      <c r="AT37" s="4">
        <f t="shared" si="30"/>
        <v>-3.2083333333332575E-2</v>
      </c>
      <c r="AU37" s="4">
        <f t="shared" si="31"/>
        <v>-3.5000000000000142E-2</v>
      </c>
      <c r="AV37" s="4">
        <f t="shared" si="32"/>
        <v>8.5000000000015064E-3</v>
      </c>
    </row>
    <row r="38" spans="1:48" x14ac:dyDescent="0.25">
      <c r="A38" s="18">
        <v>44</v>
      </c>
      <c r="B38" s="19">
        <v>43581</v>
      </c>
      <c r="C38" s="20">
        <v>0.43934027777777779</v>
      </c>
      <c r="D38" s="18">
        <v>-21.31</v>
      </c>
      <c r="E38" s="18">
        <v>-21.38</v>
      </c>
      <c r="F38" s="18">
        <v>-21.25</v>
      </c>
      <c r="G38" s="18">
        <v>-21.25</v>
      </c>
      <c r="H38" s="18">
        <v>-21.38</v>
      </c>
      <c r="I38" s="18">
        <v>-21.44</v>
      </c>
      <c r="J38" s="18">
        <v>-21.06</v>
      </c>
      <c r="K38" s="18">
        <v>-21.13</v>
      </c>
      <c r="L38" s="18">
        <v>-21.56</v>
      </c>
      <c r="M38" s="18">
        <v>24.8</v>
      </c>
      <c r="N38" s="29">
        <v>-21.25</v>
      </c>
      <c r="O38" s="4">
        <f>N38-'Sonde étalon'!$C$12</f>
        <v>-21.25</v>
      </c>
      <c r="P38"/>
      <c r="R38" s="4">
        <f t="shared" si="6"/>
        <v>-5.9999999999998721E-2</v>
      </c>
      <c r="S38" s="4">
        <f t="shared" si="7"/>
        <v>-0.12999999999999901</v>
      </c>
      <c r="T38" s="4">
        <f t="shared" si="8"/>
        <v>0</v>
      </c>
      <c r="U38" s="4">
        <f t="shared" si="9"/>
        <v>0</v>
      </c>
      <c r="V38" s="4">
        <f t="shared" si="10"/>
        <v>-0.12999999999999901</v>
      </c>
      <c r="W38" s="4">
        <f t="shared" si="11"/>
        <v>-0.19000000000000128</v>
      </c>
      <c r="X38" s="4">
        <f t="shared" si="12"/>
        <v>0.19000000000000128</v>
      </c>
      <c r="Y38" s="4">
        <f t="shared" si="13"/>
        <v>0.12000000000000099</v>
      </c>
      <c r="Z38" s="4">
        <f t="shared" si="14"/>
        <v>-0.30999999999999872</v>
      </c>
      <c r="AB38"/>
      <c r="AC38" s="4">
        <f t="shared" si="15"/>
        <v>-21.232583333333331</v>
      </c>
      <c r="AD38" s="4">
        <f t="shared" si="16"/>
        <v>-21.293166666666664</v>
      </c>
      <c r="AE38" s="4">
        <f t="shared" si="17"/>
        <v>-21.270499999999998</v>
      </c>
      <c r="AF38" s="4">
        <f t="shared" si="18"/>
        <v>-21.226166666666668</v>
      </c>
      <c r="AG38" s="4">
        <f t="shared" si="19"/>
        <v>-21.217416666666665</v>
      </c>
      <c r="AH38" s="4">
        <f t="shared" si="20"/>
        <v>-21.271833333333333</v>
      </c>
      <c r="AI38" s="4">
        <f t="shared" si="21"/>
        <v>-21.282083333333333</v>
      </c>
      <c r="AJ38" s="4">
        <f t="shared" si="22"/>
        <v>-21.285</v>
      </c>
      <c r="AK38" s="4">
        <f t="shared" si="23"/>
        <v>-21.241499999999998</v>
      </c>
      <c r="AL38"/>
      <c r="AM38"/>
      <c r="AN38" s="4">
        <f t="shared" si="24"/>
        <v>1.74166666666693E-2</v>
      </c>
      <c r="AO38" s="4">
        <f t="shared" si="25"/>
        <v>-4.3166666666664355E-2</v>
      </c>
      <c r="AP38" s="4">
        <f t="shared" si="26"/>
        <v>-2.0499999999998408E-2</v>
      </c>
      <c r="AQ38" s="4">
        <f t="shared" si="27"/>
        <v>2.3833333333332263E-2</v>
      </c>
      <c r="AR38" s="4">
        <f t="shared" si="28"/>
        <v>3.2583333333334963E-2</v>
      </c>
      <c r="AS38" s="4">
        <f t="shared" si="29"/>
        <v>-2.1833333333333371E-2</v>
      </c>
      <c r="AT38" s="4">
        <f t="shared" si="30"/>
        <v>-3.2083333333332575E-2</v>
      </c>
      <c r="AU38" s="4">
        <f t="shared" si="31"/>
        <v>-3.5000000000000142E-2</v>
      </c>
      <c r="AV38" s="4">
        <f t="shared" si="32"/>
        <v>8.5000000000015064E-3</v>
      </c>
    </row>
    <row r="39" spans="1:48" x14ac:dyDescent="0.25">
      <c r="A39" s="18">
        <v>45</v>
      </c>
      <c r="B39" s="19">
        <v>43581</v>
      </c>
      <c r="C39" s="20">
        <v>0.44003472222222223</v>
      </c>
      <c r="D39" s="18">
        <v>-21.31</v>
      </c>
      <c r="E39" s="18">
        <v>-21.38</v>
      </c>
      <c r="F39" s="18">
        <v>-21.25</v>
      </c>
      <c r="G39" s="18">
        <v>-21.25</v>
      </c>
      <c r="H39" s="18">
        <v>-21.44</v>
      </c>
      <c r="I39" s="18">
        <v>-21.44</v>
      </c>
      <c r="J39" s="18">
        <v>-21.06</v>
      </c>
      <c r="K39" s="18">
        <v>-21.13</v>
      </c>
      <c r="L39" s="18">
        <v>-21.56</v>
      </c>
      <c r="M39" s="18">
        <v>24.8</v>
      </c>
      <c r="N39" s="29">
        <v>-21.26</v>
      </c>
      <c r="O39" s="4">
        <f>N39-'Sonde étalon'!$C$12</f>
        <v>-21.26</v>
      </c>
      <c r="P39"/>
      <c r="R39" s="4">
        <f t="shared" si="6"/>
        <v>-4.9999999999997158E-2</v>
      </c>
      <c r="S39" s="4">
        <f t="shared" si="7"/>
        <v>-0.11999999999999744</v>
      </c>
      <c r="T39" s="4">
        <f t="shared" si="8"/>
        <v>1.0000000000001563E-2</v>
      </c>
      <c r="U39" s="4">
        <f t="shared" si="9"/>
        <v>1.0000000000001563E-2</v>
      </c>
      <c r="V39" s="4">
        <f t="shared" si="10"/>
        <v>-0.17999999999999972</v>
      </c>
      <c r="W39" s="4">
        <f t="shared" si="11"/>
        <v>-0.17999999999999972</v>
      </c>
      <c r="X39" s="4">
        <f t="shared" si="12"/>
        <v>0.20000000000000284</v>
      </c>
      <c r="Y39" s="4">
        <f t="shared" si="13"/>
        <v>0.13000000000000256</v>
      </c>
      <c r="Z39" s="4">
        <f t="shared" si="14"/>
        <v>-0.29999999999999716</v>
      </c>
      <c r="AB39"/>
      <c r="AC39" s="4">
        <f t="shared" si="15"/>
        <v>-21.232583333333331</v>
      </c>
      <c r="AD39" s="4">
        <f t="shared" si="16"/>
        <v>-21.293166666666664</v>
      </c>
      <c r="AE39" s="4">
        <f t="shared" si="17"/>
        <v>-21.270499999999998</v>
      </c>
      <c r="AF39" s="4">
        <f t="shared" si="18"/>
        <v>-21.226166666666668</v>
      </c>
      <c r="AG39" s="4">
        <f t="shared" si="19"/>
        <v>-21.277416666666667</v>
      </c>
      <c r="AH39" s="4">
        <f t="shared" si="20"/>
        <v>-21.271833333333333</v>
      </c>
      <c r="AI39" s="4">
        <f t="shared" si="21"/>
        <v>-21.282083333333333</v>
      </c>
      <c r="AJ39" s="4">
        <f t="shared" si="22"/>
        <v>-21.285</v>
      </c>
      <c r="AK39" s="4">
        <f t="shared" si="23"/>
        <v>-21.241499999999998</v>
      </c>
      <c r="AL39"/>
      <c r="AM39"/>
      <c r="AN39" s="4">
        <f t="shared" si="24"/>
        <v>2.7416666666670864E-2</v>
      </c>
      <c r="AO39" s="4">
        <f t="shared" si="25"/>
        <v>-3.3166666666662792E-2</v>
      </c>
      <c r="AP39" s="4">
        <f t="shared" si="26"/>
        <v>-1.0499999999996845E-2</v>
      </c>
      <c r="AQ39" s="4">
        <f t="shared" si="27"/>
        <v>3.3833333333333826E-2</v>
      </c>
      <c r="AR39" s="4">
        <f t="shared" si="28"/>
        <v>-1.7416666666665748E-2</v>
      </c>
      <c r="AS39" s="4">
        <f t="shared" si="29"/>
        <v>-1.1833333333331808E-2</v>
      </c>
      <c r="AT39" s="4">
        <f t="shared" si="30"/>
        <v>-2.2083333333331012E-2</v>
      </c>
      <c r="AU39" s="4">
        <f t="shared" si="31"/>
        <v>-2.4999999999998579E-2</v>
      </c>
      <c r="AV39" s="4">
        <f t="shared" si="32"/>
        <v>1.850000000000307E-2</v>
      </c>
    </row>
    <row r="40" spans="1:48" x14ac:dyDescent="0.25">
      <c r="A40" s="18">
        <v>46</v>
      </c>
      <c r="B40" s="19">
        <v>43581</v>
      </c>
      <c r="C40" s="20">
        <v>0.44072916666666667</v>
      </c>
      <c r="D40" s="18">
        <v>-21.31</v>
      </c>
      <c r="E40" s="18">
        <v>-21.38</v>
      </c>
      <c r="F40" s="18">
        <v>-21.25</v>
      </c>
      <c r="G40" s="18">
        <v>-21.31</v>
      </c>
      <c r="H40" s="18">
        <v>-21.44</v>
      </c>
      <c r="I40" s="18">
        <v>-21.44</v>
      </c>
      <c r="J40" s="18">
        <v>-21.06</v>
      </c>
      <c r="K40" s="18">
        <v>-21.13</v>
      </c>
      <c r="L40" s="18">
        <v>-21.56</v>
      </c>
      <c r="M40" s="18">
        <v>24.9</v>
      </c>
      <c r="N40" s="29">
        <v>-21.28</v>
      </c>
      <c r="O40" s="4">
        <f>N40-'Sonde étalon'!$C$12</f>
        <v>-21.28</v>
      </c>
      <c r="P40"/>
      <c r="R40" s="4">
        <f t="shared" si="6"/>
        <v>-2.9999999999997584E-2</v>
      </c>
      <c r="S40" s="4">
        <f t="shared" si="7"/>
        <v>-9.9999999999997868E-2</v>
      </c>
      <c r="T40" s="4">
        <f t="shared" si="8"/>
        <v>3.0000000000001137E-2</v>
      </c>
      <c r="U40" s="4">
        <f t="shared" si="9"/>
        <v>-2.9999999999997584E-2</v>
      </c>
      <c r="V40" s="4">
        <f t="shared" si="10"/>
        <v>-0.16000000000000014</v>
      </c>
      <c r="W40" s="4">
        <f t="shared" si="11"/>
        <v>-0.16000000000000014</v>
      </c>
      <c r="X40" s="4">
        <f t="shared" si="12"/>
        <v>0.22000000000000242</v>
      </c>
      <c r="Y40" s="4">
        <f t="shared" si="13"/>
        <v>0.15000000000000213</v>
      </c>
      <c r="Z40" s="4">
        <f t="shared" si="14"/>
        <v>-0.27999999999999758</v>
      </c>
      <c r="AB40"/>
      <c r="AC40" s="4">
        <f t="shared" si="15"/>
        <v>-21.232583333333331</v>
      </c>
      <c r="AD40" s="4">
        <f t="shared" si="16"/>
        <v>-21.293166666666664</v>
      </c>
      <c r="AE40" s="4">
        <f t="shared" si="17"/>
        <v>-21.270499999999998</v>
      </c>
      <c r="AF40" s="4">
        <f t="shared" si="18"/>
        <v>-21.286166666666666</v>
      </c>
      <c r="AG40" s="4">
        <f t="shared" si="19"/>
        <v>-21.277416666666667</v>
      </c>
      <c r="AH40" s="4">
        <f t="shared" si="20"/>
        <v>-21.271833333333333</v>
      </c>
      <c r="AI40" s="4">
        <f t="shared" si="21"/>
        <v>-21.282083333333333</v>
      </c>
      <c r="AJ40" s="4">
        <f t="shared" si="22"/>
        <v>-21.285</v>
      </c>
      <c r="AK40" s="4">
        <f t="shared" si="23"/>
        <v>-21.241499999999998</v>
      </c>
      <c r="AL40"/>
      <c r="AM40"/>
      <c r="AN40" s="4">
        <f t="shared" si="24"/>
        <v>4.7416666666670437E-2</v>
      </c>
      <c r="AO40" s="4">
        <f t="shared" si="25"/>
        <v>-1.3166666666663218E-2</v>
      </c>
      <c r="AP40" s="4">
        <f t="shared" si="26"/>
        <v>9.5000000000027285E-3</v>
      </c>
      <c r="AQ40" s="4">
        <f t="shared" si="27"/>
        <v>-6.1666666666653214E-3</v>
      </c>
      <c r="AR40" s="4">
        <f t="shared" si="28"/>
        <v>2.583333333333826E-3</v>
      </c>
      <c r="AS40" s="4">
        <f t="shared" si="29"/>
        <v>8.1666666666677656E-3</v>
      </c>
      <c r="AT40" s="4">
        <f t="shared" si="30"/>
        <v>-2.0833333333314386E-3</v>
      </c>
      <c r="AU40" s="4">
        <f t="shared" si="31"/>
        <v>-4.9999999999990052E-3</v>
      </c>
      <c r="AV40" s="4">
        <f t="shared" si="32"/>
        <v>3.8500000000002643E-2</v>
      </c>
    </row>
    <row r="41" spans="1:48" x14ac:dyDescent="0.25">
      <c r="A41" s="18">
        <v>47</v>
      </c>
      <c r="B41" s="19">
        <v>43581</v>
      </c>
      <c r="C41" s="20">
        <v>0.44142361111111111</v>
      </c>
      <c r="D41" s="18">
        <v>-21.38</v>
      </c>
      <c r="E41" s="18">
        <v>-21.38</v>
      </c>
      <c r="F41" s="18">
        <v>-21.25</v>
      </c>
      <c r="G41" s="18">
        <v>-21.31</v>
      </c>
      <c r="H41" s="18">
        <v>-21.44</v>
      </c>
      <c r="I41" s="18">
        <v>-21.44</v>
      </c>
      <c r="J41" s="18">
        <v>-21</v>
      </c>
      <c r="K41" s="18">
        <v>-21.13</v>
      </c>
      <c r="L41" s="18">
        <v>-21.56</v>
      </c>
      <c r="M41" s="18">
        <v>24.9</v>
      </c>
      <c r="N41" s="29">
        <v>-21.28</v>
      </c>
      <c r="O41" s="4">
        <f>N41-'Sonde étalon'!$C$12</f>
        <v>-21.28</v>
      </c>
      <c r="P41"/>
      <c r="R41" s="4">
        <f t="shared" si="6"/>
        <v>-9.9999999999997868E-2</v>
      </c>
      <c r="S41" s="4">
        <f t="shared" si="7"/>
        <v>-9.9999999999997868E-2</v>
      </c>
      <c r="T41" s="4">
        <f t="shared" si="8"/>
        <v>3.0000000000001137E-2</v>
      </c>
      <c r="U41" s="4">
        <f t="shared" si="9"/>
        <v>-2.9999999999997584E-2</v>
      </c>
      <c r="V41" s="4">
        <f t="shared" si="10"/>
        <v>-0.16000000000000014</v>
      </c>
      <c r="W41" s="4">
        <f t="shared" si="11"/>
        <v>-0.16000000000000014</v>
      </c>
      <c r="X41" s="4">
        <f t="shared" si="12"/>
        <v>0.28000000000000114</v>
      </c>
      <c r="Y41" s="4">
        <f t="shared" si="13"/>
        <v>0.15000000000000213</v>
      </c>
      <c r="Z41" s="4">
        <f t="shared" si="14"/>
        <v>-0.27999999999999758</v>
      </c>
      <c r="AB41"/>
      <c r="AC41" s="4">
        <f t="shared" si="15"/>
        <v>-21.302583333333331</v>
      </c>
      <c r="AD41" s="4">
        <f t="shared" si="16"/>
        <v>-21.293166666666664</v>
      </c>
      <c r="AE41" s="4">
        <f t="shared" si="17"/>
        <v>-21.270499999999998</v>
      </c>
      <c r="AF41" s="4">
        <f t="shared" si="18"/>
        <v>-21.286166666666666</v>
      </c>
      <c r="AG41" s="4">
        <f t="shared" si="19"/>
        <v>-21.277416666666667</v>
      </c>
      <c r="AH41" s="4">
        <f t="shared" si="20"/>
        <v>-21.271833333333333</v>
      </c>
      <c r="AI41" s="4">
        <f t="shared" si="21"/>
        <v>-21.222083333333334</v>
      </c>
      <c r="AJ41" s="4">
        <f t="shared" si="22"/>
        <v>-21.285</v>
      </c>
      <c r="AK41" s="4">
        <f t="shared" si="23"/>
        <v>-21.241499999999998</v>
      </c>
      <c r="AL41"/>
      <c r="AM41"/>
      <c r="AN41" s="4">
        <f t="shared" si="24"/>
        <v>-2.2583333333329847E-2</v>
      </c>
      <c r="AO41" s="4">
        <f t="shared" si="25"/>
        <v>-1.3166666666663218E-2</v>
      </c>
      <c r="AP41" s="4">
        <f t="shared" si="26"/>
        <v>9.5000000000027285E-3</v>
      </c>
      <c r="AQ41" s="4">
        <f t="shared" si="27"/>
        <v>-6.1666666666653214E-3</v>
      </c>
      <c r="AR41" s="4">
        <f t="shared" si="28"/>
        <v>2.583333333333826E-3</v>
      </c>
      <c r="AS41" s="4">
        <f t="shared" si="29"/>
        <v>8.1666666666677656E-3</v>
      </c>
      <c r="AT41" s="4">
        <f t="shared" si="30"/>
        <v>5.7916666666667282E-2</v>
      </c>
      <c r="AU41" s="4">
        <f t="shared" si="31"/>
        <v>-4.9999999999990052E-3</v>
      </c>
      <c r="AV41" s="4">
        <f t="shared" si="32"/>
        <v>3.8500000000002643E-2</v>
      </c>
    </row>
    <row r="42" spans="1:48" x14ac:dyDescent="0.25">
      <c r="A42" s="18">
        <v>48</v>
      </c>
      <c r="B42" s="19">
        <v>43581</v>
      </c>
      <c r="C42" s="20">
        <v>0.44211805555555556</v>
      </c>
      <c r="D42" s="18">
        <v>-21.31</v>
      </c>
      <c r="E42" s="18">
        <v>-21.38</v>
      </c>
      <c r="F42" s="18">
        <v>-21.25</v>
      </c>
      <c r="G42" s="18">
        <v>-21.31</v>
      </c>
      <c r="H42" s="18">
        <v>-21.44</v>
      </c>
      <c r="I42" s="18">
        <v>-21.44</v>
      </c>
      <c r="J42" s="18">
        <v>-21.06</v>
      </c>
      <c r="K42" s="18">
        <v>-21.13</v>
      </c>
      <c r="L42" s="18">
        <v>-21.63</v>
      </c>
      <c r="M42" s="18">
        <v>24.9</v>
      </c>
      <c r="N42" s="29">
        <v>-21.28</v>
      </c>
      <c r="O42" s="4">
        <f>N42-'Sonde étalon'!$C$12</f>
        <v>-21.28</v>
      </c>
      <c r="P42"/>
      <c r="R42" s="4">
        <f t="shared" si="6"/>
        <v>-2.9999999999997584E-2</v>
      </c>
      <c r="S42" s="4">
        <f t="shared" si="7"/>
        <v>-9.9999999999997868E-2</v>
      </c>
      <c r="T42" s="4">
        <f t="shared" si="8"/>
        <v>3.0000000000001137E-2</v>
      </c>
      <c r="U42" s="4">
        <f t="shared" si="9"/>
        <v>-2.9999999999997584E-2</v>
      </c>
      <c r="V42" s="4">
        <f t="shared" si="10"/>
        <v>-0.16000000000000014</v>
      </c>
      <c r="W42" s="4">
        <f t="shared" si="11"/>
        <v>-0.16000000000000014</v>
      </c>
      <c r="X42" s="4">
        <f t="shared" si="12"/>
        <v>0.22000000000000242</v>
      </c>
      <c r="Y42" s="4">
        <f t="shared" si="13"/>
        <v>0.15000000000000213</v>
      </c>
      <c r="Z42" s="4">
        <f t="shared" si="14"/>
        <v>-0.34999999999999787</v>
      </c>
      <c r="AB42"/>
      <c r="AC42" s="4">
        <f t="shared" si="15"/>
        <v>-21.232583333333331</v>
      </c>
      <c r="AD42" s="4">
        <f t="shared" si="16"/>
        <v>-21.293166666666664</v>
      </c>
      <c r="AE42" s="4">
        <f t="shared" si="17"/>
        <v>-21.270499999999998</v>
      </c>
      <c r="AF42" s="4">
        <f t="shared" si="18"/>
        <v>-21.286166666666666</v>
      </c>
      <c r="AG42" s="4">
        <f t="shared" si="19"/>
        <v>-21.277416666666667</v>
      </c>
      <c r="AH42" s="4">
        <f t="shared" si="20"/>
        <v>-21.271833333333333</v>
      </c>
      <c r="AI42" s="4">
        <f t="shared" si="21"/>
        <v>-21.282083333333333</v>
      </c>
      <c r="AJ42" s="4">
        <f t="shared" si="22"/>
        <v>-21.285</v>
      </c>
      <c r="AK42" s="4">
        <f t="shared" si="23"/>
        <v>-21.311499999999999</v>
      </c>
      <c r="AL42"/>
      <c r="AM42"/>
      <c r="AN42" s="4">
        <f t="shared" si="24"/>
        <v>4.7416666666670437E-2</v>
      </c>
      <c r="AO42" s="4">
        <f t="shared" si="25"/>
        <v>-1.3166666666663218E-2</v>
      </c>
      <c r="AP42" s="4">
        <f t="shared" si="26"/>
        <v>9.5000000000027285E-3</v>
      </c>
      <c r="AQ42" s="4">
        <f t="shared" si="27"/>
        <v>-6.1666666666653214E-3</v>
      </c>
      <c r="AR42" s="4">
        <f t="shared" si="28"/>
        <v>2.583333333333826E-3</v>
      </c>
      <c r="AS42" s="4">
        <f t="shared" si="29"/>
        <v>8.1666666666677656E-3</v>
      </c>
      <c r="AT42" s="4">
        <f t="shared" si="30"/>
        <v>-2.0833333333314386E-3</v>
      </c>
      <c r="AU42" s="4">
        <f t="shared" si="31"/>
        <v>-4.9999999999990052E-3</v>
      </c>
      <c r="AV42" s="4">
        <f t="shared" si="32"/>
        <v>-3.1499999999997641E-2</v>
      </c>
    </row>
    <row r="43" spans="1:48" x14ac:dyDescent="0.25">
      <c r="A43" s="18">
        <v>49</v>
      </c>
      <c r="B43" s="19">
        <v>43581</v>
      </c>
      <c r="C43" s="20">
        <v>0.4428125</v>
      </c>
      <c r="D43" s="18">
        <v>-21.38</v>
      </c>
      <c r="E43" s="18">
        <v>-21.38</v>
      </c>
      <c r="F43" s="18">
        <v>-21.25</v>
      </c>
      <c r="G43" s="18">
        <v>-21.31</v>
      </c>
      <c r="H43" s="18">
        <v>-21.44</v>
      </c>
      <c r="I43" s="18">
        <v>-21.44</v>
      </c>
      <c r="J43" s="18">
        <v>-21.06</v>
      </c>
      <c r="K43" s="18">
        <v>-21.13</v>
      </c>
      <c r="L43" s="18">
        <v>-21.63</v>
      </c>
      <c r="M43" s="18">
        <v>24.9</v>
      </c>
      <c r="N43" s="29">
        <v>-21.28</v>
      </c>
      <c r="O43" s="4">
        <f>N43-'Sonde étalon'!$C$12</f>
        <v>-21.28</v>
      </c>
      <c r="P43"/>
      <c r="R43" s="4">
        <f t="shared" si="6"/>
        <v>-9.9999999999997868E-2</v>
      </c>
      <c r="S43" s="4">
        <f t="shared" si="7"/>
        <v>-9.9999999999997868E-2</v>
      </c>
      <c r="T43" s="4">
        <f t="shared" si="8"/>
        <v>3.0000000000001137E-2</v>
      </c>
      <c r="U43" s="4">
        <f t="shared" si="9"/>
        <v>-2.9999999999997584E-2</v>
      </c>
      <c r="V43" s="4">
        <f t="shared" si="10"/>
        <v>-0.16000000000000014</v>
      </c>
      <c r="W43" s="4">
        <f t="shared" si="11"/>
        <v>-0.16000000000000014</v>
      </c>
      <c r="X43" s="4">
        <f t="shared" si="12"/>
        <v>0.22000000000000242</v>
      </c>
      <c r="Y43" s="4">
        <f t="shared" si="13"/>
        <v>0.15000000000000213</v>
      </c>
      <c r="Z43" s="4">
        <f t="shared" si="14"/>
        <v>-0.34999999999999787</v>
      </c>
      <c r="AB43"/>
      <c r="AC43" s="4">
        <f t="shared" si="15"/>
        <v>-21.302583333333331</v>
      </c>
      <c r="AD43" s="4">
        <f t="shared" si="16"/>
        <v>-21.293166666666664</v>
      </c>
      <c r="AE43" s="4">
        <f t="shared" si="17"/>
        <v>-21.270499999999998</v>
      </c>
      <c r="AF43" s="4">
        <f t="shared" si="18"/>
        <v>-21.286166666666666</v>
      </c>
      <c r="AG43" s="4">
        <f t="shared" si="19"/>
        <v>-21.277416666666667</v>
      </c>
      <c r="AH43" s="4">
        <f t="shared" si="20"/>
        <v>-21.271833333333333</v>
      </c>
      <c r="AI43" s="4">
        <f t="shared" si="21"/>
        <v>-21.282083333333333</v>
      </c>
      <c r="AJ43" s="4">
        <f t="shared" si="22"/>
        <v>-21.285</v>
      </c>
      <c r="AK43" s="4">
        <f t="shared" si="23"/>
        <v>-21.311499999999999</v>
      </c>
      <c r="AL43"/>
      <c r="AM43"/>
      <c r="AN43" s="4">
        <f t="shared" si="24"/>
        <v>-2.2583333333329847E-2</v>
      </c>
      <c r="AO43" s="4">
        <f t="shared" si="25"/>
        <v>-1.3166666666663218E-2</v>
      </c>
      <c r="AP43" s="4">
        <f t="shared" si="26"/>
        <v>9.5000000000027285E-3</v>
      </c>
      <c r="AQ43" s="4">
        <f t="shared" si="27"/>
        <v>-6.1666666666653214E-3</v>
      </c>
      <c r="AR43" s="4">
        <f t="shared" si="28"/>
        <v>2.583333333333826E-3</v>
      </c>
      <c r="AS43" s="4">
        <f t="shared" si="29"/>
        <v>8.1666666666677656E-3</v>
      </c>
      <c r="AT43" s="4">
        <f t="shared" si="30"/>
        <v>-2.0833333333314386E-3</v>
      </c>
      <c r="AU43" s="4">
        <f t="shared" si="31"/>
        <v>-4.9999999999990052E-3</v>
      </c>
      <c r="AV43" s="4">
        <f t="shared" si="32"/>
        <v>-3.1499999999997641E-2</v>
      </c>
    </row>
    <row r="44" spans="1:48" x14ac:dyDescent="0.25">
      <c r="A44" s="18">
        <v>50</v>
      </c>
      <c r="B44" s="19">
        <v>43581</v>
      </c>
      <c r="C44" s="20">
        <v>0.44350694444444444</v>
      </c>
      <c r="D44" s="18">
        <v>-21.38</v>
      </c>
      <c r="E44" s="18">
        <v>-21.38</v>
      </c>
      <c r="F44" s="18">
        <v>-21.25</v>
      </c>
      <c r="G44" s="18">
        <v>-21.31</v>
      </c>
      <c r="H44" s="18">
        <v>-21.44</v>
      </c>
      <c r="I44" s="18">
        <v>-21.5</v>
      </c>
      <c r="J44" s="18">
        <v>-21.06</v>
      </c>
      <c r="K44" s="18">
        <v>-21.13</v>
      </c>
      <c r="L44" s="18">
        <v>-21.63</v>
      </c>
      <c r="M44" s="18">
        <v>24.9</v>
      </c>
      <c r="N44" s="29">
        <v>-21.3</v>
      </c>
      <c r="O44" s="4">
        <f>N44-'Sonde étalon'!$C$12</f>
        <v>-21.3</v>
      </c>
      <c r="P44"/>
      <c r="R44" s="4">
        <f t="shared" si="6"/>
        <v>-7.9999999999998295E-2</v>
      </c>
      <c r="S44" s="4">
        <f t="shared" si="7"/>
        <v>-7.9999999999998295E-2</v>
      </c>
      <c r="T44" s="4">
        <f t="shared" si="8"/>
        <v>5.0000000000000711E-2</v>
      </c>
      <c r="U44" s="4">
        <f t="shared" si="9"/>
        <v>-9.9999999999980105E-3</v>
      </c>
      <c r="V44" s="4">
        <f t="shared" si="10"/>
        <v>-0.14000000000000057</v>
      </c>
      <c r="W44" s="4">
        <f t="shared" si="11"/>
        <v>-0.19999999999999929</v>
      </c>
      <c r="X44" s="4">
        <f t="shared" si="12"/>
        <v>0.24000000000000199</v>
      </c>
      <c r="Y44" s="4">
        <f t="shared" si="13"/>
        <v>0.17000000000000171</v>
      </c>
      <c r="Z44" s="4">
        <f t="shared" si="14"/>
        <v>-0.32999999999999829</v>
      </c>
      <c r="AB44"/>
      <c r="AC44" s="4">
        <f t="shared" si="15"/>
        <v>-21.302583333333331</v>
      </c>
      <c r="AD44" s="4">
        <f t="shared" si="16"/>
        <v>-21.293166666666664</v>
      </c>
      <c r="AE44" s="4">
        <f t="shared" si="17"/>
        <v>-21.270499999999998</v>
      </c>
      <c r="AF44" s="4">
        <f t="shared" si="18"/>
        <v>-21.286166666666666</v>
      </c>
      <c r="AG44" s="4">
        <f t="shared" si="19"/>
        <v>-21.277416666666667</v>
      </c>
      <c r="AH44" s="4">
        <f t="shared" si="20"/>
        <v>-21.331833333333332</v>
      </c>
      <c r="AI44" s="4">
        <f t="shared" si="21"/>
        <v>-21.282083333333333</v>
      </c>
      <c r="AJ44" s="4">
        <f t="shared" si="22"/>
        <v>-21.285</v>
      </c>
      <c r="AK44" s="4">
        <f t="shared" si="23"/>
        <v>-21.311499999999999</v>
      </c>
      <c r="AL44"/>
      <c r="AM44"/>
      <c r="AN44" s="4">
        <f t="shared" si="24"/>
        <v>-2.5833333333302733E-3</v>
      </c>
      <c r="AO44" s="4">
        <f t="shared" si="25"/>
        <v>6.8333333333363555E-3</v>
      </c>
      <c r="AP44" s="4">
        <f t="shared" si="26"/>
        <v>2.9500000000002302E-2</v>
      </c>
      <c r="AQ44" s="4">
        <f t="shared" si="27"/>
        <v>1.3833333333334252E-2</v>
      </c>
      <c r="AR44" s="4">
        <f t="shared" si="28"/>
        <v>2.25833333333334E-2</v>
      </c>
      <c r="AS44" s="4">
        <f t="shared" si="29"/>
        <v>-3.1833333333331382E-2</v>
      </c>
      <c r="AT44" s="4">
        <f t="shared" si="30"/>
        <v>1.7916666666668135E-2</v>
      </c>
      <c r="AU44" s="4">
        <f t="shared" si="31"/>
        <v>1.5000000000000568E-2</v>
      </c>
      <c r="AV44" s="4">
        <f t="shared" si="32"/>
        <v>-1.1499999999998067E-2</v>
      </c>
    </row>
    <row r="45" spans="1:48" x14ac:dyDescent="0.25">
      <c r="A45" s="18">
        <v>51</v>
      </c>
      <c r="B45" s="19">
        <v>43581</v>
      </c>
      <c r="C45" s="20">
        <v>0.44420138888888888</v>
      </c>
      <c r="D45" s="18">
        <v>-21.38</v>
      </c>
      <c r="E45" s="18">
        <v>-21.38</v>
      </c>
      <c r="F45" s="18">
        <v>-21.31</v>
      </c>
      <c r="G45" s="18">
        <v>-21.38</v>
      </c>
      <c r="H45" s="18">
        <v>-21.5</v>
      </c>
      <c r="I45" s="18">
        <v>-21.5</v>
      </c>
      <c r="J45" s="18">
        <v>-21.06</v>
      </c>
      <c r="K45" s="18">
        <v>-21.13</v>
      </c>
      <c r="L45" s="18">
        <v>-21.63</v>
      </c>
      <c r="M45" s="18">
        <v>24.9</v>
      </c>
      <c r="N45" s="29">
        <v>-21.3</v>
      </c>
      <c r="O45" s="4">
        <f>N45-'Sonde étalon'!$C$12</f>
        <v>-21.3</v>
      </c>
      <c r="P45"/>
      <c r="R45" s="4">
        <f t="shared" si="6"/>
        <v>-7.9999999999998295E-2</v>
      </c>
      <c r="S45" s="4">
        <f t="shared" si="7"/>
        <v>-7.9999999999998295E-2</v>
      </c>
      <c r="T45" s="4">
        <f t="shared" si="8"/>
        <v>-9.9999999999980105E-3</v>
      </c>
      <c r="U45" s="4">
        <f t="shared" si="9"/>
        <v>-7.9999999999998295E-2</v>
      </c>
      <c r="V45" s="4">
        <f t="shared" si="10"/>
        <v>-0.19999999999999929</v>
      </c>
      <c r="W45" s="4">
        <f t="shared" si="11"/>
        <v>-0.19999999999999929</v>
      </c>
      <c r="X45" s="4">
        <f t="shared" si="12"/>
        <v>0.24000000000000199</v>
      </c>
      <c r="Y45" s="4">
        <f t="shared" si="13"/>
        <v>0.17000000000000171</v>
      </c>
      <c r="Z45" s="4">
        <f t="shared" si="14"/>
        <v>-0.32999999999999829</v>
      </c>
      <c r="AB45"/>
      <c r="AC45" s="4">
        <f t="shared" si="15"/>
        <v>-21.302583333333331</v>
      </c>
      <c r="AD45" s="4">
        <f t="shared" si="16"/>
        <v>-21.293166666666664</v>
      </c>
      <c r="AE45" s="4">
        <f t="shared" si="17"/>
        <v>-21.330499999999997</v>
      </c>
      <c r="AF45" s="4">
        <f t="shared" si="18"/>
        <v>-21.356166666666667</v>
      </c>
      <c r="AG45" s="4">
        <f t="shared" si="19"/>
        <v>-21.337416666666666</v>
      </c>
      <c r="AH45" s="4">
        <f t="shared" si="20"/>
        <v>-21.331833333333332</v>
      </c>
      <c r="AI45" s="4">
        <f t="shared" si="21"/>
        <v>-21.282083333333333</v>
      </c>
      <c r="AJ45" s="4">
        <f t="shared" si="22"/>
        <v>-21.285</v>
      </c>
      <c r="AK45" s="4">
        <f t="shared" si="23"/>
        <v>-21.311499999999999</v>
      </c>
      <c r="AL45"/>
      <c r="AM45"/>
      <c r="AN45" s="4">
        <f t="shared" si="24"/>
        <v>-2.5833333333302733E-3</v>
      </c>
      <c r="AO45" s="4">
        <f t="shared" si="25"/>
        <v>6.8333333333363555E-3</v>
      </c>
      <c r="AP45" s="4">
        <f t="shared" si="26"/>
        <v>-3.0499999999996419E-2</v>
      </c>
      <c r="AQ45" s="4">
        <f t="shared" si="27"/>
        <v>-5.6166666666666032E-2</v>
      </c>
      <c r="AR45" s="4">
        <f t="shared" si="28"/>
        <v>-3.7416666666665321E-2</v>
      </c>
      <c r="AS45" s="4">
        <f t="shared" si="29"/>
        <v>-3.1833333333331382E-2</v>
      </c>
      <c r="AT45" s="4">
        <f t="shared" si="30"/>
        <v>1.7916666666668135E-2</v>
      </c>
      <c r="AU45" s="4">
        <f t="shared" si="31"/>
        <v>1.5000000000000568E-2</v>
      </c>
      <c r="AV45" s="4">
        <f t="shared" si="32"/>
        <v>-1.1499999999998067E-2</v>
      </c>
    </row>
    <row r="46" spans="1:48" x14ac:dyDescent="0.25">
      <c r="A46" s="18">
        <v>52</v>
      </c>
      <c r="B46" s="19">
        <v>43581</v>
      </c>
      <c r="C46" s="20">
        <v>0.44489583333333332</v>
      </c>
      <c r="D46" s="18">
        <v>-21.38</v>
      </c>
      <c r="E46" s="18">
        <v>-21.38</v>
      </c>
      <c r="F46" s="18">
        <v>-21.31</v>
      </c>
      <c r="G46" s="18">
        <v>-21.31</v>
      </c>
      <c r="H46" s="18">
        <v>-21.5</v>
      </c>
      <c r="I46" s="18">
        <v>-21.5</v>
      </c>
      <c r="J46" s="18">
        <v>-21.13</v>
      </c>
      <c r="K46" s="18">
        <v>-21.19</v>
      </c>
      <c r="L46" s="18">
        <v>-21.63</v>
      </c>
      <c r="M46" s="18">
        <v>24.9</v>
      </c>
      <c r="N46" s="29">
        <v>-21.3</v>
      </c>
      <c r="O46" s="4">
        <f>N46-'Sonde étalon'!$C$12</f>
        <v>-21.3</v>
      </c>
      <c r="P46"/>
      <c r="R46" s="4">
        <f t="shared" si="6"/>
        <v>-7.9999999999998295E-2</v>
      </c>
      <c r="S46" s="4">
        <f t="shared" si="7"/>
        <v>-7.9999999999998295E-2</v>
      </c>
      <c r="T46" s="4">
        <f t="shared" si="8"/>
        <v>-9.9999999999980105E-3</v>
      </c>
      <c r="U46" s="4">
        <f t="shared" si="9"/>
        <v>-9.9999999999980105E-3</v>
      </c>
      <c r="V46" s="4">
        <f t="shared" si="10"/>
        <v>-0.19999999999999929</v>
      </c>
      <c r="W46" s="4">
        <f t="shared" si="11"/>
        <v>-0.19999999999999929</v>
      </c>
      <c r="X46" s="4">
        <f t="shared" si="12"/>
        <v>0.17000000000000171</v>
      </c>
      <c r="Y46" s="4">
        <f t="shared" si="13"/>
        <v>0.10999999999999943</v>
      </c>
      <c r="Z46" s="4">
        <f t="shared" si="14"/>
        <v>-0.32999999999999829</v>
      </c>
      <c r="AB46"/>
      <c r="AC46" s="4">
        <f t="shared" si="15"/>
        <v>-21.302583333333331</v>
      </c>
      <c r="AD46" s="4">
        <f t="shared" si="16"/>
        <v>-21.293166666666664</v>
      </c>
      <c r="AE46" s="4">
        <f t="shared" si="17"/>
        <v>-21.330499999999997</v>
      </c>
      <c r="AF46" s="4">
        <f t="shared" si="18"/>
        <v>-21.286166666666666</v>
      </c>
      <c r="AG46" s="4">
        <f t="shared" si="19"/>
        <v>-21.337416666666666</v>
      </c>
      <c r="AH46" s="4">
        <f t="shared" si="20"/>
        <v>-21.331833333333332</v>
      </c>
      <c r="AI46" s="4">
        <f t="shared" si="21"/>
        <v>-21.352083333333333</v>
      </c>
      <c r="AJ46" s="4">
        <f t="shared" si="22"/>
        <v>-21.345000000000002</v>
      </c>
      <c r="AK46" s="4">
        <f t="shared" si="23"/>
        <v>-21.311499999999999</v>
      </c>
      <c r="AL46"/>
      <c r="AM46"/>
      <c r="AN46" s="4">
        <f t="shared" si="24"/>
        <v>-2.5833333333302733E-3</v>
      </c>
      <c r="AO46" s="4">
        <f t="shared" si="25"/>
        <v>6.8333333333363555E-3</v>
      </c>
      <c r="AP46" s="4">
        <f t="shared" si="26"/>
        <v>-3.0499999999996419E-2</v>
      </c>
      <c r="AQ46" s="4">
        <f t="shared" si="27"/>
        <v>1.3833333333334252E-2</v>
      </c>
      <c r="AR46" s="4">
        <f t="shared" si="28"/>
        <v>-3.7416666666665321E-2</v>
      </c>
      <c r="AS46" s="4">
        <f t="shared" si="29"/>
        <v>-3.1833333333331382E-2</v>
      </c>
      <c r="AT46" s="4">
        <f t="shared" si="30"/>
        <v>-5.2083333333332149E-2</v>
      </c>
      <c r="AU46" s="4">
        <f t="shared" si="31"/>
        <v>-4.5000000000001705E-2</v>
      </c>
      <c r="AV46" s="4">
        <f t="shared" si="32"/>
        <v>-1.1499999999998067E-2</v>
      </c>
    </row>
    <row r="47" spans="1:48" x14ac:dyDescent="0.25">
      <c r="A47" s="18">
        <v>53</v>
      </c>
      <c r="B47" s="19">
        <v>43581</v>
      </c>
      <c r="C47" s="20">
        <v>0.44559027777777777</v>
      </c>
      <c r="D47" s="18">
        <v>-21.44</v>
      </c>
      <c r="E47" s="18">
        <v>-21.44</v>
      </c>
      <c r="F47" s="18">
        <v>-21.31</v>
      </c>
      <c r="G47" s="18">
        <v>-21.38</v>
      </c>
      <c r="H47" s="18">
        <v>-21.5</v>
      </c>
      <c r="I47" s="18">
        <v>-21.5</v>
      </c>
      <c r="J47" s="18">
        <v>-21.13</v>
      </c>
      <c r="K47" s="18">
        <v>-21.19</v>
      </c>
      <c r="L47" s="18">
        <v>-21.63</v>
      </c>
      <c r="M47" s="18">
        <v>24.9</v>
      </c>
      <c r="N47" s="29">
        <v>-21.32</v>
      </c>
      <c r="O47" s="4">
        <f>N47-'Sonde étalon'!$C$12</f>
        <v>-21.32</v>
      </c>
      <c r="P47"/>
      <c r="R47" s="4">
        <f t="shared" si="6"/>
        <v>-0.12000000000000099</v>
      </c>
      <c r="S47" s="4">
        <f t="shared" si="7"/>
        <v>-0.12000000000000099</v>
      </c>
      <c r="T47" s="4">
        <f t="shared" si="8"/>
        <v>1.0000000000001563E-2</v>
      </c>
      <c r="U47" s="4">
        <f t="shared" si="9"/>
        <v>-5.9999999999998721E-2</v>
      </c>
      <c r="V47" s="4">
        <f t="shared" si="10"/>
        <v>-0.17999999999999972</v>
      </c>
      <c r="W47" s="4">
        <f t="shared" si="11"/>
        <v>-0.17999999999999972</v>
      </c>
      <c r="X47" s="4">
        <f t="shared" si="12"/>
        <v>0.19000000000000128</v>
      </c>
      <c r="Y47" s="4">
        <f t="shared" si="13"/>
        <v>0.12999999999999901</v>
      </c>
      <c r="Z47" s="4">
        <f t="shared" si="14"/>
        <v>-0.30999999999999872</v>
      </c>
      <c r="AB47"/>
      <c r="AC47" s="4">
        <f t="shared" si="15"/>
        <v>-21.362583333333333</v>
      </c>
      <c r="AD47" s="4">
        <f t="shared" si="16"/>
        <v>-21.353166666666667</v>
      </c>
      <c r="AE47" s="4">
        <f t="shared" si="17"/>
        <v>-21.330499999999997</v>
      </c>
      <c r="AF47" s="4">
        <f t="shared" si="18"/>
        <v>-21.356166666666667</v>
      </c>
      <c r="AG47" s="4">
        <f t="shared" si="19"/>
        <v>-21.337416666666666</v>
      </c>
      <c r="AH47" s="4">
        <f t="shared" si="20"/>
        <v>-21.331833333333332</v>
      </c>
      <c r="AI47" s="4">
        <f t="shared" si="21"/>
        <v>-21.352083333333333</v>
      </c>
      <c r="AJ47" s="4">
        <f t="shared" si="22"/>
        <v>-21.345000000000002</v>
      </c>
      <c r="AK47" s="4">
        <f t="shared" si="23"/>
        <v>-21.311499999999999</v>
      </c>
      <c r="AL47"/>
      <c r="AM47"/>
      <c r="AN47" s="4">
        <f t="shared" si="24"/>
        <v>-4.2583333333332973E-2</v>
      </c>
      <c r="AO47" s="4">
        <f t="shared" si="25"/>
        <v>-3.3166666666666345E-2</v>
      </c>
      <c r="AP47" s="4">
        <f t="shared" si="26"/>
        <v>-1.0499999999996845E-2</v>
      </c>
      <c r="AQ47" s="4">
        <f t="shared" si="27"/>
        <v>-3.6166666666666458E-2</v>
      </c>
      <c r="AR47" s="4">
        <f t="shared" si="28"/>
        <v>-1.7416666666665748E-2</v>
      </c>
      <c r="AS47" s="4">
        <f t="shared" si="29"/>
        <v>-1.1833333333331808E-2</v>
      </c>
      <c r="AT47" s="4">
        <f t="shared" si="30"/>
        <v>-3.2083333333332575E-2</v>
      </c>
      <c r="AU47" s="4">
        <f t="shared" si="31"/>
        <v>-2.5000000000002132E-2</v>
      </c>
      <c r="AV47" s="4">
        <f t="shared" si="32"/>
        <v>8.5000000000015064E-3</v>
      </c>
    </row>
    <row r="48" spans="1:48" x14ac:dyDescent="0.25">
      <c r="A48" s="18">
        <v>54</v>
      </c>
      <c r="B48" s="19">
        <v>43581</v>
      </c>
      <c r="C48" s="20">
        <v>0.44628472222222221</v>
      </c>
      <c r="D48" s="18">
        <v>-21.44</v>
      </c>
      <c r="E48" s="18">
        <v>-21.44</v>
      </c>
      <c r="F48" s="18">
        <v>-21.31</v>
      </c>
      <c r="G48" s="18">
        <v>-21.38</v>
      </c>
      <c r="H48" s="18">
        <v>-21.5</v>
      </c>
      <c r="I48" s="18">
        <v>-21.5</v>
      </c>
      <c r="J48" s="18">
        <v>-21.13</v>
      </c>
      <c r="K48" s="18">
        <v>-21.19</v>
      </c>
      <c r="L48" s="18">
        <v>-21.69</v>
      </c>
      <c r="M48" s="18">
        <v>24.9</v>
      </c>
      <c r="N48" s="29">
        <v>-21.33</v>
      </c>
      <c r="O48" s="4">
        <f>N48-'Sonde étalon'!$C$12</f>
        <v>-21.33</v>
      </c>
      <c r="P48"/>
      <c r="R48" s="4">
        <f t="shared" si="6"/>
        <v>-0.11000000000000298</v>
      </c>
      <c r="S48" s="4">
        <f t="shared" si="7"/>
        <v>-0.11000000000000298</v>
      </c>
      <c r="T48" s="4">
        <f t="shared" si="8"/>
        <v>1.9999999999999574E-2</v>
      </c>
      <c r="U48" s="4">
        <f t="shared" si="9"/>
        <v>-5.0000000000000711E-2</v>
      </c>
      <c r="V48" s="4">
        <f t="shared" si="10"/>
        <v>-0.17000000000000171</v>
      </c>
      <c r="W48" s="4">
        <f t="shared" si="11"/>
        <v>-0.17000000000000171</v>
      </c>
      <c r="X48" s="4">
        <f t="shared" si="12"/>
        <v>0.19999999999999929</v>
      </c>
      <c r="Y48" s="4">
        <f t="shared" si="13"/>
        <v>0.13999999999999702</v>
      </c>
      <c r="Z48" s="4">
        <f t="shared" si="14"/>
        <v>-0.36000000000000298</v>
      </c>
      <c r="AB48"/>
      <c r="AC48" s="4">
        <f t="shared" si="15"/>
        <v>-21.362583333333333</v>
      </c>
      <c r="AD48" s="4">
        <f t="shared" si="16"/>
        <v>-21.353166666666667</v>
      </c>
      <c r="AE48" s="4">
        <f t="shared" si="17"/>
        <v>-21.330499999999997</v>
      </c>
      <c r="AF48" s="4">
        <f t="shared" si="18"/>
        <v>-21.356166666666667</v>
      </c>
      <c r="AG48" s="4">
        <f t="shared" si="19"/>
        <v>-21.337416666666666</v>
      </c>
      <c r="AH48" s="4">
        <f t="shared" si="20"/>
        <v>-21.331833333333332</v>
      </c>
      <c r="AI48" s="4">
        <f t="shared" si="21"/>
        <v>-21.352083333333333</v>
      </c>
      <c r="AJ48" s="4">
        <f t="shared" si="22"/>
        <v>-21.345000000000002</v>
      </c>
      <c r="AK48" s="4">
        <f t="shared" si="23"/>
        <v>-21.371500000000001</v>
      </c>
      <c r="AL48"/>
      <c r="AM48"/>
      <c r="AN48" s="4">
        <f t="shared" si="24"/>
        <v>-3.2583333333334963E-2</v>
      </c>
      <c r="AO48" s="4">
        <f t="shared" si="25"/>
        <v>-2.3166666666668334E-2</v>
      </c>
      <c r="AP48" s="4">
        <f t="shared" si="26"/>
        <v>-4.9999999999883471E-4</v>
      </c>
      <c r="AQ48" s="4">
        <f t="shared" si="27"/>
        <v>-2.6166666666668448E-2</v>
      </c>
      <c r="AR48" s="4">
        <f t="shared" si="28"/>
        <v>-7.4166666666677372E-3</v>
      </c>
      <c r="AS48" s="4">
        <f t="shared" si="29"/>
        <v>-1.8333333333337976E-3</v>
      </c>
      <c r="AT48" s="4">
        <f t="shared" si="30"/>
        <v>-2.2083333333334565E-2</v>
      </c>
      <c r="AU48" s="4">
        <f t="shared" si="31"/>
        <v>-1.5000000000004121E-2</v>
      </c>
      <c r="AV48" s="4">
        <f t="shared" si="32"/>
        <v>-4.1500000000002757E-2</v>
      </c>
    </row>
    <row r="49" spans="1:48" x14ac:dyDescent="0.25">
      <c r="A49" s="18">
        <v>55</v>
      </c>
      <c r="B49" s="19">
        <v>43581</v>
      </c>
      <c r="C49" s="20">
        <v>0.44697916666666665</v>
      </c>
      <c r="D49" s="18">
        <v>-21.44</v>
      </c>
      <c r="E49" s="18">
        <v>-21.44</v>
      </c>
      <c r="F49" s="18">
        <v>-21.31</v>
      </c>
      <c r="G49" s="18">
        <v>-21.38</v>
      </c>
      <c r="H49" s="18">
        <v>-21.5</v>
      </c>
      <c r="I49" s="18">
        <v>-21.5</v>
      </c>
      <c r="J49" s="18">
        <v>-21.13</v>
      </c>
      <c r="K49" s="18">
        <v>-21.19</v>
      </c>
      <c r="L49" s="18">
        <v>-21.69</v>
      </c>
      <c r="M49" s="18">
        <v>24.9</v>
      </c>
      <c r="N49" s="29">
        <v>-21.34</v>
      </c>
      <c r="O49" s="4">
        <f>N49-'Sonde étalon'!$C$12</f>
        <v>-21.34</v>
      </c>
      <c r="P49"/>
      <c r="R49" s="4">
        <f t="shared" si="6"/>
        <v>-0.10000000000000142</v>
      </c>
      <c r="S49" s="4">
        <f t="shared" si="7"/>
        <v>-0.10000000000000142</v>
      </c>
      <c r="T49" s="4">
        <f t="shared" si="8"/>
        <v>3.0000000000001137E-2</v>
      </c>
      <c r="U49" s="4">
        <f t="shared" si="9"/>
        <v>-3.9999999999999147E-2</v>
      </c>
      <c r="V49" s="4">
        <f t="shared" si="10"/>
        <v>-0.16000000000000014</v>
      </c>
      <c r="W49" s="4">
        <f t="shared" si="11"/>
        <v>-0.16000000000000014</v>
      </c>
      <c r="X49" s="4">
        <f t="shared" si="12"/>
        <v>0.21000000000000085</v>
      </c>
      <c r="Y49" s="4">
        <f t="shared" si="13"/>
        <v>0.14999999999999858</v>
      </c>
      <c r="Z49" s="4">
        <f t="shared" si="14"/>
        <v>-0.35000000000000142</v>
      </c>
      <c r="AB49"/>
      <c r="AC49" s="4">
        <f t="shared" si="15"/>
        <v>-21.362583333333333</v>
      </c>
      <c r="AD49" s="4">
        <f t="shared" si="16"/>
        <v>-21.353166666666667</v>
      </c>
      <c r="AE49" s="4">
        <f t="shared" si="17"/>
        <v>-21.330499999999997</v>
      </c>
      <c r="AF49" s="4">
        <f t="shared" si="18"/>
        <v>-21.356166666666667</v>
      </c>
      <c r="AG49" s="4">
        <f t="shared" si="19"/>
        <v>-21.337416666666666</v>
      </c>
      <c r="AH49" s="4">
        <f t="shared" si="20"/>
        <v>-21.331833333333332</v>
      </c>
      <c r="AI49" s="4">
        <f t="shared" si="21"/>
        <v>-21.352083333333333</v>
      </c>
      <c r="AJ49" s="4">
        <f t="shared" si="22"/>
        <v>-21.345000000000002</v>
      </c>
      <c r="AK49" s="4">
        <f t="shared" si="23"/>
        <v>-21.371500000000001</v>
      </c>
      <c r="AL49"/>
      <c r="AM49"/>
      <c r="AN49" s="4">
        <f t="shared" si="24"/>
        <v>-2.25833333333334E-2</v>
      </c>
      <c r="AO49" s="4">
        <f t="shared" si="25"/>
        <v>-1.3166666666666771E-2</v>
      </c>
      <c r="AP49" s="4">
        <f t="shared" si="26"/>
        <v>9.5000000000027285E-3</v>
      </c>
      <c r="AQ49" s="4">
        <f t="shared" si="27"/>
        <v>-1.6166666666666885E-2</v>
      </c>
      <c r="AR49" s="4">
        <f t="shared" si="28"/>
        <v>2.583333333333826E-3</v>
      </c>
      <c r="AS49" s="4">
        <f t="shared" si="29"/>
        <v>8.1666666666677656E-3</v>
      </c>
      <c r="AT49" s="4">
        <f t="shared" si="30"/>
        <v>-1.2083333333333002E-2</v>
      </c>
      <c r="AU49" s="4">
        <f t="shared" si="31"/>
        <v>-5.000000000002558E-3</v>
      </c>
      <c r="AV49" s="4">
        <f t="shared" si="32"/>
        <v>-3.1500000000001194E-2</v>
      </c>
    </row>
    <row r="50" spans="1:48" x14ac:dyDescent="0.25">
      <c r="A50" s="18">
        <v>56</v>
      </c>
      <c r="B50" s="19">
        <v>43581</v>
      </c>
      <c r="C50" s="20">
        <v>0.44767361111111109</v>
      </c>
      <c r="D50" s="18">
        <v>-21.44</v>
      </c>
      <c r="E50" s="18">
        <v>-21.44</v>
      </c>
      <c r="F50" s="18">
        <v>-21.31</v>
      </c>
      <c r="G50" s="18">
        <v>-21.38</v>
      </c>
      <c r="H50" s="18">
        <v>-21.5</v>
      </c>
      <c r="I50" s="18">
        <v>-21.5</v>
      </c>
      <c r="J50" s="18">
        <v>-21.13</v>
      </c>
      <c r="K50" s="18">
        <v>-21.19</v>
      </c>
      <c r="L50" s="18">
        <v>-21.69</v>
      </c>
      <c r="M50" s="18">
        <v>24.9</v>
      </c>
      <c r="N50" s="29">
        <v>-21.34</v>
      </c>
      <c r="O50" s="4">
        <f>N50-'Sonde étalon'!$C$12</f>
        <v>-21.34</v>
      </c>
      <c r="P50"/>
      <c r="R50" s="4">
        <f t="shared" si="6"/>
        <v>-0.10000000000000142</v>
      </c>
      <c r="S50" s="4">
        <f t="shared" si="7"/>
        <v>-0.10000000000000142</v>
      </c>
      <c r="T50" s="4">
        <f t="shared" si="8"/>
        <v>3.0000000000001137E-2</v>
      </c>
      <c r="U50" s="4">
        <f t="shared" si="9"/>
        <v>-3.9999999999999147E-2</v>
      </c>
      <c r="V50" s="4">
        <f t="shared" si="10"/>
        <v>-0.16000000000000014</v>
      </c>
      <c r="W50" s="4">
        <f t="shared" si="11"/>
        <v>-0.16000000000000014</v>
      </c>
      <c r="X50" s="4">
        <f t="shared" si="12"/>
        <v>0.21000000000000085</v>
      </c>
      <c r="Y50" s="4">
        <f t="shared" si="13"/>
        <v>0.14999999999999858</v>
      </c>
      <c r="Z50" s="4">
        <f t="shared" si="14"/>
        <v>-0.35000000000000142</v>
      </c>
      <c r="AB50"/>
      <c r="AC50" s="4">
        <f t="shared" si="15"/>
        <v>-21.362583333333333</v>
      </c>
      <c r="AD50" s="4">
        <f t="shared" si="16"/>
        <v>-21.353166666666667</v>
      </c>
      <c r="AE50" s="4">
        <f t="shared" si="17"/>
        <v>-21.330499999999997</v>
      </c>
      <c r="AF50" s="4">
        <f t="shared" si="18"/>
        <v>-21.356166666666667</v>
      </c>
      <c r="AG50" s="4">
        <f t="shared" si="19"/>
        <v>-21.337416666666666</v>
      </c>
      <c r="AH50" s="4">
        <f t="shared" si="20"/>
        <v>-21.331833333333332</v>
      </c>
      <c r="AI50" s="4">
        <f t="shared" si="21"/>
        <v>-21.352083333333333</v>
      </c>
      <c r="AJ50" s="4">
        <f t="shared" si="22"/>
        <v>-21.345000000000002</v>
      </c>
      <c r="AK50" s="4">
        <f t="shared" si="23"/>
        <v>-21.371500000000001</v>
      </c>
      <c r="AL50"/>
      <c r="AM50"/>
      <c r="AN50" s="4">
        <f t="shared" si="24"/>
        <v>-2.25833333333334E-2</v>
      </c>
      <c r="AO50" s="4">
        <f t="shared" si="25"/>
        <v>-1.3166666666666771E-2</v>
      </c>
      <c r="AP50" s="4">
        <f t="shared" si="26"/>
        <v>9.5000000000027285E-3</v>
      </c>
      <c r="AQ50" s="4">
        <f t="shared" si="27"/>
        <v>-1.6166666666666885E-2</v>
      </c>
      <c r="AR50" s="4">
        <f t="shared" si="28"/>
        <v>2.583333333333826E-3</v>
      </c>
      <c r="AS50" s="4">
        <f t="shared" si="29"/>
        <v>8.1666666666677656E-3</v>
      </c>
      <c r="AT50" s="4">
        <f t="shared" si="30"/>
        <v>-1.2083333333333002E-2</v>
      </c>
      <c r="AU50" s="4">
        <f t="shared" si="31"/>
        <v>-5.000000000002558E-3</v>
      </c>
      <c r="AV50" s="4">
        <f t="shared" si="32"/>
        <v>-3.1500000000001194E-2</v>
      </c>
    </row>
    <row r="51" spans="1:48" x14ac:dyDescent="0.25">
      <c r="A51" s="18">
        <v>57</v>
      </c>
      <c r="B51" s="19">
        <v>43581</v>
      </c>
      <c r="C51" s="20">
        <v>0.44836805555555559</v>
      </c>
      <c r="D51" s="18">
        <v>-21.44</v>
      </c>
      <c r="E51" s="18">
        <v>-21.44</v>
      </c>
      <c r="F51" s="18">
        <v>-21.31</v>
      </c>
      <c r="G51" s="18">
        <v>-21.38</v>
      </c>
      <c r="H51" s="18">
        <v>-21.5</v>
      </c>
      <c r="I51" s="18">
        <v>-21.5</v>
      </c>
      <c r="J51" s="18">
        <v>-21.13</v>
      </c>
      <c r="K51" s="18">
        <v>-21.19</v>
      </c>
      <c r="L51" s="18">
        <v>-21.69</v>
      </c>
      <c r="M51" s="18">
        <v>24.9</v>
      </c>
      <c r="N51" s="29">
        <v>-21.37</v>
      </c>
      <c r="O51" s="4">
        <f>N51-'Sonde étalon'!$C$12</f>
        <v>-21.37</v>
      </c>
      <c r="P51"/>
      <c r="R51" s="4">
        <f t="shared" si="6"/>
        <v>-7.0000000000000284E-2</v>
      </c>
      <c r="S51" s="4">
        <f t="shared" si="7"/>
        <v>-7.0000000000000284E-2</v>
      </c>
      <c r="T51" s="4">
        <f t="shared" si="8"/>
        <v>6.0000000000002274E-2</v>
      </c>
      <c r="U51" s="4">
        <f t="shared" si="9"/>
        <v>-9.9999999999980105E-3</v>
      </c>
      <c r="V51" s="4">
        <f t="shared" si="10"/>
        <v>-0.12999999999999901</v>
      </c>
      <c r="W51" s="4">
        <f t="shared" si="11"/>
        <v>-0.12999999999999901</v>
      </c>
      <c r="X51" s="4">
        <f t="shared" si="12"/>
        <v>0.24000000000000199</v>
      </c>
      <c r="Y51" s="4">
        <f t="shared" si="13"/>
        <v>0.17999999999999972</v>
      </c>
      <c r="Z51" s="4">
        <f t="shared" si="14"/>
        <v>-0.32000000000000028</v>
      </c>
      <c r="AB51"/>
      <c r="AC51" s="4">
        <f t="shared" si="15"/>
        <v>-21.362583333333333</v>
      </c>
      <c r="AD51" s="4">
        <f t="shared" si="16"/>
        <v>-21.353166666666667</v>
      </c>
      <c r="AE51" s="4">
        <f t="shared" si="17"/>
        <v>-21.330499999999997</v>
      </c>
      <c r="AF51" s="4">
        <f t="shared" si="18"/>
        <v>-21.356166666666667</v>
      </c>
      <c r="AG51" s="4">
        <f t="shared" si="19"/>
        <v>-21.337416666666666</v>
      </c>
      <c r="AH51" s="4">
        <f t="shared" si="20"/>
        <v>-21.331833333333332</v>
      </c>
      <c r="AI51" s="4">
        <f t="shared" si="21"/>
        <v>-21.352083333333333</v>
      </c>
      <c r="AJ51" s="4">
        <f t="shared" si="22"/>
        <v>-21.345000000000002</v>
      </c>
      <c r="AK51" s="4">
        <f t="shared" si="23"/>
        <v>-21.371500000000001</v>
      </c>
      <c r="AL51"/>
      <c r="AM51"/>
      <c r="AN51" s="4">
        <f t="shared" si="24"/>
        <v>7.4166666666677372E-3</v>
      </c>
      <c r="AO51" s="4">
        <f t="shared" si="25"/>
        <v>1.6833333333334366E-2</v>
      </c>
      <c r="AP51" s="4">
        <f t="shared" si="26"/>
        <v>3.9500000000003865E-2</v>
      </c>
      <c r="AQ51" s="4">
        <f t="shared" si="27"/>
        <v>1.3833333333334252E-2</v>
      </c>
      <c r="AR51" s="4">
        <f t="shared" si="28"/>
        <v>3.2583333333334963E-2</v>
      </c>
      <c r="AS51" s="4">
        <f t="shared" si="29"/>
        <v>3.8166666666668903E-2</v>
      </c>
      <c r="AT51" s="4">
        <f t="shared" si="30"/>
        <v>1.7916666666668135E-2</v>
      </c>
      <c r="AU51" s="4">
        <f t="shared" si="31"/>
        <v>2.4999999999998579E-2</v>
      </c>
      <c r="AV51" s="4">
        <f t="shared" si="32"/>
        <v>-1.5000000000000568E-3</v>
      </c>
    </row>
    <row r="52" spans="1:48" x14ac:dyDescent="0.25">
      <c r="A52" s="18">
        <v>58</v>
      </c>
      <c r="B52" s="19">
        <v>43581</v>
      </c>
      <c r="C52" s="20">
        <v>0.44906249999999998</v>
      </c>
      <c r="D52" s="18">
        <v>-21.44</v>
      </c>
      <c r="E52" s="18">
        <v>-21.44</v>
      </c>
      <c r="F52" s="18">
        <v>-21.31</v>
      </c>
      <c r="G52" s="18">
        <v>-21.38</v>
      </c>
      <c r="H52" s="18">
        <v>-21.5</v>
      </c>
      <c r="I52" s="18">
        <v>-21.5</v>
      </c>
      <c r="J52" s="18">
        <v>-21.13</v>
      </c>
      <c r="K52" s="18">
        <v>-21.19</v>
      </c>
      <c r="L52" s="18">
        <v>-21.69</v>
      </c>
      <c r="M52" s="18">
        <v>24.9</v>
      </c>
      <c r="N52" s="29">
        <v>-21.38</v>
      </c>
      <c r="O52" s="4">
        <f>N52-'Sonde étalon'!$C$12</f>
        <v>-21.38</v>
      </c>
      <c r="P52"/>
      <c r="R52" s="4">
        <f t="shared" si="6"/>
        <v>-6.0000000000002274E-2</v>
      </c>
      <c r="S52" s="4">
        <f t="shared" si="7"/>
        <v>-6.0000000000002274E-2</v>
      </c>
      <c r="T52" s="4">
        <f t="shared" si="8"/>
        <v>7.0000000000000284E-2</v>
      </c>
      <c r="U52" s="4">
        <f t="shared" si="9"/>
        <v>0</v>
      </c>
      <c r="V52" s="4">
        <f t="shared" si="10"/>
        <v>-0.12000000000000099</v>
      </c>
      <c r="W52" s="4">
        <f t="shared" si="11"/>
        <v>-0.12000000000000099</v>
      </c>
      <c r="X52" s="4">
        <f t="shared" si="12"/>
        <v>0.25</v>
      </c>
      <c r="Y52" s="4">
        <f t="shared" si="13"/>
        <v>0.18999999999999773</v>
      </c>
      <c r="Z52" s="4">
        <f t="shared" si="14"/>
        <v>-0.31000000000000227</v>
      </c>
      <c r="AB52"/>
      <c r="AC52" s="4">
        <f t="shared" si="15"/>
        <v>-21.362583333333333</v>
      </c>
      <c r="AD52" s="4">
        <f t="shared" si="16"/>
        <v>-21.353166666666667</v>
      </c>
      <c r="AE52" s="4">
        <f t="shared" si="17"/>
        <v>-21.330499999999997</v>
      </c>
      <c r="AF52" s="4">
        <f t="shared" si="18"/>
        <v>-21.356166666666667</v>
      </c>
      <c r="AG52" s="4">
        <f t="shared" si="19"/>
        <v>-21.337416666666666</v>
      </c>
      <c r="AH52" s="4">
        <f t="shared" si="20"/>
        <v>-21.331833333333332</v>
      </c>
      <c r="AI52" s="4">
        <f t="shared" si="21"/>
        <v>-21.352083333333333</v>
      </c>
      <c r="AJ52" s="4">
        <f t="shared" si="22"/>
        <v>-21.345000000000002</v>
      </c>
      <c r="AK52" s="4">
        <f t="shared" si="23"/>
        <v>-21.371500000000001</v>
      </c>
      <c r="AL52"/>
      <c r="AM52"/>
      <c r="AN52" s="4">
        <f t="shared" si="24"/>
        <v>1.7416666666665748E-2</v>
      </c>
      <c r="AO52" s="4">
        <f t="shared" si="25"/>
        <v>2.6833333333332376E-2</v>
      </c>
      <c r="AP52" s="4">
        <f t="shared" si="26"/>
        <v>4.9500000000001876E-2</v>
      </c>
      <c r="AQ52" s="4">
        <f t="shared" si="27"/>
        <v>2.3833333333332263E-2</v>
      </c>
      <c r="AR52" s="4">
        <f t="shared" si="28"/>
        <v>4.2583333333332973E-2</v>
      </c>
      <c r="AS52" s="4">
        <f t="shared" si="29"/>
        <v>4.8166666666666913E-2</v>
      </c>
      <c r="AT52" s="4">
        <f t="shared" si="30"/>
        <v>2.7916666666666146E-2</v>
      </c>
      <c r="AU52" s="4">
        <f t="shared" si="31"/>
        <v>3.4999999999996589E-2</v>
      </c>
      <c r="AV52" s="4">
        <f t="shared" si="32"/>
        <v>8.4999999999979536E-3</v>
      </c>
    </row>
    <row r="53" spans="1:48" x14ac:dyDescent="0.25">
      <c r="A53" s="18">
        <v>59</v>
      </c>
      <c r="B53" s="19">
        <v>43581</v>
      </c>
      <c r="C53" s="20">
        <v>0.44975694444444447</v>
      </c>
      <c r="D53" s="18">
        <v>-21.44</v>
      </c>
      <c r="E53" s="18">
        <v>-21.44</v>
      </c>
      <c r="F53" s="18">
        <v>-21.31</v>
      </c>
      <c r="G53" s="18">
        <v>-21.38</v>
      </c>
      <c r="H53" s="18">
        <v>-21.5</v>
      </c>
      <c r="I53" s="18">
        <v>-21.5</v>
      </c>
      <c r="J53" s="18">
        <v>-21.13</v>
      </c>
      <c r="K53" s="18">
        <v>-21.19</v>
      </c>
      <c r="L53" s="18">
        <v>-21.69</v>
      </c>
      <c r="M53" s="18">
        <v>24.9</v>
      </c>
      <c r="N53" s="29">
        <v>-21.37</v>
      </c>
      <c r="O53" s="4">
        <f>N53-'Sonde étalon'!$C$12</f>
        <v>-21.37</v>
      </c>
      <c r="P53"/>
      <c r="R53" s="4">
        <f t="shared" si="6"/>
        <v>-7.0000000000000284E-2</v>
      </c>
      <c r="S53" s="4">
        <f t="shared" si="7"/>
        <v>-7.0000000000000284E-2</v>
      </c>
      <c r="T53" s="4">
        <f t="shared" si="8"/>
        <v>6.0000000000002274E-2</v>
      </c>
      <c r="U53" s="4">
        <f t="shared" si="9"/>
        <v>-9.9999999999980105E-3</v>
      </c>
      <c r="V53" s="4">
        <f t="shared" si="10"/>
        <v>-0.12999999999999901</v>
      </c>
      <c r="W53" s="4">
        <f t="shared" si="11"/>
        <v>-0.12999999999999901</v>
      </c>
      <c r="X53" s="4">
        <f t="shared" si="12"/>
        <v>0.24000000000000199</v>
      </c>
      <c r="Y53" s="4">
        <f t="shared" si="13"/>
        <v>0.17999999999999972</v>
      </c>
      <c r="Z53" s="4">
        <f t="shared" si="14"/>
        <v>-0.32000000000000028</v>
      </c>
      <c r="AB53"/>
      <c r="AC53" s="4">
        <f t="shared" si="15"/>
        <v>-21.362583333333333</v>
      </c>
      <c r="AD53" s="4">
        <f t="shared" si="16"/>
        <v>-21.353166666666667</v>
      </c>
      <c r="AE53" s="4">
        <f t="shared" si="17"/>
        <v>-21.330499999999997</v>
      </c>
      <c r="AF53" s="4">
        <f t="shared" si="18"/>
        <v>-21.356166666666667</v>
      </c>
      <c r="AG53" s="4">
        <f t="shared" si="19"/>
        <v>-21.337416666666666</v>
      </c>
      <c r="AH53" s="4">
        <f t="shared" si="20"/>
        <v>-21.331833333333332</v>
      </c>
      <c r="AI53" s="4">
        <f t="shared" si="21"/>
        <v>-21.352083333333333</v>
      </c>
      <c r="AJ53" s="4">
        <f t="shared" si="22"/>
        <v>-21.345000000000002</v>
      </c>
      <c r="AK53" s="4">
        <f t="shared" si="23"/>
        <v>-21.371500000000001</v>
      </c>
      <c r="AL53"/>
      <c r="AM53"/>
      <c r="AN53" s="4">
        <f t="shared" si="24"/>
        <v>7.4166666666677372E-3</v>
      </c>
      <c r="AO53" s="4">
        <f t="shared" si="25"/>
        <v>1.6833333333334366E-2</v>
      </c>
      <c r="AP53" s="4">
        <f t="shared" si="26"/>
        <v>3.9500000000003865E-2</v>
      </c>
      <c r="AQ53" s="4">
        <f t="shared" si="27"/>
        <v>1.3833333333334252E-2</v>
      </c>
      <c r="AR53" s="4">
        <f t="shared" si="28"/>
        <v>3.2583333333334963E-2</v>
      </c>
      <c r="AS53" s="4">
        <f t="shared" si="29"/>
        <v>3.8166666666668903E-2</v>
      </c>
      <c r="AT53" s="4">
        <f t="shared" si="30"/>
        <v>1.7916666666668135E-2</v>
      </c>
      <c r="AU53" s="4">
        <f t="shared" si="31"/>
        <v>2.4999999999998579E-2</v>
      </c>
      <c r="AV53" s="4">
        <f t="shared" si="32"/>
        <v>-1.5000000000000568E-3</v>
      </c>
    </row>
    <row r="54" spans="1:48" x14ac:dyDescent="0.25">
      <c r="A54" s="18">
        <v>60</v>
      </c>
      <c r="B54" s="19">
        <v>43581</v>
      </c>
      <c r="C54" s="20">
        <v>0.45045138888888886</v>
      </c>
      <c r="D54" s="18">
        <v>-21.44</v>
      </c>
      <c r="E54" s="18">
        <v>-21.44</v>
      </c>
      <c r="F54" s="18">
        <v>-21.31</v>
      </c>
      <c r="G54" s="18">
        <v>-21.38</v>
      </c>
      <c r="H54" s="18">
        <v>-21.5</v>
      </c>
      <c r="I54" s="18">
        <v>-21.5</v>
      </c>
      <c r="J54" s="18">
        <v>-21.13</v>
      </c>
      <c r="K54" s="18">
        <v>-21.19</v>
      </c>
      <c r="L54" s="18">
        <v>-21.69</v>
      </c>
      <c r="M54" s="18">
        <v>24.9</v>
      </c>
      <c r="N54" s="29">
        <v>-21.36</v>
      </c>
      <c r="O54" s="4">
        <f>N54-'Sonde étalon'!$C$12</f>
        <v>-21.36</v>
      </c>
      <c r="P54"/>
      <c r="R54" s="4">
        <f t="shared" si="6"/>
        <v>-8.0000000000001847E-2</v>
      </c>
      <c r="S54" s="4">
        <f t="shared" si="7"/>
        <v>-8.0000000000001847E-2</v>
      </c>
      <c r="T54" s="4">
        <f t="shared" si="8"/>
        <v>5.0000000000000711E-2</v>
      </c>
      <c r="U54" s="4">
        <f t="shared" si="9"/>
        <v>-1.9999999999999574E-2</v>
      </c>
      <c r="V54" s="4">
        <f t="shared" si="10"/>
        <v>-0.14000000000000057</v>
      </c>
      <c r="W54" s="4">
        <f t="shared" si="11"/>
        <v>-0.14000000000000057</v>
      </c>
      <c r="X54" s="4">
        <f t="shared" si="12"/>
        <v>0.23000000000000043</v>
      </c>
      <c r="Y54" s="4">
        <f t="shared" si="13"/>
        <v>0.16999999999999815</v>
      </c>
      <c r="Z54" s="4">
        <f t="shared" si="14"/>
        <v>-0.33000000000000185</v>
      </c>
      <c r="AB54"/>
      <c r="AC54" s="4">
        <f t="shared" si="15"/>
        <v>-21.362583333333333</v>
      </c>
      <c r="AD54" s="4">
        <f t="shared" si="16"/>
        <v>-21.353166666666667</v>
      </c>
      <c r="AE54" s="4">
        <f t="shared" si="17"/>
        <v>-21.330499999999997</v>
      </c>
      <c r="AF54" s="4">
        <f t="shared" si="18"/>
        <v>-21.356166666666667</v>
      </c>
      <c r="AG54" s="4">
        <f t="shared" si="19"/>
        <v>-21.337416666666666</v>
      </c>
      <c r="AH54" s="4">
        <f t="shared" si="20"/>
        <v>-21.331833333333332</v>
      </c>
      <c r="AI54" s="4">
        <f t="shared" si="21"/>
        <v>-21.352083333333333</v>
      </c>
      <c r="AJ54" s="4">
        <f t="shared" si="22"/>
        <v>-21.345000000000002</v>
      </c>
      <c r="AK54" s="4">
        <f t="shared" si="23"/>
        <v>-21.371500000000001</v>
      </c>
      <c r="AL54"/>
      <c r="AM54"/>
      <c r="AN54" s="4">
        <f t="shared" si="24"/>
        <v>-2.583333333333826E-3</v>
      </c>
      <c r="AO54" s="4">
        <f t="shared" si="25"/>
        <v>6.8333333333328028E-3</v>
      </c>
      <c r="AP54" s="4">
        <f t="shared" si="26"/>
        <v>2.9500000000002302E-2</v>
      </c>
      <c r="AQ54" s="4">
        <f t="shared" si="27"/>
        <v>3.8333333333326891E-3</v>
      </c>
      <c r="AR54" s="4">
        <f t="shared" si="28"/>
        <v>2.25833333333334E-2</v>
      </c>
      <c r="AS54" s="4">
        <f t="shared" si="29"/>
        <v>2.8166666666667339E-2</v>
      </c>
      <c r="AT54" s="4">
        <f t="shared" si="30"/>
        <v>7.9166666666665719E-3</v>
      </c>
      <c r="AU54" s="4">
        <f t="shared" si="31"/>
        <v>1.4999999999997016E-2</v>
      </c>
      <c r="AV54" s="4">
        <f t="shared" si="32"/>
        <v>-1.150000000000162E-2</v>
      </c>
    </row>
    <row r="55" spans="1:48" x14ac:dyDescent="0.25">
      <c r="A55" s="18">
        <v>61</v>
      </c>
      <c r="B55" s="19">
        <v>43581</v>
      </c>
      <c r="C55" s="20">
        <v>0.45114583333333336</v>
      </c>
      <c r="D55" s="18">
        <v>-21.44</v>
      </c>
      <c r="E55" s="18">
        <v>-21.44</v>
      </c>
      <c r="F55" s="18">
        <v>-21.38</v>
      </c>
      <c r="G55" s="18">
        <v>-21.38</v>
      </c>
      <c r="H55" s="18">
        <v>-21.5</v>
      </c>
      <c r="I55" s="18">
        <v>-21.5</v>
      </c>
      <c r="J55" s="18">
        <v>-21.13</v>
      </c>
      <c r="K55" s="18">
        <v>-21.19</v>
      </c>
      <c r="L55" s="18">
        <v>-21.69</v>
      </c>
      <c r="M55" s="18">
        <v>24.9</v>
      </c>
      <c r="N55" s="29">
        <v>-21.38</v>
      </c>
      <c r="O55" s="4">
        <f>N55-'Sonde étalon'!$C$12</f>
        <v>-21.38</v>
      </c>
      <c r="P55"/>
      <c r="R55" s="4">
        <f t="shared" si="6"/>
        <v>-6.0000000000002274E-2</v>
      </c>
      <c r="S55" s="4">
        <f t="shared" si="7"/>
        <v>-6.0000000000002274E-2</v>
      </c>
      <c r="T55" s="4">
        <f t="shared" si="8"/>
        <v>0</v>
      </c>
      <c r="U55" s="4">
        <f t="shared" si="9"/>
        <v>0</v>
      </c>
      <c r="V55" s="4">
        <f t="shared" si="10"/>
        <v>-0.12000000000000099</v>
      </c>
      <c r="W55" s="4">
        <f t="shared" si="11"/>
        <v>-0.12000000000000099</v>
      </c>
      <c r="X55" s="4">
        <f t="shared" si="12"/>
        <v>0.25</v>
      </c>
      <c r="Y55" s="4">
        <f t="shared" si="13"/>
        <v>0.18999999999999773</v>
      </c>
      <c r="Z55" s="4">
        <f t="shared" si="14"/>
        <v>-0.31000000000000227</v>
      </c>
      <c r="AB55"/>
      <c r="AC55" s="4">
        <f t="shared" si="15"/>
        <v>-21.362583333333333</v>
      </c>
      <c r="AD55" s="4">
        <f t="shared" si="16"/>
        <v>-21.353166666666667</v>
      </c>
      <c r="AE55" s="4">
        <f t="shared" si="17"/>
        <v>-21.400499999999997</v>
      </c>
      <c r="AF55" s="4">
        <f t="shared" si="18"/>
        <v>-21.356166666666667</v>
      </c>
      <c r="AG55" s="4">
        <f t="shared" si="19"/>
        <v>-21.337416666666666</v>
      </c>
      <c r="AH55" s="4">
        <f t="shared" si="20"/>
        <v>-21.331833333333332</v>
      </c>
      <c r="AI55" s="4">
        <f t="shared" si="21"/>
        <v>-21.352083333333333</v>
      </c>
      <c r="AJ55" s="4">
        <f t="shared" si="22"/>
        <v>-21.345000000000002</v>
      </c>
      <c r="AK55" s="4">
        <f t="shared" si="23"/>
        <v>-21.371500000000001</v>
      </c>
      <c r="AL55"/>
      <c r="AM55"/>
      <c r="AN55" s="4">
        <f t="shared" si="24"/>
        <v>1.7416666666665748E-2</v>
      </c>
      <c r="AO55" s="4">
        <f t="shared" si="25"/>
        <v>2.6833333333332376E-2</v>
      </c>
      <c r="AP55" s="4">
        <f t="shared" si="26"/>
        <v>-2.0499999999998408E-2</v>
      </c>
      <c r="AQ55" s="4">
        <f t="shared" si="27"/>
        <v>2.3833333333332263E-2</v>
      </c>
      <c r="AR55" s="4">
        <f t="shared" si="28"/>
        <v>4.2583333333332973E-2</v>
      </c>
      <c r="AS55" s="4">
        <f t="shared" si="29"/>
        <v>4.8166666666666913E-2</v>
      </c>
      <c r="AT55" s="4">
        <f t="shared" si="30"/>
        <v>2.7916666666666146E-2</v>
      </c>
      <c r="AU55" s="4">
        <f t="shared" si="31"/>
        <v>3.4999999999996589E-2</v>
      </c>
      <c r="AV55" s="4">
        <f t="shared" si="32"/>
        <v>8.4999999999979536E-3</v>
      </c>
    </row>
    <row r="56" spans="1:48" x14ac:dyDescent="0.25">
      <c r="A56" s="18">
        <v>62</v>
      </c>
      <c r="B56" s="19">
        <v>43581</v>
      </c>
      <c r="C56" s="20">
        <v>0.45184027777777774</v>
      </c>
      <c r="D56" s="18">
        <v>-21.44</v>
      </c>
      <c r="E56" s="18">
        <v>-21.44</v>
      </c>
      <c r="F56" s="18">
        <v>-21.38</v>
      </c>
      <c r="G56" s="18">
        <v>-21.38</v>
      </c>
      <c r="H56" s="18">
        <v>-21.56</v>
      </c>
      <c r="I56" s="18">
        <v>-21.56</v>
      </c>
      <c r="J56" s="18">
        <v>-21.13</v>
      </c>
      <c r="K56" s="18">
        <v>-21.19</v>
      </c>
      <c r="L56" s="18">
        <v>-21.69</v>
      </c>
      <c r="M56" s="18">
        <v>24.9</v>
      </c>
      <c r="N56" s="29">
        <v>-21.37</v>
      </c>
      <c r="O56" s="4">
        <f>N56-'Sonde étalon'!$C$12</f>
        <v>-21.37</v>
      </c>
      <c r="P56"/>
      <c r="R56" s="4">
        <f t="shared" si="6"/>
        <v>-7.0000000000000284E-2</v>
      </c>
      <c r="S56" s="4">
        <f t="shared" si="7"/>
        <v>-7.0000000000000284E-2</v>
      </c>
      <c r="T56" s="4">
        <f t="shared" si="8"/>
        <v>-9.9999999999980105E-3</v>
      </c>
      <c r="U56" s="4">
        <f t="shared" si="9"/>
        <v>-9.9999999999980105E-3</v>
      </c>
      <c r="V56" s="4">
        <f t="shared" si="10"/>
        <v>-0.18999999999999773</v>
      </c>
      <c r="W56" s="4">
        <f t="shared" si="11"/>
        <v>-0.18999999999999773</v>
      </c>
      <c r="X56" s="4">
        <f t="shared" si="12"/>
        <v>0.24000000000000199</v>
      </c>
      <c r="Y56" s="4">
        <f t="shared" si="13"/>
        <v>0.17999999999999972</v>
      </c>
      <c r="Z56" s="4">
        <f t="shared" si="14"/>
        <v>-0.32000000000000028</v>
      </c>
      <c r="AB56"/>
      <c r="AC56" s="4">
        <f t="shared" si="15"/>
        <v>-21.362583333333333</v>
      </c>
      <c r="AD56" s="4">
        <f t="shared" si="16"/>
        <v>-21.353166666666667</v>
      </c>
      <c r="AE56" s="4">
        <f t="shared" si="17"/>
        <v>-21.400499999999997</v>
      </c>
      <c r="AF56" s="4">
        <f t="shared" si="18"/>
        <v>-21.356166666666667</v>
      </c>
      <c r="AG56" s="4">
        <f t="shared" si="19"/>
        <v>-21.397416666666665</v>
      </c>
      <c r="AH56" s="4">
        <f t="shared" si="20"/>
        <v>-21.391833333333331</v>
      </c>
      <c r="AI56" s="4">
        <f t="shared" si="21"/>
        <v>-21.352083333333333</v>
      </c>
      <c r="AJ56" s="4">
        <f t="shared" si="22"/>
        <v>-21.345000000000002</v>
      </c>
      <c r="AK56" s="4">
        <f t="shared" si="23"/>
        <v>-21.371500000000001</v>
      </c>
      <c r="AL56"/>
      <c r="AM56"/>
      <c r="AN56" s="4">
        <f t="shared" si="24"/>
        <v>7.4166666666677372E-3</v>
      </c>
      <c r="AO56" s="4">
        <f t="shared" si="25"/>
        <v>1.6833333333334366E-2</v>
      </c>
      <c r="AP56" s="4">
        <f t="shared" si="26"/>
        <v>-3.0499999999996419E-2</v>
      </c>
      <c r="AQ56" s="4">
        <f t="shared" si="27"/>
        <v>1.3833333333334252E-2</v>
      </c>
      <c r="AR56" s="4">
        <f t="shared" si="28"/>
        <v>-2.7416666666663758E-2</v>
      </c>
      <c r="AS56" s="4">
        <f t="shared" si="29"/>
        <v>-2.1833333333329819E-2</v>
      </c>
      <c r="AT56" s="4">
        <f t="shared" si="30"/>
        <v>1.7916666666668135E-2</v>
      </c>
      <c r="AU56" s="4">
        <f t="shared" si="31"/>
        <v>2.4999999999998579E-2</v>
      </c>
      <c r="AV56" s="4">
        <f t="shared" si="32"/>
        <v>-1.5000000000000568E-3</v>
      </c>
    </row>
    <row r="57" spans="1:48" x14ac:dyDescent="0.25">
      <c r="A57" s="18">
        <v>63</v>
      </c>
      <c r="B57" s="19">
        <v>43581</v>
      </c>
      <c r="C57" s="20">
        <v>0.45253472222222224</v>
      </c>
      <c r="D57" s="18">
        <v>-21.44</v>
      </c>
      <c r="E57" s="18">
        <v>-21.44</v>
      </c>
      <c r="F57" s="18">
        <v>-21.38</v>
      </c>
      <c r="G57" s="18">
        <v>-21.38</v>
      </c>
      <c r="H57" s="18">
        <v>-21.56</v>
      </c>
      <c r="I57" s="18">
        <v>-21.56</v>
      </c>
      <c r="J57" s="18">
        <v>-21.19</v>
      </c>
      <c r="K57" s="18">
        <v>-21.25</v>
      </c>
      <c r="L57" s="18">
        <v>-21.69</v>
      </c>
      <c r="M57" s="18">
        <v>24.9</v>
      </c>
      <c r="N57" s="29">
        <v>-21.36</v>
      </c>
      <c r="O57" s="4">
        <f>N57-'Sonde étalon'!$C$12</f>
        <v>-21.36</v>
      </c>
      <c r="P57"/>
      <c r="R57" s="4">
        <f t="shared" si="6"/>
        <v>-8.0000000000001847E-2</v>
      </c>
      <c r="S57" s="4">
        <f t="shared" si="7"/>
        <v>-8.0000000000001847E-2</v>
      </c>
      <c r="T57" s="4">
        <f t="shared" si="8"/>
        <v>-1.9999999999999574E-2</v>
      </c>
      <c r="U57" s="4">
        <f t="shared" si="9"/>
        <v>-1.9999999999999574E-2</v>
      </c>
      <c r="V57" s="4">
        <f t="shared" si="10"/>
        <v>-0.19999999999999929</v>
      </c>
      <c r="W57" s="4">
        <f t="shared" si="11"/>
        <v>-0.19999999999999929</v>
      </c>
      <c r="X57" s="4">
        <f t="shared" si="12"/>
        <v>0.16999999999999815</v>
      </c>
      <c r="Y57" s="4">
        <f t="shared" si="13"/>
        <v>0.10999999999999943</v>
      </c>
      <c r="Z57" s="4">
        <f t="shared" si="14"/>
        <v>-0.33000000000000185</v>
      </c>
      <c r="AB57"/>
      <c r="AC57" s="4">
        <f t="shared" si="15"/>
        <v>-21.362583333333333</v>
      </c>
      <c r="AD57" s="4">
        <f t="shared" si="16"/>
        <v>-21.353166666666667</v>
      </c>
      <c r="AE57" s="4">
        <f t="shared" si="17"/>
        <v>-21.400499999999997</v>
      </c>
      <c r="AF57" s="4">
        <f t="shared" si="18"/>
        <v>-21.356166666666667</v>
      </c>
      <c r="AG57" s="4">
        <f t="shared" si="19"/>
        <v>-21.397416666666665</v>
      </c>
      <c r="AH57" s="4">
        <f t="shared" si="20"/>
        <v>-21.391833333333331</v>
      </c>
      <c r="AI57" s="4">
        <f t="shared" si="21"/>
        <v>-21.412083333333335</v>
      </c>
      <c r="AJ57" s="4">
        <f t="shared" si="22"/>
        <v>-21.405000000000001</v>
      </c>
      <c r="AK57" s="4">
        <f t="shared" si="23"/>
        <v>-21.371500000000001</v>
      </c>
      <c r="AL57"/>
      <c r="AM57"/>
      <c r="AN57" s="4">
        <f t="shared" si="24"/>
        <v>-2.583333333333826E-3</v>
      </c>
      <c r="AO57" s="4">
        <f t="shared" si="25"/>
        <v>6.8333333333328028E-3</v>
      </c>
      <c r="AP57" s="4">
        <f t="shared" si="26"/>
        <v>-4.0499999999997982E-2</v>
      </c>
      <c r="AQ57" s="4">
        <f t="shared" si="27"/>
        <v>3.8333333333326891E-3</v>
      </c>
      <c r="AR57" s="4">
        <f t="shared" si="28"/>
        <v>-3.7416666666665321E-2</v>
      </c>
      <c r="AS57" s="4">
        <f t="shared" si="29"/>
        <v>-3.1833333333331382E-2</v>
      </c>
      <c r="AT57" s="4">
        <f t="shared" si="30"/>
        <v>-5.2083333333335702E-2</v>
      </c>
      <c r="AU57" s="4">
        <f t="shared" si="31"/>
        <v>-4.5000000000001705E-2</v>
      </c>
      <c r="AV57" s="4">
        <f t="shared" si="32"/>
        <v>-1.150000000000162E-2</v>
      </c>
    </row>
    <row r="58" spans="1:48" x14ac:dyDescent="0.25">
      <c r="A58" s="18">
        <v>64</v>
      </c>
      <c r="B58" s="19">
        <v>43581</v>
      </c>
      <c r="C58" s="20">
        <v>0.45322916666666663</v>
      </c>
      <c r="D58" s="18">
        <v>-21.44</v>
      </c>
      <c r="E58" s="18">
        <v>-21.5</v>
      </c>
      <c r="F58" s="18">
        <v>-21.38</v>
      </c>
      <c r="G58" s="18">
        <v>-21.38</v>
      </c>
      <c r="H58" s="18">
        <v>-21.56</v>
      </c>
      <c r="I58" s="18">
        <v>-21.56</v>
      </c>
      <c r="J58" s="18">
        <v>-21.19</v>
      </c>
      <c r="K58" s="18">
        <v>-21.25</v>
      </c>
      <c r="L58" s="18">
        <v>-21.69</v>
      </c>
      <c r="M58" s="18">
        <v>24.9</v>
      </c>
      <c r="N58" s="29">
        <v>-21.37</v>
      </c>
      <c r="O58" s="4">
        <f>N58-'Sonde étalon'!$C$12</f>
        <v>-21.37</v>
      </c>
      <c r="P58"/>
      <c r="R58" s="4">
        <f t="shared" si="6"/>
        <v>-7.0000000000000284E-2</v>
      </c>
      <c r="S58" s="4">
        <f t="shared" si="7"/>
        <v>-0.12999999999999901</v>
      </c>
      <c r="T58" s="4">
        <f t="shared" si="8"/>
        <v>-9.9999999999980105E-3</v>
      </c>
      <c r="U58" s="4">
        <f t="shared" si="9"/>
        <v>-9.9999999999980105E-3</v>
      </c>
      <c r="V58" s="4">
        <f t="shared" si="10"/>
        <v>-0.18999999999999773</v>
      </c>
      <c r="W58" s="4">
        <f t="shared" si="11"/>
        <v>-0.18999999999999773</v>
      </c>
      <c r="X58" s="4">
        <f t="shared" si="12"/>
        <v>0.17999999999999972</v>
      </c>
      <c r="Y58" s="4">
        <f t="shared" si="13"/>
        <v>0.12000000000000099</v>
      </c>
      <c r="Z58" s="4">
        <f t="shared" si="14"/>
        <v>-0.32000000000000028</v>
      </c>
      <c r="AB58"/>
      <c r="AC58" s="4">
        <f t="shared" si="15"/>
        <v>-21.362583333333333</v>
      </c>
      <c r="AD58" s="4">
        <f t="shared" si="16"/>
        <v>-21.413166666666665</v>
      </c>
      <c r="AE58" s="4">
        <f t="shared" si="17"/>
        <v>-21.400499999999997</v>
      </c>
      <c r="AF58" s="4">
        <f t="shared" si="18"/>
        <v>-21.356166666666667</v>
      </c>
      <c r="AG58" s="4">
        <f t="shared" si="19"/>
        <v>-21.397416666666665</v>
      </c>
      <c r="AH58" s="4">
        <f t="shared" si="20"/>
        <v>-21.391833333333331</v>
      </c>
      <c r="AI58" s="4">
        <f t="shared" si="21"/>
        <v>-21.412083333333335</v>
      </c>
      <c r="AJ58" s="4">
        <f t="shared" si="22"/>
        <v>-21.405000000000001</v>
      </c>
      <c r="AK58" s="4">
        <f t="shared" si="23"/>
        <v>-21.371500000000001</v>
      </c>
      <c r="AL58"/>
      <c r="AM58"/>
      <c r="AN58" s="4">
        <f t="shared" si="24"/>
        <v>7.4166666666677372E-3</v>
      </c>
      <c r="AO58" s="4">
        <f t="shared" si="25"/>
        <v>-4.3166666666664355E-2</v>
      </c>
      <c r="AP58" s="4">
        <f t="shared" si="26"/>
        <v>-3.0499999999996419E-2</v>
      </c>
      <c r="AQ58" s="4">
        <f t="shared" si="27"/>
        <v>1.3833333333334252E-2</v>
      </c>
      <c r="AR58" s="4">
        <f t="shared" si="28"/>
        <v>-2.7416666666663758E-2</v>
      </c>
      <c r="AS58" s="4">
        <f t="shared" si="29"/>
        <v>-2.1833333333329819E-2</v>
      </c>
      <c r="AT58" s="4">
        <f t="shared" si="30"/>
        <v>-4.2083333333334139E-2</v>
      </c>
      <c r="AU58" s="4">
        <f t="shared" si="31"/>
        <v>-3.5000000000000142E-2</v>
      </c>
      <c r="AV58" s="4">
        <f t="shared" si="32"/>
        <v>-1.5000000000000568E-3</v>
      </c>
    </row>
    <row r="59" spans="1:48" x14ac:dyDescent="0.25">
      <c r="A59" s="18">
        <v>65</v>
      </c>
      <c r="B59" s="19">
        <v>43581</v>
      </c>
      <c r="C59" s="20">
        <v>0.45392361111111112</v>
      </c>
      <c r="D59" s="18">
        <v>-21.44</v>
      </c>
      <c r="E59" s="18">
        <v>-21.5</v>
      </c>
      <c r="F59" s="18">
        <v>-21.38</v>
      </c>
      <c r="G59" s="18">
        <v>-21.44</v>
      </c>
      <c r="H59" s="18">
        <v>-21.56</v>
      </c>
      <c r="I59" s="18">
        <v>-21.56</v>
      </c>
      <c r="J59" s="18">
        <v>-21.19</v>
      </c>
      <c r="K59" s="18">
        <v>-21.25</v>
      </c>
      <c r="L59" s="18">
        <v>-21.69</v>
      </c>
      <c r="M59" s="18">
        <v>24.9</v>
      </c>
      <c r="N59" s="29">
        <v>-21.38</v>
      </c>
      <c r="O59" s="4">
        <f>N59-'Sonde étalon'!$C$12</f>
        <v>-21.38</v>
      </c>
      <c r="P59"/>
      <c r="R59" s="4">
        <f t="shared" si="6"/>
        <v>-6.0000000000002274E-2</v>
      </c>
      <c r="S59" s="4">
        <f t="shared" si="7"/>
        <v>-0.12000000000000099</v>
      </c>
      <c r="T59" s="4">
        <f t="shared" si="8"/>
        <v>0</v>
      </c>
      <c r="U59" s="4">
        <f t="shared" si="9"/>
        <v>-6.0000000000002274E-2</v>
      </c>
      <c r="V59" s="4">
        <f t="shared" si="10"/>
        <v>-0.17999999999999972</v>
      </c>
      <c r="W59" s="4">
        <f t="shared" si="11"/>
        <v>-0.17999999999999972</v>
      </c>
      <c r="X59" s="4">
        <f t="shared" si="12"/>
        <v>0.18999999999999773</v>
      </c>
      <c r="Y59" s="4">
        <f t="shared" si="13"/>
        <v>0.12999999999999901</v>
      </c>
      <c r="Z59" s="4">
        <f t="shared" si="14"/>
        <v>-0.31000000000000227</v>
      </c>
      <c r="AB59"/>
      <c r="AC59" s="4">
        <f t="shared" si="15"/>
        <v>-21.362583333333333</v>
      </c>
      <c r="AD59" s="4">
        <f t="shared" si="16"/>
        <v>-21.413166666666665</v>
      </c>
      <c r="AE59" s="4">
        <f t="shared" si="17"/>
        <v>-21.400499999999997</v>
      </c>
      <c r="AF59" s="4">
        <f t="shared" si="18"/>
        <v>-21.416166666666669</v>
      </c>
      <c r="AG59" s="4">
        <f t="shared" si="19"/>
        <v>-21.397416666666665</v>
      </c>
      <c r="AH59" s="4">
        <f t="shared" si="20"/>
        <v>-21.391833333333331</v>
      </c>
      <c r="AI59" s="4">
        <f t="shared" si="21"/>
        <v>-21.412083333333335</v>
      </c>
      <c r="AJ59" s="4">
        <f t="shared" si="22"/>
        <v>-21.405000000000001</v>
      </c>
      <c r="AK59" s="4">
        <f t="shared" si="23"/>
        <v>-21.371500000000001</v>
      </c>
      <c r="AL59"/>
      <c r="AM59"/>
      <c r="AN59" s="4">
        <f t="shared" si="24"/>
        <v>1.7416666666665748E-2</v>
      </c>
      <c r="AO59" s="4">
        <f t="shared" si="25"/>
        <v>-3.3166666666666345E-2</v>
      </c>
      <c r="AP59" s="4">
        <f t="shared" si="26"/>
        <v>-2.0499999999998408E-2</v>
      </c>
      <c r="AQ59" s="4">
        <f t="shared" si="27"/>
        <v>-3.6166666666670011E-2</v>
      </c>
      <c r="AR59" s="4">
        <f t="shared" si="28"/>
        <v>-1.7416666666665748E-2</v>
      </c>
      <c r="AS59" s="4">
        <f t="shared" si="29"/>
        <v>-1.1833333333331808E-2</v>
      </c>
      <c r="AT59" s="4">
        <f t="shared" si="30"/>
        <v>-3.2083333333336128E-2</v>
      </c>
      <c r="AU59" s="4">
        <f t="shared" si="31"/>
        <v>-2.5000000000002132E-2</v>
      </c>
      <c r="AV59" s="4">
        <f t="shared" si="32"/>
        <v>8.4999999999979536E-3</v>
      </c>
    </row>
    <row r="60" spans="1:48" x14ac:dyDescent="0.25">
      <c r="A60" s="18">
        <v>66</v>
      </c>
      <c r="B60" s="19">
        <v>43581</v>
      </c>
      <c r="C60" s="20">
        <v>0.45461805555555551</v>
      </c>
      <c r="D60" s="18">
        <v>-21.5</v>
      </c>
      <c r="E60" s="18">
        <v>-21.5</v>
      </c>
      <c r="F60" s="18">
        <v>-21.38</v>
      </c>
      <c r="G60" s="18">
        <v>-21.44</v>
      </c>
      <c r="H60" s="18">
        <v>-21.56</v>
      </c>
      <c r="I60" s="18">
        <v>-21.56</v>
      </c>
      <c r="J60" s="18">
        <v>-21.19</v>
      </c>
      <c r="K60" s="18">
        <v>-21.25</v>
      </c>
      <c r="L60" s="18">
        <v>-21.69</v>
      </c>
      <c r="M60" s="18">
        <v>25</v>
      </c>
      <c r="N60" s="29">
        <v>-21.4</v>
      </c>
      <c r="O60" s="4">
        <f>N60-'Sonde étalon'!$C$12</f>
        <v>-21.4</v>
      </c>
      <c r="P60"/>
      <c r="R60" s="4">
        <f t="shared" si="6"/>
        <v>-0.10000000000000142</v>
      </c>
      <c r="S60" s="4">
        <f t="shared" si="7"/>
        <v>-0.10000000000000142</v>
      </c>
      <c r="T60" s="4">
        <f t="shared" si="8"/>
        <v>1.9999999999999574E-2</v>
      </c>
      <c r="U60" s="4">
        <f t="shared" si="9"/>
        <v>-4.00000000000027E-2</v>
      </c>
      <c r="V60" s="4">
        <f t="shared" si="10"/>
        <v>-0.16000000000000014</v>
      </c>
      <c r="W60" s="4">
        <f t="shared" si="11"/>
        <v>-0.16000000000000014</v>
      </c>
      <c r="X60" s="4">
        <f t="shared" si="12"/>
        <v>0.2099999999999973</v>
      </c>
      <c r="Y60" s="4">
        <f t="shared" si="13"/>
        <v>0.14999999999999858</v>
      </c>
      <c r="Z60" s="4">
        <f t="shared" si="14"/>
        <v>-0.2900000000000027</v>
      </c>
      <c r="AB60"/>
      <c r="AC60" s="4">
        <f t="shared" si="15"/>
        <v>-21.422583333333336</v>
      </c>
      <c r="AD60" s="4">
        <f t="shared" si="16"/>
        <v>-21.413166666666665</v>
      </c>
      <c r="AE60" s="4">
        <f t="shared" si="17"/>
        <v>-21.400499999999997</v>
      </c>
      <c r="AF60" s="4">
        <f t="shared" si="18"/>
        <v>-21.416166666666669</v>
      </c>
      <c r="AG60" s="4">
        <f t="shared" si="19"/>
        <v>-21.397416666666665</v>
      </c>
      <c r="AH60" s="4">
        <f t="shared" si="20"/>
        <v>-21.391833333333331</v>
      </c>
      <c r="AI60" s="4">
        <f t="shared" si="21"/>
        <v>-21.412083333333335</v>
      </c>
      <c r="AJ60" s="4">
        <f t="shared" si="22"/>
        <v>-21.405000000000001</v>
      </c>
      <c r="AK60" s="4">
        <f t="shared" si="23"/>
        <v>-21.371500000000001</v>
      </c>
      <c r="AL60"/>
      <c r="AM60"/>
      <c r="AN60" s="4">
        <f t="shared" si="24"/>
        <v>-2.2583333333336952E-2</v>
      </c>
      <c r="AO60" s="4">
        <f t="shared" si="25"/>
        <v>-1.3166666666666771E-2</v>
      </c>
      <c r="AP60" s="4">
        <f t="shared" si="26"/>
        <v>-4.9999999999883471E-4</v>
      </c>
      <c r="AQ60" s="4">
        <f t="shared" si="27"/>
        <v>-1.6166666666670437E-2</v>
      </c>
      <c r="AR60" s="4">
        <f t="shared" si="28"/>
        <v>2.583333333333826E-3</v>
      </c>
      <c r="AS60" s="4">
        <f t="shared" si="29"/>
        <v>8.1666666666677656E-3</v>
      </c>
      <c r="AT60" s="4">
        <f t="shared" si="30"/>
        <v>-1.2083333333336554E-2</v>
      </c>
      <c r="AU60" s="4">
        <f t="shared" si="31"/>
        <v>-5.000000000002558E-3</v>
      </c>
      <c r="AV60" s="4">
        <f t="shared" si="32"/>
        <v>2.8499999999997527E-2</v>
      </c>
    </row>
    <row r="61" spans="1:48" x14ac:dyDescent="0.25">
      <c r="A61" s="18">
        <v>67</v>
      </c>
      <c r="B61" s="19">
        <v>43581</v>
      </c>
      <c r="C61" s="20">
        <v>0.45531250000000001</v>
      </c>
      <c r="D61" s="18">
        <v>-21.5</v>
      </c>
      <c r="E61" s="18">
        <v>-21.5</v>
      </c>
      <c r="F61" s="18">
        <v>-21.38</v>
      </c>
      <c r="G61" s="18">
        <v>-21.44</v>
      </c>
      <c r="H61" s="18">
        <v>-21.56</v>
      </c>
      <c r="I61" s="18">
        <v>-21.56</v>
      </c>
      <c r="J61" s="18">
        <v>-21.19</v>
      </c>
      <c r="K61" s="18">
        <v>-21.25</v>
      </c>
      <c r="L61" s="18">
        <v>-21.75</v>
      </c>
      <c r="M61" s="18">
        <v>25</v>
      </c>
      <c r="N61" s="29">
        <v>-21.41</v>
      </c>
      <c r="O61" s="4">
        <f>N61-'Sonde étalon'!$C$12</f>
        <v>-21.41</v>
      </c>
      <c r="P61"/>
      <c r="R61" s="4">
        <f t="shared" si="6"/>
        <v>-8.9999999999999858E-2</v>
      </c>
      <c r="S61" s="4">
        <f t="shared" si="7"/>
        <v>-8.9999999999999858E-2</v>
      </c>
      <c r="T61" s="4">
        <f t="shared" si="8"/>
        <v>3.0000000000001137E-2</v>
      </c>
      <c r="U61" s="4">
        <f t="shared" si="9"/>
        <v>-3.0000000000001137E-2</v>
      </c>
      <c r="V61" s="4">
        <f t="shared" si="10"/>
        <v>-0.14999999999999858</v>
      </c>
      <c r="W61" s="4">
        <f t="shared" si="11"/>
        <v>-0.14999999999999858</v>
      </c>
      <c r="X61" s="4">
        <f t="shared" si="12"/>
        <v>0.21999999999999886</v>
      </c>
      <c r="Y61" s="4">
        <f t="shared" si="13"/>
        <v>0.16000000000000014</v>
      </c>
      <c r="Z61" s="4">
        <f t="shared" si="14"/>
        <v>-0.33999999999999986</v>
      </c>
      <c r="AB61"/>
      <c r="AC61" s="4">
        <f t="shared" si="15"/>
        <v>-21.422583333333336</v>
      </c>
      <c r="AD61" s="4">
        <f t="shared" si="16"/>
        <v>-21.413166666666665</v>
      </c>
      <c r="AE61" s="4">
        <f t="shared" si="17"/>
        <v>-21.400499999999997</v>
      </c>
      <c r="AF61" s="4">
        <f t="shared" si="18"/>
        <v>-21.416166666666669</v>
      </c>
      <c r="AG61" s="4">
        <f t="shared" si="19"/>
        <v>-21.397416666666665</v>
      </c>
      <c r="AH61" s="4">
        <f t="shared" si="20"/>
        <v>-21.391833333333331</v>
      </c>
      <c r="AI61" s="4">
        <f t="shared" si="21"/>
        <v>-21.412083333333335</v>
      </c>
      <c r="AJ61" s="4">
        <f t="shared" si="22"/>
        <v>-21.405000000000001</v>
      </c>
      <c r="AK61" s="4">
        <f t="shared" si="23"/>
        <v>-21.4315</v>
      </c>
      <c r="AL61"/>
      <c r="AM61"/>
      <c r="AN61" s="4">
        <f t="shared" si="24"/>
        <v>-1.2583333333335389E-2</v>
      </c>
      <c r="AO61" s="4">
        <f t="shared" si="25"/>
        <v>-3.1666666666652077E-3</v>
      </c>
      <c r="AP61" s="4">
        <f t="shared" si="26"/>
        <v>9.5000000000027285E-3</v>
      </c>
      <c r="AQ61" s="4">
        <f t="shared" si="27"/>
        <v>-6.1666666666688741E-3</v>
      </c>
      <c r="AR61" s="4">
        <f t="shared" si="28"/>
        <v>1.2583333333335389E-2</v>
      </c>
      <c r="AS61" s="4">
        <f t="shared" si="29"/>
        <v>1.8166666666669329E-2</v>
      </c>
      <c r="AT61" s="4">
        <f t="shared" si="30"/>
        <v>-2.0833333333349913E-3</v>
      </c>
      <c r="AU61" s="4">
        <f t="shared" si="31"/>
        <v>4.9999999999990052E-3</v>
      </c>
      <c r="AV61" s="4">
        <f t="shared" si="32"/>
        <v>-2.1499999999999631E-2</v>
      </c>
    </row>
    <row r="62" spans="1:48" x14ac:dyDescent="0.25">
      <c r="A62" s="18">
        <v>68</v>
      </c>
      <c r="B62" s="19">
        <v>43581</v>
      </c>
      <c r="C62" s="20">
        <v>0.4560069444444444</v>
      </c>
      <c r="D62" s="18">
        <v>-21.5</v>
      </c>
      <c r="E62" s="18">
        <v>-21.5</v>
      </c>
      <c r="F62" s="18">
        <v>-21.38</v>
      </c>
      <c r="G62" s="18">
        <v>-21.44</v>
      </c>
      <c r="H62" s="18">
        <v>-21.56</v>
      </c>
      <c r="I62" s="18">
        <v>-21.56</v>
      </c>
      <c r="J62" s="18">
        <v>-21.19</v>
      </c>
      <c r="K62" s="18">
        <v>-21.25</v>
      </c>
      <c r="L62" s="18">
        <v>-21.69</v>
      </c>
      <c r="M62" s="18">
        <v>25</v>
      </c>
      <c r="N62" s="29">
        <v>-21.41</v>
      </c>
      <c r="O62" s="4">
        <f>N62-'Sonde étalon'!$C$12</f>
        <v>-21.41</v>
      </c>
      <c r="P62"/>
      <c r="R62" s="4">
        <f t="shared" si="6"/>
        <v>-8.9999999999999858E-2</v>
      </c>
      <c r="S62" s="4">
        <f t="shared" si="7"/>
        <v>-8.9999999999999858E-2</v>
      </c>
      <c r="T62" s="4">
        <f t="shared" si="8"/>
        <v>3.0000000000001137E-2</v>
      </c>
      <c r="U62" s="4">
        <f t="shared" si="9"/>
        <v>-3.0000000000001137E-2</v>
      </c>
      <c r="V62" s="4">
        <f t="shared" si="10"/>
        <v>-0.14999999999999858</v>
      </c>
      <c r="W62" s="4">
        <f t="shared" si="11"/>
        <v>-0.14999999999999858</v>
      </c>
      <c r="X62" s="4">
        <f t="shared" si="12"/>
        <v>0.21999999999999886</v>
      </c>
      <c r="Y62" s="4">
        <f t="shared" si="13"/>
        <v>0.16000000000000014</v>
      </c>
      <c r="Z62" s="4">
        <f t="shared" si="14"/>
        <v>-0.28000000000000114</v>
      </c>
      <c r="AB62"/>
      <c r="AC62" s="4">
        <f t="shared" si="15"/>
        <v>-21.422583333333336</v>
      </c>
      <c r="AD62" s="4">
        <f t="shared" si="16"/>
        <v>-21.413166666666665</v>
      </c>
      <c r="AE62" s="4">
        <f t="shared" si="17"/>
        <v>-21.400499999999997</v>
      </c>
      <c r="AF62" s="4">
        <f t="shared" si="18"/>
        <v>-21.416166666666669</v>
      </c>
      <c r="AG62" s="4">
        <f t="shared" si="19"/>
        <v>-21.397416666666665</v>
      </c>
      <c r="AH62" s="4">
        <f t="shared" si="20"/>
        <v>-21.391833333333331</v>
      </c>
      <c r="AI62" s="4">
        <f t="shared" si="21"/>
        <v>-21.412083333333335</v>
      </c>
      <c r="AJ62" s="4">
        <f t="shared" si="22"/>
        <v>-21.405000000000001</v>
      </c>
      <c r="AK62" s="4">
        <f t="shared" si="23"/>
        <v>-21.371500000000001</v>
      </c>
      <c r="AL62"/>
      <c r="AM62"/>
      <c r="AN62" s="4">
        <f t="shared" si="24"/>
        <v>-1.2583333333335389E-2</v>
      </c>
      <c r="AO62" s="4">
        <f t="shared" si="25"/>
        <v>-3.1666666666652077E-3</v>
      </c>
      <c r="AP62" s="4">
        <f t="shared" si="26"/>
        <v>9.5000000000027285E-3</v>
      </c>
      <c r="AQ62" s="4">
        <f t="shared" si="27"/>
        <v>-6.1666666666688741E-3</v>
      </c>
      <c r="AR62" s="4">
        <f t="shared" si="28"/>
        <v>1.2583333333335389E-2</v>
      </c>
      <c r="AS62" s="4">
        <f t="shared" si="29"/>
        <v>1.8166666666669329E-2</v>
      </c>
      <c r="AT62" s="4">
        <f t="shared" si="30"/>
        <v>-2.0833333333349913E-3</v>
      </c>
      <c r="AU62" s="4">
        <f t="shared" si="31"/>
        <v>4.9999999999990052E-3</v>
      </c>
      <c r="AV62" s="4">
        <f t="shared" si="32"/>
        <v>3.8499999999999091E-2</v>
      </c>
    </row>
    <row r="63" spans="1:48" x14ac:dyDescent="0.25">
      <c r="A63" s="18">
        <v>69</v>
      </c>
      <c r="B63" s="19">
        <v>43581</v>
      </c>
      <c r="C63" s="20">
        <v>0.45670138888888889</v>
      </c>
      <c r="D63" s="18">
        <v>-21.5</v>
      </c>
      <c r="E63" s="18">
        <v>-21.5</v>
      </c>
      <c r="F63" s="18">
        <v>-21.38</v>
      </c>
      <c r="G63" s="18">
        <v>-21.44</v>
      </c>
      <c r="H63" s="18">
        <v>-21.56</v>
      </c>
      <c r="I63" s="18">
        <v>-21.56</v>
      </c>
      <c r="J63" s="18">
        <v>-21.19</v>
      </c>
      <c r="K63" s="18">
        <v>-21.25</v>
      </c>
      <c r="L63" s="18">
        <v>-21.75</v>
      </c>
      <c r="M63" s="18">
        <v>25</v>
      </c>
      <c r="N63" s="29">
        <v>-21.41</v>
      </c>
      <c r="O63" s="4">
        <f>N63-'Sonde étalon'!$C$12</f>
        <v>-21.41</v>
      </c>
      <c r="P63"/>
      <c r="R63" s="4">
        <f t="shared" si="6"/>
        <v>-8.9999999999999858E-2</v>
      </c>
      <c r="S63" s="4">
        <f t="shared" si="7"/>
        <v>-8.9999999999999858E-2</v>
      </c>
      <c r="T63" s="4">
        <f t="shared" si="8"/>
        <v>3.0000000000001137E-2</v>
      </c>
      <c r="U63" s="4">
        <f t="shared" si="9"/>
        <v>-3.0000000000001137E-2</v>
      </c>
      <c r="V63" s="4">
        <f t="shared" si="10"/>
        <v>-0.14999999999999858</v>
      </c>
      <c r="W63" s="4">
        <f t="shared" si="11"/>
        <v>-0.14999999999999858</v>
      </c>
      <c r="X63" s="4">
        <f t="shared" si="12"/>
        <v>0.21999999999999886</v>
      </c>
      <c r="Y63" s="4">
        <f t="shared" si="13"/>
        <v>0.16000000000000014</v>
      </c>
      <c r="Z63" s="4">
        <f t="shared" si="14"/>
        <v>-0.33999999999999986</v>
      </c>
      <c r="AB63"/>
      <c r="AC63" s="4">
        <f t="shared" si="15"/>
        <v>-21.422583333333336</v>
      </c>
      <c r="AD63" s="4">
        <f t="shared" si="16"/>
        <v>-21.413166666666665</v>
      </c>
      <c r="AE63" s="4">
        <f t="shared" si="17"/>
        <v>-21.400499999999997</v>
      </c>
      <c r="AF63" s="4">
        <f t="shared" si="18"/>
        <v>-21.416166666666669</v>
      </c>
      <c r="AG63" s="4">
        <f t="shared" si="19"/>
        <v>-21.397416666666665</v>
      </c>
      <c r="AH63" s="4">
        <f t="shared" si="20"/>
        <v>-21.391833333333331</v>
      </c>
      <c r="AI63" s="4">
        <f t="shared" si="21"/>
        <v>-21.412083333333335</v>
      </c>
      <c r="AJ63" s="4">
        <f t="shared" si="22"/>
        <v>-21.405000000000001</v>
      </c>
      <c r="AK63" s="4">
        <f t="shared" si="23"/>
        <v>-21.4315</v>
      </c>
      <c r="AL63"/>
      <c r="AM63"/>
      <c r="AN63" s="4">
        <f t="shared" si="24"/>
        <v>-1.2583333333335389E-2</v>
      </c>
      <c r="AO63" s="4">
        <f t="shared" si="25"/>
        <v>-3.1666666666652077E-3</v>
      </c>
      <c r="AP63" s="4">
        <f t="shared" si="26"/>
        <v>9.5000000000027285E-3</v>
      </c>
      <c r="AQ63" s="4">
        <f t="shared" si="27"/>
        <v>-6.1666666666688741E-3</v>
      </c>
      <c r="AR63" s="4">
        <f t="shared" si="28"/>
        <v>1.2583333333335389E-2</v>
      </c>
      <c r="AS63" s="4">
        <f t="shared" si="29"/>
        <v>1.8166666666669329E-2</v>
      </c>
      <c r="AT63" s="4">
        <f t="shared" si="30"/>
        <v>-2.0833333333349913E-3</v>
      </c>
      <c r="AU63" s="4">
        <f t="shared" si="31"/>
        <v>4.9999999999990052E-3</v>
      </c>
      <c r="AV63" s="4">
        <f t="shared" si="32"/>
        <v>-2.1499999999999631E-2</v>
      </c>
    </row>
    <row r="64" spans="1:48" x14ac:dyDescent="0.25">
      <c r="A64" s="18">
        <v>70</v>
      </c>
      <c r="B64" s="19">
        <v>43581</v>
      </c>
      <c r="C64" s="20">
        <v>0.45739583333333328</v>
      </c>
      <c r="D64" s="18">
        <v>-21.5</v>
      </c>
      <c r="E64" s="18">
        <v>-21.5</v>
      </c>
      <c r="F64" s="18">
        <v>-21.38</v>
      </c>
      <c r="G64" s="18">
        <v>-21.44</v>
      </c>
      <c r="H64" s="18">
        <v>-21.56</v>
      </c>
      <c r="I64" s="18">
        <v>-21.56</v>
      </c>
      <c r="J64" s="18">
        <v>-21.19</v>
      </c>
      <c r="K64" s="18">
        <v>-21.25</v>
      </c>
      <c r="L64" s="18">
        <v>-21.75</v>
      </c>
      <c r="M64" s="18">
        <v>25</v>
      </c>
      <c r="N64" s="29">
        <v>-21.41</v>
      </c>
      <c r="O64" s="4">
        <f>N64-'Sonde étalon'!$C$12</f>
        <v>-21.41</v>
      </c>
      <c r="P64"/>
      <c r="R64" s="4">
        <f t="shared" si="6"/>
        <v>-8.9999999999999858E-2</v>
      </c>
      <c r="S64" s="4">
        <f t="shared" si="7"/>
        <v>-8.9999999999999858E-2</v>
      </c>
      <c r="T64" s="4">
        <f t="shared" si="8"/>
        <v>3.0000000000001137E-2</v>
      </c>
      <c r="U64" s="4">
        <f t="shared" si="9"/>
        <v>-3.0000000000001137E-2</v>
      </c>
      <c r="V64" s="4">
        <f t="shared" si="10"/>
        <v>-0.14999999999999858</v>
      </c>
      <c r="W64" s="4">
        <f t="shared" si="11"/>
        <v>-0.14999999999999858</v>
      </c>
      <c r="X64" s="4">
        <f t="shared" si="12"/>
        <v>0.21999999999999886</v>
      </c>
      <c r="Y64" s="4">
        <f t="shared" si="13"/>
        <v>0.16000000000000014</v>
      </c>
      <c r="Z64" s="4">
        <f t="shared" si="14"/>
        <v>-0.33999999999999986</v>
      </c>
      <c r="AB64"/>
      <c r="AC64" s="4">
        <f t="shared" si="15"/>
        <v>-21.422583333333336</v>
      </c>
      <c r="AD64" s="4">
        <f t="shared" si="16"/>
        <v>-21.413166666666665</v>
      </c>
      <c r="AE64" s="4">
        <f t="shared" si="17"/>
        <v>-21.400499999999997</v>
      </c>
      <c r="AF64" s="4">
        <f t="shared" si="18"/>
        <v>-21.416166666666669</v>
      </c>
      <c r="AG64" s="4">
        <f t="shared" si="19"/>
        <v>-21.397416666666665</v>
      </c>
      <c r="AH64" s="4">
        <f t="shared" si="20"/>
        <v>-21.391833333333331</v>
      </c>
      <c r="AI64" s="4">
        <f t="shared" si="21"/>
        <v>-21.412083333333335</v>
      </c>
      <c r="AJ64" s="4">
        <f t="shared" si="22"/>
        <v>-21.405000000000001</v>
      </c>
      <c r="AK64" s="4">
        <f t="shared" si="23"/>
        <v>-21.4315</v>
      </c>
      <c r="AL64"/>
      <c r="AM64"/>
      <c r="AN64" s="4">
        <f t="shared" si="24"/>
        <v>-1.2583333333335389E-2</v>
      </c>
      <c r="AO64" s="4">
        <f t="shared" si="25"/>
        <v>-3.1666666666652077E-3</v>
      </c>
      <c r="AP64" s="4">
        <f t="shared" si="26"/>
        <v>9.5000000000027285E-3</v>
      </c>
      <c r="AQ64" s="4">
        <f t="shared" si="27"/>
        <v>-6.1666666666688741E-3</v>
      </c>
      <c r="AR64" s="4">
        <f t="shared" si="28"/>
        <v>1.2583333333335389E-2</v>
      </c>
      <c r="AS64" s="4">
        <f t="shared" si="29"/>
        <v>1.8166666666669329E-2</v>
      </c>
      <c r="AT64" s="4">
        <f t="shared" si="30"/>
        <v>-2.0833333333349913E-3</v>
      </c>
      <c r="AU64" s="4">
        <f t="shared" si="31"/>
        <v>4.9999999999990052E-3</v>
      </c>
      <c r="AV64" s="4">
        <f t="shared" si="32"/>
        <v>-2.1499999999999631E-2</v>
      </c>
    </row>
    <row r="65" spans="1:48" x14ac:dyDescent="0.25">
      <c r="A65" s="18">
        <v>71</v>
      </c>
      <c r="B65" s="19">
        <v>43581</v>
      </c>
      <c r="C65" s="20">
        <v>0.45809027777777778</v>
      </c>
      <c r="D65" s="18">
        <v>-21.5</v>
      </c>
      <c r="E65" s="18">
        <v>-21.5</v>
      </c>
      <c r="F65" s="18">
        <v>-21.38</v>
      </c>
      <c r="G65" s="18">
        <v>-21.44</v>
      </c>
      <c r="H65" s="18">
        <v>-21.56</v>
      </c>
      <c r="I65" s="18">
        <v>-21.56</v>
      </c>
      <c r="J65" s="18">
        <v>-21.19</v>
      </c>
      <c r="K65" s="18">
        <v>-21.25</v>
      </c>
      <c r="L65" s="18">
        <v>-21.75</v>
      </c>
      <c r="M65" s="18">
        <v>25</v>
      </c>
      <c r="N65" s="29">
        <v>-21.43</v>
      </c>
      <c r="O65" s="4">
        <f>N65-'Sonde étalon'!$C$12</f>
        <v>-21.43</v>
      </c>
      <c r="P65"/>
      <c r="R65" s="4">
        <f t="shared" si="6"/>
        <v>-7.0000000000000284E-2</v>
      </c>
      <c r="S65" s="4">
        <f t="shared" si="7"/>
        <v>-7.0000000000000284E-2</v>
      </c>
      <c r="T65" s="4">
        <f t="shared" si="8"/>
        <v>5.0000000000000711E-2</v>
      </c>
      <c r="U65" s="4">
        <f t="shared" si="9"/>
        <v>-1.0000000000001563E-2</v>
      </c>
      <c r="V65" s="4">
        <f t="shared" si="10"/>
        <v>-0.12999999999999901</v>
      </c>
      <c r="W65" s="4">
        <f t="shared" si="11"/>
        <v>-0.12999999999999901</v>
      </c>
      <c r="X65" s="4">
        <f t="shared" si="12"/>
        <v>0.23999999999999844</v>
      </c>
      <c r="Y65" s="4">
        <f t="shared" si="13"/>
        <v>0.17999999999999972</v>
      </c>
      <c r="Z65" s="4">
        <f t="shared" si="14"/>
        <v>-0.32000000000000028</v>
      </c>
      <c r="AB65"/>
      <c r="AC65" s="4">
        <f t="shared" si="15"/>
        <v>-21.422583333333336</v>
      </c>
      <c r="AD65" s="4">
        <f t="shared" si="16"/>
        <v>-21.413166666666665</v>
      </c>
      <c r="AE65" s="4">
        <f t="shared" si="17"/>
        <v>-21.400499999999997</v>
      </c>
      <c r="AF65" s="4">
        <f t="shared" si="18"/>
        <v>-21.416166666666669</v>
      </c>
      <c r="AG65" s="4">
        <f t="shared" si="19"/>
        <v>-21.397416666666665</v>
      </c>
      <c r="AH65" s="4">
        <f t="shared" si="20"/>
        <v>-21.391833333333331</v>
      </c>
      <c r="AI65" s="4">
        <f t="shared" si="21"/>
        <v>-21.412083333333335</v>
      </c>
      <c r="AJ65" s="4">
        <f t="shared" si="22"/>
        <v>-21.405000000000001</v>
      </c>
      <c r="AK65" s="4">
        <f t="shared" si="23"/>
        <v>-21.4315</v>
      </c>
      <c r="AL65"/>
      <c r="AM65"/>
      <c r="AN65" s="4">
        <f t="shared" si="24"/>
        <v>7.4166666666641845E-3</v>
      </c>
      <c r="AO65" s="4">
        <f t="shared" si="25"/>
        <v>1.6833333333334366E-2</v>
      </c>
      <c r="AP65" s="4">
        <f t="shared" si="26"/>
        <v>2.9500000000002302E-2</v>
      </c>
      <c r="AQ65" s="4">
        <f t="shared" si="27"/>
        <v>1.38333333333307E-2</v>
      </c>
      <c r="AR65" s="4">
        <f t="shared" si="28"/>
        <v>3.2583333333334963E-2</v>
      </c>
      <c r="AS65" s="4">
        <f t="shared" si="29"/>
        <v>3.8166666666668903E-2</v>
      </c>
      <c r="AT65" s="4">
        <f t="shared" si="30"/>
        <v>1.7916666666664582E-2</v>
      </c>
      <c r="AU65" s="4">
        <f t="shared" si="31"/>
        <v>2.4999999999998579E-2</v>
      </c>
      <c r="AV65" s="4">
        <f t="shared" si="32"/>
        <v>-1.5000000000000568E-3</v>
      </c>
    </row>
    <row r="66" spans="1:48" x14ac:dyDescent="0.25">
      <c r="A66" s="18">
        <v>72</v>
      </c>
      <c r="B66" s="19">
        <v>43581</v>
      </c>
      <c r="C66" s="20">
        <v>0.45878472222222227</v>
      </c>
      <c r="D66" s="18">
        <v>-21.5</v>
      </c>
      <c r="E66" s="18">
        <v>-21.5</v>
      </c>
      <c r="F66" s="18">
        <v>-21.38</v>
      </c>
      <c r="G66" s="18">
        <v>-21.44</v>
      </c>
      <c r="H66" s="18">
        <v>-21.56</v>
      </c>
      <c r="I66" s="18">
        <v>-21.56</v>
      </c>
      <c r="J66" s="18">
        <v>-21.19</v>
      </c>
      <c r="K66" s="18">
        <v>-21.25</v>
      </c>
      <c r="L66" s="18">
        <v>-21.75</v>
      </c>
      <c r="M66" s="18">
        <v>25</v>
      </c>
      <c r="N66" s="29">
        <v>-21.41</v>
      </c>
      <c r="O66" s="4">
        <f>N66-'Sonde étalon'!$C$12</f>
        <v>-21.41</v>
      </c>
      <c r="P66"/>
      <c r="R66" s="4">
        <f t="shared" si="6"/>
        <v>-8.9999999999999858E-2</v>
      </c>
      <c r="S66" s="4">
        <f t="shared" si="7"/>
        <v>-8.9999999999999858E-2</v>
      </c>
      <c r="T66" s="4">
        <f t="shared" si="8"/>
        <v>3.0000000000001137E-2</v>
      </c>
      <c r="U66" s="4">
        <f t="shared" si="9"/>
        <v>-3.0000000000001137E-2</v>
      </c>
      <c r="V66" s="4">
        <f t="shared" si="10"/>
        <v>-0.14999999999999858</v>
      </c>
      <c r="W66" s="4">
        <f t="shared" si="11"/>
        <v>-0.14999999999999858</v>
      </c>
      <c r="X66" s="4">
        <f t="shared" si="12"/>
        <v>0.21999999999999886</v>
      </c>
      <c r="Y66" s="4">
        <f t="shared" si="13"/>
        <v>0.16000000000000014</v>
      </c>
      <c r="Z66" s="4">
        <f t="shared" si="14"/>
        <v>-0.33999999999999986</v>
      </c>
      <c r="AB66"/>
      <c r="AC66" s="4">
        <f t="shared" si="15"/>
        <v>-21.422583333333336</v>
      </c>
      <c r="AD66" s="4">
        <f t="shared" si="16"/>
        <v>-21.413166666666665</v>
      </c>
      <c r="AE66" s="4">
        <f t="shared" si="17"/>
        <v>-21.400499999999997</v>
      </c>
      <c r="AF66" s="4">
        <f t="shared" si="18"/>
        <v>-21.416166666666669</v>
      </c>
      <c r="AG66" s="4">
        <f t="shared" si="19"/>
        <v>-21.397416666666665</v>
      </c>
      <c r="AH66" s="4">
        <f t="shared" si="20"/>
        <v>-21.391833333333331</v>
      </c>
      <c r="AI66" s="4">
        <f t="shared" si="21"/>
        <v>-21.412083333333335</v>
      </c>
      <c r="AJ66" s="4">
        <f t="shared" si="22"/>
        <v>-21.405000000000001</v>
      </c>
      <c r="AK66" s="4">
        <f t="shared" si="23"/>
        <v>-21.4315</v>
      </c>
      <c r="AL66"/>
      <c r="AM66"/>
      <c r="AN66" s="4">
        <f t="shared" si="24"/>
        <v>-1.2583333333335389E-2</v>
      </c>
      <c r="AO66" s="4">
        <f t="shared" si="25"/>
        <v>-3.1666666666652077E-3</v>
      </c>
      <c r="AP66" s="4">
        <f t="shared" si="26"/>
        <v>9.5000000000027285E-3</v>
      </c>
      <c r="AQ66" s="4">
        <f t="shared" si="27"/>
        <v>-6.1666666666688741E-3</v>
      </c>
      <c r="AR66" s="4">
        <f t="shared" si="28"/>
        <v>1.2583333333335389E-2</v>
      </c>
      <c r="AS66" s="4">
        <f t="shared" si="29"/>
        <v>1.8166666666669329E-2</v>
      </c>
      <c r="AT66" s="4">
        <f t="shared" si="30"/>
        <v>-2.0833333333349913E-3</v>
      </c>
      <c r="AU66" s="4">
        <f t="shared" si="31"/>
        <v>4.9999999999990052E-3</v>
      </c>
      <c r="AV66" s="4">
        <f t="shared" si="32"/>
        <v>-2.1499999999999631E-2</v>
      </c>
    </row>
    <row r="67" spans="1:48" x14ac:dyDescent="0.25">
      <c r="A67" s="18">
        <v>73</v>
      </c>
      <c r="B67" s="19">
        <v>43581</v>
      </c>
      <c r="C67" s="20">
        <v>0.45947916666666666</v>
      </c>
      <c r="D67" s="18">
        <v>-21.5</v>
      </c>
      <c r="E67" s="18">
        <v>-21.5</v>
      </c>
      <c r="F67" s="18">
        <v>-21.38</v>
      </c>
      <c r="G67" s="18">
        <v>-21.44</v>
      </c>
      <c r="H67" s="18">
        <v>-21.56</v>
      </c>
      <c r="I67" s="18">
        <v>-21.56</v>
      </c>
      <c r="J67" s="18">
        <v>-21.19</v>
      </c>
      <c r="K67" s="18">
        <v>-21.25</v>
      </c>
      <c r="L67" s="18">
        <v>-21.75</v>
      </c>
      <c r="M67" s="18">
        <v>25</v>
      </c>
      <c r="N67" s="29">
        <v>-21.41</v>
      </c>
      <c r="O67" s="4">
        <f>N67-'Sonde étalon'!$C$12</f>
        <v>-21.41</v>
      </c>
      <c r="P67"/>
      <c r="R67" s="4">
        <f t="shared" si="6"/>
        <v>-8.9999999999999858E-2</v>
      </c>
      <c r="S67" s="4">
        <f t="shared" si="7"/>
        <v>-8.9999999999999858E-2</v>
      </c>
      <c r="T67" s="4">
        <f t="shared" si="8"/>
        <v>3.0000000000001137E-2</v>
      </c>
      <c r="U67" s="4">
        <f t="shared" si="9"/>
        <v>-3.0000000000001137E-2</v>
      </c>
      <c r="V67" s="4">
        <f t="shared" si="10"/>
        <v>-0.14999999999999858</v>
      </c>
      <c r="W67" s="4">
        <f t="shared" si="11"/>
        <v>-0.14999999999999858</v>
      </c>
      <c r="X67" s="4">
        <f t="shared" si="12"/>
        <v>0.21999999999999886</v>
      </c>
      <c r="Y67" s="4">
        <f t="shared" si="13"/>
        <v>0.16000000000000014</v>
      </c>
      <c r="Z67" s="4">
        <f t="shared" si="14"/>
        <v>-0.33999999999999986</v>
      </c>
      <c r="AB67"/>
      <c r="AC67" s="4">
        <f t="shared" si="15"/>
        <v>-21.422583333333336</v>
      </c>
      <c r="AD67" s="4">
        <f t="shared" si="16"/>
        <v>-21.413166666666665</v>
      </c>
      <c r="AE67" s="4">
        <f t="shared" si="17"/>
        <v>-21.400499999999997</v>
      </c>
      <c r="AF67" s="4">
        <f t="shared" si="18"/>
        <v>-21.416166666666669</v>
      </c>
      <c r="AG67" s="4">
        <f t="shared" si="19"/>
        <v>-21.397416666666665</v>
      </c>
      <c r="AH67" s="4">
        <f t="shared" si="20"/>
        <v>-21.391833333333331</v>
      </c>
      <c r="AI67" s="4">
        <f t="shared" si="21"/>
        <v>-21.412083333333335</v>
      </c>
      <c r="AJ67" s="4">
        <f t="shared" si="22"/>
        <v>-21.405000000000001</v>
      </c>
      <c r="AK67" s="4">
        <f t="shared" si="23"/>
        <v>-21.4315</v>
      </c>
      <c r="AL67"/>
      <c r="AM67"/>
      <c r="AN67" s="4">
        <f t="shared" si="24"/>
        <v>-1.2583333333335389E-2</v>
      </c>
      <c r="AO67" s="4">
        <f t="shared" si="25"/>
        <v>-3.1666666666652077E-3</v>
      </c>
      <c r="AP67" s="4">
        <f t="shared" si="26"/>
        <v>9.5000000000027285E-3</v>
      </c>
      <c r="AQ67" s="4">
        <f t="shared" si="27"/>
        <v>-6.1666666666688741E-3</v>
      </c>
      <c r="AR67" s="4">
        <f t="shared" si="28"/>
        <v>1.2583333333335389E-2</v>
      </c>
      <c r="AS67" s="4">
        <f t="shared" si="29"/>
        <v>1.8166666666669329E-2</v>
      </c>
      <c r="AT67" s="4">
        <f t="shared" si="30"/>
        <v>-2.0833333333349913E-3</v>
      </c>
      <c r="AU67" s="4">
        <f t="shared" si="31"/>
        <v>4.9999999999990052E-3</v>
      </c>
      <c r="AV67" s="4">
        <f t="shared" si="32"/>
        <v>-2.1499999999999631E-2</v>
      </c>
    </row>
    <row r="68" spans="1:48" x14ac:dyDescent="0.25">
      <c r="A68" s="18">
        <v>74</v>
      </c>
      <c r="B68" s="19">
        <v>43581</v>
      </c>
      <c r="C68" s="20">
        <v>0.46017361111111116</v>
      </c>
      <c r="D68" s="18">
        <v>-21.5</v>
      </c>
      <c r="E68" s="18">
        <v>-21.5</v>
      </c>
      <c r="F68" s="18">
        <v>-21.38</v>
      </c>
      <c r="G68" s="18">
        <v>-21.44</v>
      </c>
      <c r="H68" s="18">
        <v>-21.56</v>
      </c>
      <c r="I68" s="18">
        <v>-21.56</v>
      </c>
      <c r="J68" s="18">
        <v>-21.19</v>
      </c>
      <c r="K68" s="18">
        <v>-21.25</v>
      </c>
      <c r="L68" s="18">
        <v>-21.75</v>
      </c>
      <c r="M68" s="18">
        <v>24.9</v>
      </c>
      <c r="N68" s="29">
        <v>-21.42</v>
      </c>
      <c r="O68" s="4">
        <f>N68-'Sonde étalon'!$C$12</f>
        <v>-21.42</v>
      </c>
      <c r="P68"/>
      <c r="R68" s="4">
        <f t="shared" si="6"/>
        <v>-7.9999999999998295E-2</v>
      </c>
      <c r="S68" s="4">
        <f t="shared" si="7"/>
        <v>-7.9999999999998295E-2</v>
      </c>
      <c r="T68" s="4">
        <f t="shared" si="8"/>
        <v>4.00000000000027E-2</v>
      </c>
      <c r="U68" s="4">
        <f t="shared" si="9"/>
        <v>-1.9999999999999574E-2</v>
      </c>
      <c r="V68" s="4">
        <f t="shared" si="10"/>
        <v>-0.13999999999999702</v>
      </c>
      <c r="W68" s="4">
        <f t="shared" si="11"/>
        <v>-0.13999999999999702</v>
      </c>
      <c r="X68" s="4">
        <f t="shared" si="12"/>
        <v>0.23000000000000043</v>
      </c>
      <c r="Y68" s="4">
        <f t="shared" si="13"/>
        <v>0.17000000000000171</v>
      </c>
      <c r="Z68" s="4">
        <f t="shared" si="14"/>
        <v>-0.32999999999999829</v>
      </c>
      <c r="AB68"/>
      <c r="AC68" s="4">
        <f t="shared" si="15"/>
        <v>-21.422583333333336</v>
      </c>
      <c r="AD68" s="4">
        <f t="shared" si="16"/>
        <v>-21.413166666666665</v>
      </c>
      <c r="AE68" s="4">
        <f t="shared" si="17"/>
        <v>-21.400499999999997</v>
      </c>
      <c r="AF68" s="4">
        <f t="shared" si="18"/>
        <v>-21.416166666666669</v>
      </c>
      <c r="AG68" s="4">
        <f t="shared" si="19"/>
        <v>-21.397416666666665</v>
      </c>
      <c r="AH68" s="4">
        <f t="shared" si="20"/>
        <v>-21.391833333333331</v>
      </c>
      <c r="AI68" s="4">
        <f t="shared" si="21"/>
        <v>-21.412083333333335</v>
      </c>
      <c r="AJ68" s="4">
        <f t="shared" si="22"/>
        <v>-21.405000000000001</v>
      </c>
      <c r="AK68" s="4">
        <f t="shared" si="23"/>
        <v>-21.4315</v>
      </c>
      <c r="AL68"/>
      <c r="AM68"/>
      <c r="AN68" s="4">
        <f t="shared" si="24"/>
        <v>-2.583333333333826E-3</v>
      </c>
      <c r="AO68" s="4">
        <f t="shared" si="25"/>
        <v>6.8333333333363555E-3</v>
      </c>
      <c r="AP68" s="4">
        <f t="shared" si="26"/>
        <v>1.9500000000004292E-2</v>
      </c>
      <c r="AQ68" s="4">
        <f t="shared" si="27"/>
        <v>3.8333333333326891E-3</v>
      </c>
      <c r="AR68" s="4">
        <f t="shared" si="28"/>
        <v>2.2583333333336952E-2</v>
      </c>
      <c r="AS68" s="4">
        <f t="shared" si="29"/>
        <v>2.8166666666670892E-2</v>
      </c>
      <c r="AT68" s="4">
        <f t="shared" si="30"/>
        <v>7.9166666666665719E-3</v>
      </c>
      <c r="AU68" s="4">
        <f t="shared" si="31"/>
        <v>1.5000000000000568E-2</v>
      </c>
      <c r="AV68" s="4">
        <f t="shared" si="32"/>
        <v>-1.1499999999998067E-2</v>
      </c>
    </row>
    <row r="69" spans="1:48" x14ac:dyDescent="0.25">
      <c r="A69" s="18">
        <v>75</v>
      </c>
      <c r="B69" s="19">
        <v>43581</v>
      </c>
      <c r="C69" s="20">
        <v>0.46086805555555554</v>
      </c>
      <c r="D69" s="18">
        <v>-21.5</v>
      </c>
      <c r="E69" s="18">
        <v>-21.5</v>
      </c>
      <c r="F69" s="18">
        <v>-21.44</v>
      </c>
      <c r="G69" s="18">
        <v>-21.44</v>
      </c>
      <c r="H69" s="18">
        <v>-21.56</v>
      </c>
      <c r="I69" s="18">
        <v>-21.56</v>
      </c>
      <c r="J69" s="18">
        <v>-21.19</v>
      </c>
      <c r="K69" s="18">
        <v>-21.25</v>
      </c>
      <c r="L69" s="18">
        <v>-21.75</v>
      </c>
      <c r="M69" s="18">
        <v>24.9</v>
      </c>
      <c r="N69" s="29">
        <v>-21.41</v>
      </c>
      <c r="O69" s="4">
        <f>N69-'Sonde étalon'!$C$12</f>
        <v>-21.41</v>
      </c>
      <c r="P69"/>
      <c r="R69" s="4">
        <f t="shared" si="6"/>
        <v>-8.9999999999999858E-2</v>
      </c>
      <c r="S69" s="4">
        <f t="shared" si="7"/>
        <v>-8.9999999999999858E-2</v>
      </c>
      <c r="T69" s="4">
        <f t="shared" si="8"/>
        <v>-3.0000000000001137E-2</v>
      </c>
      <c r="U69" s="4">
        <f t="shared" si="9"/>
        <v>-3.0000000000001137E-2</v>
      </c>
      <c r="V69" s="4">
        <f t="shared" si="10"/>
        <v>-0.14999999999999858</v>
      </c>
      <c r="W69" s="4">
        <f t="shared" si="11"/>
        <v>-0.14999999999999858</v>
      </c>
      <c r="X69" s="4">
        <f t="shared" si="12"/>
        <v>0.21999999999999886</v>
      </c>
      <c r="Y69" s="4">
        <f t="shared" si="13"/>
        <v>0.16000000000000014</v>
      </c>
      <c r="Z69" s="4">
        <f t="shared" si="14"/>
        <v>-0.33999999999999986</v>
      </c>
      <c r="AB69"/>
      <c r="AC69" s="4">
        <f t="shared" si="15"/>
        <v>-21.422583333333336</v>
      </c>
      <c r="AD69" s="4">
        <f t="shared" si="16"/>
        <v>-21.413166666666665</v>
      </c>
      <c r="AE69" s="4">
        <f t="shared" si="17"/>
        <v>-21.4605</v>
      </c>
      <c r="AF69" s="4">
        <f t="shared" si="18"/>
        <v>-21.416166666666669</v>
      </c>
      <c r="AG69" s="4">
        <f t="shared" si="19"/>
        <v>-21.397416666666665</v>
      </c>
      <c r="AH69" s="4">
        <f t="shared" si="20"/>
        <v>-21.391833333333331</v>
      </c>
      <c r="AI69" s="4">
        <f t="shared" si="21"/>
        <v>-21.412083333333335</v>
      </c>
      <c r="AJ69" s="4">
        <f t="shared" si="22"/>
        <v>-21.405000000000001</v>
      </c>
      <c r="AK69" s="4">
        <f t="shared" si="23"/>
        <v>-21.4315</v>
      </c>
      <c r="AL69"/>
      <c r="AM69"/>
      <c r="AN69" s="4">
        <f t="shared" si="24"/>
        <v>-1.2583333333335389E-2</v>
      </c>
      <c r="AO69" s="4">
        <f t="shared" si="25"/>
        <v>-3.1666666666652077E-3</v>
      </c>
      <c r="AP69" s="4">
        <f t="shared" si="26"/>
        <v>-5.0499999999999545E-2</v>
      </c>
      <c r="AQ69" s="4">
        <f t="shared" si="27"/>
        <v>-6.1666666666688741E-3</v>
      </c>
      <c r="AR69" s="4">
        <f t="shared" si="28"/>
        <v>1.2583333333335389E-2</v>
      </c>
      <c r="AS69" s="4">
        <f t="shared" si="29"/>
        <v>1.8166666666669329E-2</v>
      </c>
      <c r="AT69" s="4">
        <f t="shared" si="30"/>
        <v>-2.0833333333349913E-3</v>
      </c>
      <c r="AU69" s="4">
        <f t="shared" si="31"/>
        <v>4.9999999999990052E-3</v>
      </c>
      <c r="AV69" s="4">
        <f t="shared" si="32"/>
        <v>-2.1499999999999631E-2</v>
      </c>
    </row>
    <row r="70" spans="1:48" x14ac:dyDescent="0.25">
      <c r="A70" s="18">
        <v>76</v>
      </c>
      <c r="B70" s="19">
        <v>43581</v>
      </c>
      <c r="C70" s="20">
        <v>0.46156250000000004</v>
      </c>
      <c r="D70" s="18">
        <v>-21.5</v>
      </c>
      <c r="E70" s="18">
        <v>-21.5</v>
      </c>
      <c r="F70" s="18">
        <v>-21.44</v>
      </c>
      <c r="G70" s="18">
        <v>-21.44</v>
      </c>
      <c r="H70" s="18">
        <v>-21.56</v>
      </c>
      <c r="I70" s="18">
        <v>-21.56</v>
      </c>
      <c r="J70" s="18">
        <v>-21.19</v>
      </c>
      <c r="K70" s="18">
        <v>-21.25</v>
      </c>
      <c r="L70" s="18">
        <v>-21.75</v>
      </c>
      <c r="M70" s="18">
        <v>24.9</v>
      </c>
      <c r="N70" s="29">
        <v>-21.42</v>
      </c>
      <c r="O70" s="4">
        <f>N70-'Sonde étalon'!$C$12</f>
        <v>-21.42</v>
      </c>
      <c r="P70"/>
      <c r="R70" s="4">
        <f t="shared" ref="R70:R125" si="33">D70-O70</f>
        <v>-7.9999999999998295E-2</v>
      </c>
      <c r="S70" s="4">
        <f t="shared" ref="S70:S125" si="34">E70-O70</f>
        <v>-7.9999999999998295E-2</v>
      </c>
      <c r="T70" s="4">
        <f t="shared" ref="T70:T125" si="35">F70-O70</f>
        <v>-1.9999999999999574E-2</v>
      </c>
      <c r="U70" s="4">
        <f t="shared" ref="U70:U125" si="36">G70-O70</f>
        <v>-1.9999999999999574E-2</v>
      </c>
      <c r="V70" s="4">
        <f t="shared" ref="V70:V125" si="37">H70-O70</f>
        <v>-0.13999999999999702</v>
      </c>
      <c r="W70" s="4">
        <f t="shared" ref="W70:W125" si="38">I70-O70</f>
        <v>-0.13999999999999702</v>
      </c>
      <c r="X70" s="4">
        <f t="shared" ref="X70:X125" si="39">J70-O70</f>
        <v>0.23000000000000043</v>
      </c>
      <c r="Y70" s="4">
        <f t="shared" ref="Y70:Y125" si="40">K70-O70</f>
        <v>0.17000000000000171</v>
      </c>
      <c r="Z70" s="4">
        <f t="shared" ref="Z70:Z125" si="41">L70-O70</f>
        <v>-0.32999999999999829</v>
      </c>
      <c r="AB70"/>
      <c r="AC70" s="4">
        <f t="shared" si="15"/>
        <v>-21.422583333333336</v>
      </c>
      <c r="AD70" s="4">
        <f t="shared" si="16"/>
        <v>-21.413166666666665</v>
      </c>
      <c r="AE70" s="4">
        <f t="shared" si="17"/>
        <v>-21.4605</v>
      </c>
      <c r="AF70" s="4">
        <f t="shared" si="18"/>
        <v>-21.416166666666669</v>
      </c>
      <c r="AG70" s="4">
        <f t="shared" si="19"/>
        <v>-21.397416666666665</v>
      </c>
      <c r="AH70" s="4">
        <f t="shared" si="20"/>
        <v>-21.391833333333331</v>
      </c>
      <c r="AI70" s="4">
        <f t="shared" si="21"/>
        <v>-21.412083333333335</v>
      </c>
      <c r="AJ70" s="4">
        <f t="shared" si="22"/>
        <v>-21.405000000000001</v>
      </c>
      <c r="AK70" s="4">
        <f t="shared" si="23"/>
        <v>-21.4315</v>
      </c>
      <c r="AL70"/>
      <c r="AM70"/>
      <c r="AN70" s="4">
        <f t="shared" si="24"/>
        <v>-2.583333333333826E-3</v>
      </c>
      <c r="AO70" s="4">
        <f t="shared" si="25"/>
        <v>6.8333333333363555E-3</v>
      </c>
      <c r="AP70" s="4">
        <f t="shared" si="26"/>
        <v>-4.0499999999997982E-2</v>
      </c>
      <c r="AQ70" s="4">
        <f t="shared" si="27"/>
        <v>3.8333333333326891E-3</v>
      </c>
      <c r="AR70" s="4">
        <f t="shared" si="28"/>
        <v>2.2583333333336952E-2</v>
      </c>
      <c r="AS70" s="4">
        <f t="shared" si="29"/>
        <v>2.8166666666670892E-2</v>
      </c>
      <c r="AT70" s="4">
        <f t="shared" si="30"/>
        <v>7.9166666666665719E-3</v>
      </c>
      <c r="AU70" s="4">
        <f t="shared" si="31"/>
        <v>1.5000000000000568E-2</v>
      </c>
      <c r="AV70" s="4">
        <f t="shared" si="32"/>
        <v>-1.1499999999998067E-2</v>
      </c>
    </row>
    <row r="71" spans="1:48" x14ac:dyDescent="0.25">
      <c r="A71" s="18">
        <v>77</v>
      </c>
      <c r="B71" s="19">
        <v>43581</v>
      </c>
      <c r="C71" s="20">
        <v>0.46225694444444443</v>
      </c>
      <c r="D71" s="18">
        <v>-21.5</v>
      </c>
      <c r="E71" s="18">
        <v>-21.5</v>
      </c>
      <c r="F71" s="18">
        <v>-21.44</v>
      </c>
      <c r="G71" s="18">
        <v>-21.44</v>
      </c>
      <c r="H71" s="18">
        <v>-21.63</v>
      </c>
      <c r="I71" s="18">
        <v>-21.63</v>
      </c>
      <c r="J71" s="18">
        <v>-21.19</v>
      </c>
      <c r="K71" s="18">
        <v>-21.25</v>
      </c>
      <c r="L71" s="18">
        <v>-21.75</v>
      </c>
      <c r="M71" s="18">
        <v>24.9</v>
      </c>
      <c r="N71" s="29">
        <v>-21.43</v>
      </c>
      <c r="O71" s="4">
        <f>N71-'Sonde étalon'!$C$12</f>
        <v>-21.43</v>
      </c>
      <c r="P71"/>
      <c r="R71" s="4">
        <f t="shared" si="33"/>
        <v>-7.0000000000000284E-2</v>
      </c>
      <c r="S71" s="4">
        <f t="shared" si="34"/>
        <v>-7.0000000000000284E-2</v>
      </c>
      <c r="T71" s="4">
        <f t="shared" si="35"/>
        <v>-1.0000000000001563E-2</v>
      </c>
      <c r="U71" s="4">
        <f t="shared" si="36"/>
        <v>-1.0000000000001563E-2</v>
      </c>
      <c r="V71" s="4">
        <f t="shared" si="37"/>
        <v>-0.19999999999999929</v>
      </c>
      <c r="W71" s="4">
        <f t="shared" si="38"/>
        <v>-0.19999999999999929</v>
      </c>
      <c r="X71" s="4">
        <f t="shared" si="39"/>
        <v>0.23999999999999844</v>
      </c>
      <c r="Y71" s="4">
        <f t="shared" si="40"/>
        <v>0.17999999999999972</v>
      </c>
      <c r="Z71" s="4">
        <f t="shared" si="41"/>
        <v>-0.32000000000000028</v>
      </c>
      <c r="AB71"/>
      <c r="AC71" s="4">
        <f t="shared" ref="AC71:AC125" si="42">D71-$R$3</f>
        <v>-21.422583333333336</v>
      </c>
      <c r="AD71" s="4">
        <f t="shared" ref="AD71:AD125" si="43">E71-$S$3</f>
        <v>-21.413166666666665</v>
      </c>
      <c r="AE71" s="4">
        <f t="shared" ref="AE71:AE125" si="44">F71-$T$3</f>
        <v>-21.4605</v>
      </c>
      <c r="AF71" s="4">
        <f t="shared" ref="AF71:AF125" si="45">G71-$U$3</f>
        <v>-21.416166666666669</v>
      </c>
      <c r="AG71" s="4">
        <f t="shared" ref="AG71:AG125" si="46">H71-$V$3</f>
        <v>-21.467416666666665</v>
      </c>
      <c r="AH71" s="4">
        <f t="shared" ref="AH71:AH125" si="47">I71-$W$3</f>
        <v>-21.461833333333331</v>
      </c>
      <c r="AI71" s="4">
        <f t="shared" ref="AI71:AI125" si="48">J71-$X$3</f>
        <v>-21.412083333333335</v>
      </c>
      <c r="AJ71" s="4">
        <f t="shared" ref="AJ71:AJ125" si="49">K71-$Y$3</f>
        <v>-21.405000000000001</v>
      </c>
      <c r="AK71" s="4">
        <f t="shared" ref="AK71:AK125" si="50">L71-$Z$3</f>
        <v>-21.4315</v>
      </c>
      <c r="AL71"/>
      <c r="AM71"/>
      <c r="AN71" s="4">
        <f t="shared" ref="AN71:AN125" si="51">AC71-O71</f>
        <v>7.4166666666641845E-3</v>
      </c>
      <c r="AO71" s="4">
        <f t="shared" ref="AO71:AO125" si="52">AD71-O71</f>
        <v>1.6833333333334366E-2</v>
      </c>
      <c r="AP71" s="4">
        <f t="shared" ref="AP71:AP125" si="53">AE71-O71</f>
        <v>-3.0499999999999972E-2</v>
      </c>
      <c r="AQ71" s="4">
        <f t="shared" ref="AQ71:AQ125" si="54">AF71-O71</f>
        <v>1.38333333333307E-2</v>
      </c>
      <c r="AR71" s="4">
        <f t="shared" ref="AR71:AR125" si="55">AG71-O71</f>
        <v>-3.7416666666665321E-2</v>
      </c>
      <c r="AS71" s="4">
        <f t="shared" ref="AS71:AS125" si="56">AH71-O71</f>
        <v>-3.1833333333331382E-2</v>
      </c>
      <c r="AT71" s="4">
        <f t="shared" ref="AT71:AT125" si="57">AI71-O71</f>
        <v>1.7916666666664582E-2</v>
      </c>
      <c r="AU71" s="4">
        <f t="shared" ref="AU71:AU125" si="58">AJ71-O71</f>
        <v>2.4999999999998579E-2</v>
      </c>
      <c r="AV71" s="4">
        <f t="shared" ref="AV71:AV125" si="59">AK71-O71</f>
        <v>-1.5000000000000568E-3</v>
      </c>
    </row>
    <row r="72" spans="1:48" x14ac:dyDescent="0.25">
      <c r="A72" s="18">
        <v>78</v>
      </c>
      <c r="B72" s="19">
        <v>43581</v>
      </c>
      <c r="C72" s="20">
        <v>0.46295138888888893</v>
      </c>
      <c r="D72" s="18">
        <v>-21.5</v>
      </c>
      <c r="E72" s="18">
        <v>-21.56</v>
      </c>
      <c r="F72" s="18">
        <v>-21.44</v>
      </c>
      <c r="G72" s="18">
        <v>-21.5</v>
      </c>
      <c r="H72" s="18">
        <v>-21.63</v>
      </c>
      <c r="I72" s="18">
        <v>-21.63</v>
      </c>
      <c r="J72" s="18">
        <v>-21.25</v>
      </c>
      <c r="K72" s="18">
        <v>-21.31</v>
      </c>
      <c r="L72" s="18">
        <v>-21.75</v>
      </c>
      <c r="M72" s="18">
        <v>25</v>
      </c>
      <c r="N72" s="29">
        <v>-21.44</v>
      </c>
      <c r="O72" s="4">
        <f>N72-'Sonde étalon'!$C$12</f>
        <v>-21.44</v>
      </c>
      <c r="P72"/>
      <c r="R72" s="4">
        <f t="shared" si="33"/>
        <v>-5.9999999999998721E-2</v>
      </c>
      <c r="S72" s="4">
        <f t="shared" si="34"/>
        <v>-0.11999999999999744</v>
      </c>
      <c r="T72" s="4">
        <f t="shared" si="35"/>
        <v>0</v>
      </c>
      <c r="U72" s="4">
        <f t="shared" si="36"/>
        <v>-5.9999999999998721E-2</v>
      </c>
      <c r="V72" s="4">
        <f t="shared" si="37"/>
        <v>-0.18999999999999773</v>
      </c>
      <c r="W72" s="4">
        <f t="shared" si="38"/>
        <v>-0.18999999999999773</v>
      </c>
      <c r="X72" s="4">
        <f t="shared" si="39"/>
        <v>0.19000000000000128</v>
      </c>
      <c r="Y72" s="4">
        <f t="shared" si="40"/>
        <v>0.13000000000000256</v>
      </c>
      <c r="Z72" s="4">
        <f t="shared" si="41"/>
        <v>-0.30999999999999872</v>
      </c>
      <c r="AB72"/>
      <c r="AC72" s="4">
        <f t="shared" si="42"/>
        <v>-21.422583333333336</v>
      </c>
      <c r="AD72" s="4">
        <f t="shared" si="43"/>
        <v>-21.473166666666664</v>
      </c>
      <c r="AE72" s="4">
        <f t="shared" si="44"/>
        <v>-21.4605</v>
      </c>
      <c r="AF72" s="4">
        <f t="shared" si="45"/>
        <v>-21.476166666666668</v>
      </c>
      <c r="AG72" s="4">
        <f t="shared" si="46"/>
        <v>-21.467416666666665</v>
      </c>
      <c r="AH72" s="4">
        <f t="shared" si="47"/>
        <v>-21.461833333333331</v>
      </c>
      <c r="AI72" s="4">
        <f t="shared" si="48"/>
        <v>-21.472083333333334</v>
      </c>
      <c r="AJ72" s="4">
        <f t="shared" si="49"/>
        <v>-21.465</v>
      </c>
      <c r="AK72" s="4">
        <f t="shared" si="50"/>
        <v>-21.4315</v>
      </c>
      <c r="AL72"/>
      <c r="AM72"/>
      <c r="AN72" s="4">
        <f t="shared" si="51"/>
        <v>1.7416666666665748E-2</v>
      </c>
      <c r="AO72" s="4">
        <f t="shared" si="52"/>
        <v>-3.3166666666662792E-2</v>
      </c>
      <c r="AP72" s="4">
        <f t="shared" si="53"/>
        <v>-2.0499999999998408E-2</v>
      </c>
      <c r="AQ72" s="4">
        <f t="shared" si="54"/>
        <v>-3.6166666666666458E-2</v>
      </c>
      <c r="AR72" s="4">
        <f t="shared" si="55"/>
        <v>-2.7416666666663758E-2</v>
      </c>
      <c r="AS72" s="4">
        <f t="shared" si="56"/>
        <v>-2.1833333333329819E-2</v>
      </c>
      <c r="AT72" s="4">
        <f t="shared" si="57"/>
        <v>-3.2083333333332575E-2</v>
      </c>
      <c r="AU72" s="4">
        <f t="shared" si="58"/>
        <v>-2.4999999999998579E-2</v>
      </c>
      <c r="AV72" s="4">
        <f t="shared" si="59"/>
        <v>8.5000000000015064E-3</v>
      </c>
    </row>
    <row r="73" spans="1:48" x14ac:dyDescent="0.25">
      <c r="A73" s="18">
        <v>79</v>
      </c>
      <c r="B73" s="19">
        <v>43581</v>
      </c>
      <c r="C73" s="20">
        <v>0.46364583333333331</v>
      </c>
      <c r="D73" s="18">
        <v>-21.5</v>
      </c>
      <c r="E73" s="18">
        <v>-21.5</v>
      </c>
      <c r="F73" s="18">
        <v>-21.44</v>
      </c>
      <c r="G73" s="18">
        <v>-21.5</v>
      </c>
      <c r="H73" s="18">
        <v>-21.63</v>
      </c>
      <c r="I73" s="18">
        <v>-21.63</v>
      </c>
      <c r="J73" s="18">
        <v>-21.25</v>
      </c>
      <c r="K73" s="18">
        <v>-21.31</v>
      </c>
      <c r="L73" s="18">
        <v>-21.75</v>
      </c>
      <c r="M73" s="18">
        <v>24.9</v>
      </c>
      <c r="N73" s="29">
        <v>-21.44</v>
      </c>
      <c r="O73" s="4">
        <f>N73-'Sonde étalon'!$C$12</f>
        <v>-21.44</v>
      </c>
      <c r="P73"/>
      <c r="R73" s="4">
        <f t="shared" si="33"/>
        <v>-5.9999999999998721E-2</v>
      </c>
      <c r="S73" s="4">
        <f t="shared" si="34"/>
        <v>-5.9999999999998721E-2</v>
      </c>
      <c r="T73" s="4">
        <f t="shared" si="35"/>
        <v>0</v>
      </c>
      <c r="U73" s="4">
        <f t="shared" si="36"/>
        <v>-5.9999999999998721E-2</v>
      </c>
      <c r="V73" s="4">
        <f t="shared" si="37"/>
        <v>-0.18999999999999773</v>
      </c>
      <c r="W73" s="4">
        <f t="shared" si="38"/>
        <v>-0.18999999999999773</v>
      </c>
      <c r="X73" s="4">
        <f t="shared" si="39"/>
        <v>0.19000000000000128</v>
      </c>
      <c r="Y73" s="4">
        <f t="shared" si="40"/>
        <v>0.13000000000000256</v>
      </c>
      <c r="Z73" s="4">
        <f t="shared" si="41"/>
        <v>-0.30999999999999872</v>
      </c>
      <c r="AB73"/>
      <c r="AC73" s="4">
        <f t="shared" si="42"/>
        <v>-21.422583333333336</v>
      </c>
      <c r="AD73" s="4">
        <f t="shared" si="43"/>
        <v>-21.413166666666665</v>
      </c>
      <c r="AE73" s="4">
        <f t="shared" si="44"/>
        <v>-21.4605</v>
      </c>
      <c r="AF73" s="4">
        <f t="shared" si="45"/>
        <v>-21.476166666666668</v>
      </c>
      <c r="AG73" s="4">
        <f t="shared" si="46"/>
        <v>-21.467416666666665</v>
      </c>
      <c r="AH73" s="4">
        <f t="shared" si="47"/>
        <v>-21.461833333333331</v>
      </c>
      <c r="AI73" s="4">
        <f t="shared" si="48"/>
        <v>-21.472083333333334</v>
      </c>
      <c r="AJ73" s="4">
        <f t="shared" si="49"/>
        <v>-21.465</v>
      </c>
      <c r="AK73" s="4">
        <f t="shared" si="50"/>
        <v>-21.4315</v>
      </c>
      <c r="AL73"/>
      <c r="AM73"/>
      <c r="AN73" s="4">
        <f t="shared" si="51"/>
        <v>1.7416666666665748E-2</v>
      </c>
      <c r="AO73" s="4">
        <f t="shared" si="52"/>
        <v>2.6833333333335929E-2</v>
      </c>
      <c r="AP73" s="4">
        <f t="shared" si="53"/>
        <v>-2.0499999999998408E-2</v>
      </c>
      <c r="AQ73" s="4">
        <f t="shared" si="54"/>
        <v>-3.6166666666666458E-2</v>
      </c>
      <c r="AR73" s="4">
        <f t="shared" si="55"/>
        <v>-2.7416666666663758E-2</v>
      </c>
      <c r="AS73" s="4">
        <f t="shared" si="56"/>
        <v>-2.1833333333329819E-2</v>
      </c>
      <c r="AT73" s="4">
        <f t="shared" si="57"/>
        <v>-3.2083333333332575E-2</v>
      </c>
      <c r="AU73" s="4">
        <f t="shared" si="58"/>
        <v>-2.4999999999998579E-2</v>
      </c>
      <c r="AV73" s="4">
        <f t="shared" si="59"/>
        <v>8.5000000000015064E-3</v>
      </c>
    </row>
    <row r="74" spans="1:48" x14ac:dyDescent="0.25">
      <c r="A74" s="18">
        <v>80</v>
      </c>
      <c r="B74" s="19">
        <v>43581</v>
      </c>
      <c r="C74" s="20">
        <v>0.46434027777777781</v>
      </c>
      <c r="D74" s="18">
        <v>-21.56</v>
      </c>
      <c r="E74" s="18">
        <v>-21.56</v>
      </c>
      <c r="F74" s="18">
        <v>-21.44</v>
      </c>
      <c r="G74" s="18">
        <v>-21.44</v>
      </c>
      <c r="H74" s="18">
        <v>-21.63</v>
      </c>
      <c r="I74" s="18">
        <v>-21.63</v>
      </c>
      <c r="J74" s="18">
        <v>-21.25</v>
      </c>
      <c r="K74" s="18">
        <v>-21.31</v>
      </c>
      <c r="L74" s="18">
        <v>-21.75</v>
      </c>
      <c r="M74" s="18">
        <v>25</v>
      </c>
      <c r="N74" s="29">
        <v>-21.45</v>
      </c>
      <c r="O74" s="4">
        <f>N74-'Sonde étalon'!$C$12</f>
        <v>-21.45</v>
      </c>
      <c r="P74"/>
      <c r="R74" s="4">
        <f t="shared" si="33"/>
        <v>-0.10999999999999943</v>
      </c>
      <c r="S74" s="4">
        <f t="shared" si="34"/>
        <v>-0.10999999999999943</v>
      </c>
      <c r="T74" s="4">
        <f t="shared" si="35"/>
        <v>9.9999999999980105E-3</v>
      </c>
      <c r="U74" s="4">
        <f t="shared" si="36"/>
        <v>9.9999999999980105E-3</v>
      </c>
      <c r="V74" s="4">
        <f t="shared" si="37"/>
        <v>-0.17999999999999972</v>
      </c>
      <c r="W74" s="4">
        <f t="shared" si="38"/>
        <v>-0.17999999999999972</v>
      </c>
      <c r="X74" s="4">
        <f t="shared" si="39"/>
        <v>0.19999999999999929</v>
      </c>
      <c r="Y74" s="4">
        <f t="shared" si="40"/>
        <v>0.14000000000000057</v>
      </c>
      <c r="Z74" s="4">
        <f t="shared" si="41"/>
        <v>-0.30000000000000071</v>
      </c>
      <c r="AB74"/>
      <c r="AC74" s="4">
        <f t="shared" si="42"/>
        <v>-21.482583333333331</v>
      </c>
      <c r="AD74" s="4">
        <f t="shared" si="43"/>
        <v>-21.473166666666664</v>
      </c>
      <c r="AE74" s="4">
        <f t="shared" si="44"/>
        <v>-21.4605</v>
      </c>
      <c r="AF74" s="4">
        <f t="shared" si="45"/>
        <v>-21.416166666666669</v>
      </c>
      <c r="AG74" s="4">
        <f t="shared" si="46"/>
        <v>-21.467416666666665</v>
      </c>
      <c r="AH74" s="4">
        <f t="shared" si="47"/>
        <v>-21.461833333333331</v>
      </c>
      <c r="AI74" s="4">
        <f t="shared" si="48"/>
        <v>-21.472083333333334</v>
      </c>
      <c r="AJ74" s="4">
        <f t="shared" si="49"/>
        <v>-21.465</v>
      </c>
      <c r="AK74" s="4">
        <f t="shared" si="50"/>
        <v>-21.4315</v>
      </c>
      <c r="AL74"/>
      <c r="AM74"/>
      <c r="AN74" s="4">
        <f t="shared" si="51"/>
        <v>-3.258333333333141E-2</v>
      </c>
      <c r="AO74" s="4">
        <f t="shared" si="52"/>
        <v>-2.3166666666664781E-2</v>
      </c>
      <c r="AP74" s="4">
        <f t="shared" si="53"/>
        <v>-1.0500000000000398E-2</v>
      </c>
      <c r="AQ74" s="4">
        <f t="shared" si="54"/>
        <v>3.3833333333330273E-2</v>
      </c>
      <c r="AR74" s="4">
        <f t="shared" si="55"/>
        <v>-1.7416666666665748E-2</v>
      </c>
      <c r="AS74" s="4">
        <f t="shared" si="56"/>
        <v>-1.1833333333331808E-2</v>
      </c>
      <c r="AT74" s="4">
        <f t="shared" si="57"/>
        <v>-2.2083333333334565E-2</v>
      </c>
      <c r="AU74" s="4">
        <f t="shared" si="58"/>
        <v>-1.5000000000000568E-2</v>
      </c>
      <c r="AV74" s="4">
        <f t="shared" si="59"/>
        <v>1.8499999999999517E-2</v>
      </c>
    </row>
    <row r="75" spans="1:48" x14ac:dyDescent="0.25">
      <c r="A75" s="18">
        <v>81</v>
      </c>
      <c r="B75" s="19">
        <v>43581</v>
      </c>
      <c r="C75" s="20">
        <v>0.4650347222222222</v>
      </c>
      <c r="D75" s="18">
        <v>-21.56</v>
      </c>
      <c r="E75" s="18">
        <v>-21.56</v>
      </c>
      <c r="F75" s="18">
        <v>-21.44</v>
      </c>
      <c r="G75" s="18">
        <v>-21.5</v>
      </c>
      <c r="H75" s="18">
        <v>-21.63</v>
      </c>
      <c r="I75" s="18">
        <v>-21.63</v>
      </c>
      <c r="J75" s="18">
        <v>-21.25</v>
      </c>
      <c r="K75" s="18">
        <v>-21.31</v>
      </c>
      <c r="L75" s="18">
        <v>-21.75</v>
      </c>
      <c r="M75" s="18">
        <v>25</v>
      </c>
      <c r="N75" s="29">
        <v>-21.45</v>
      </c>
      <c r="O75" s="4">
        <f>N75-'Sonde étalon'!$C$12</f>
        <v>-21.45</v>
      </c>
      <c r="P75"/>
      <c r="R75" s="4">
        <f t="shared" si="33"/>
        <v>-0.10999999999999943</v>
      </c>
      <c r="S75" s="4">
        <f t="shared" si="34"/>
        <v>-0.10999999999999943</v>
      </c>
      <c r="T75" s="4">
        <f t="shared" si="35"/>
        <v>9.9999999999980105E-3</v>
      </c>
      <c r="U75" s="4">
        <f t="shared" si="36"/>
        <v>-5.0000000000000711E-2</v>
      </c>
      <c r="V75" s="4">
        <f t="shared" si="37"/>
        <v>-0.17999999999999972</v>
      </c>
      <c r="W75" s="4">
        <f t="shared" si="38"/>
        <v>-0.17999999999999972</v>
      </c>
      <c r="X75" s="4">
        <f t="shared" si="39"/>
        <v>0.19999999999999929</v>
      </c>
      <c r="Y75" s="4">
        <f t="shared" si="40"/>
        <v>0.14000000000000057</v>
      </c>
      <c r="Z75" s="4">
        <f t="shared" si="41"/>
        <v>-0.30000000000000071</v>
      </c>
      <c r="AB75"/>
      <c r="AC75" s="4">
        <f t="shared" si="42"/>
        <v>-21.482583333333331</v>
      </c>
      <c r="AD75" s="4">
        <f t="shared" si="43"/>
        <v>-21.473166666666664</v>
      </c>
      <c r="AE75" s="4">
        <f t="shared" si="44"/>
        <v>-21.4605</v>
      </c>
      <c r="AF75" s="4">
        <f t="shared" si="45"/>
        <v>-21.476166666666668</v>
      </c>
      <c r="AG75" s="4">
        <f t="shared" si="46"/>
        <v>-21.467416666666665</v>
      </c>
      <c r="AH75" s="4">
        <f t="shared" si="47"/>
        <v>-21.461833333333331</v>
      </c>
      <c r="AI75" s="4">
        <f t="shared" si="48"/>
        <v>-21.472083333333334</v>
      </c>
      <c r="AJ75" s="4">
        <f t="shared" si="49"/>
        <v>-21.465</v>
      </c>
      <c r="AK75" s="4">
        <f t="shared" si="50"/>
        <v>-21.4315</v>
      </c>
      <c r="AL75"/>
      <c r="AM75"/>
      <c r="AN75" s="4">
        <f t="shared" si="51"/>
        <v>-3.258333333333141E-2</v>
      </c>
      <c r="AO75" s="4">
        <f t="shared" si="52"/>
        <v>-2.3166666666664781E-2</v>
      </c>
      <c r="AP75" s="4">
        <f t="shared" si="53"/>
        <v>-1.0500000000000398E-2</v>
      </c>
      <c r="AQ75" s="4">
        <f t="shared" si="54"/>
        <v>-2.6166666666668448E-2</v>
      </c>
      <c r="AR75" s="4">
        <f t="shared" si="55"/>
        <v>-1.7416666666665748E-2</v>
      </c>
      <c r="AS75" s="4">
        <f t="shared" si="56"/>
        <v>-1.1833333333331808E-2</v>
      </c>
      <c r="AT75" s="4">
        <f t="shared" si="57"/>
        <v>-2.2083333333334565E-2</v>
      </c>
      <c r="AU75" s="4">
        <f t="shared" si="58"/>
        <v>-1.5000000000000568E-2</v>
      </c>
      <c r="AV75" s="4">
        <f t="shared" si="59"/>
        <v>1.8499999999999517E-2</v>
      </c>
    </row>
    <row r="76" spans="1:48" x14ac:dyDescent="0.25">
      <c r="A76" s="18">
        <v>82</v>
      </c>
      <c r="B76" s="19">
        <v>43581</v>
      </c>
      <c r="C76" s="20">
        <v>0.46572916666666669</v>
      </c>
      <c r="D76" s="18">
        <v>-21.5</v>
      </c>
      <c r="E76" s="18">
        <v>-21.5</v>
      </c>
      <c r="F76" s="18">
        <v>-21.44</v>
      </c>
      <c r="G76" s="18">
        <v>-21.5</v>
      </c>
      <c r="H76" s="18">
        <v>-21.63</v>
      </c>
      <c r="I76" s="18">
        <v>-21.63</v>
      </c>
      <c r="J76" s="18">
        <v>-21.25</v>
      </c>
      <c r="K76" s="18">
        <v>-21.31</v>
      </c>
      <c r="L76" s="18">
        <v>-21.75</v>
      </c>
      <c r="M76" s="18">
        <v>25</v>
      </c>
      <c r="N76" s="29">
        <v>-21.46</v>
      </c>
      <c r="O76" s="4">
        <f>N76-'Sonde étalon'!$C$12</f>
        <v>-21.46</v>
      </c>
      <c r="P76"/>
      <c r="R76" s="4">
        <f t="shared" si="33"/>
        <v>-3.9999999999999147E-2</v>
      </c>
      <c r="S76" s="4">
        <f t="shared" si="34"/>
        <v>-3.9999999999999147E-2</v>
      </c>
      <c r="T76" s="4">
        <f t="shared" si="35"/>
        <v>1.9999999999999574E-2</v>
      </c>
      <c r="U76" s="4">
        <f t="shared" si="36"/>
        <v>-3.9999999999999147E-2</v>
      </c>
      <c r="V76" s="4">
        <f t="shared" si="37"/>
        <v>-0.16999999999999815</v>
      </c>
      <c r="W76" s="4">
        <f t="shared" si="38"/>
        <v>-0.16999999999999815</v>
      </c>
      <c r="X76" s="4">
        <f t="shared" si="39"/>
        <v>0.21000000000000085</v>
      </c>
      <c r="Y76" s="4">
        <f t="shared" si="40"/>
        <v>0.15000000000000213</v>
      </c>
      <c r="Z76" s="4">
        <f t="shared" si="41"/>
        <v>-0.28999999999999915</v>
      </c>
      <c r="AB76"/>
      <c r="AC76" s="4">
        <f t="shared" si="42"/>
        <v>-21.422583333333336</v>
      </c>
      <c r="AD76" s="4">
        <f t="shared" si="43"/>
        <v>-21.413166666666665</v>
      </c>
      <c r="AE76" s="4">
        <f t="shared" si="44"/>
        <v>-21.4605</v>
      </c>
      <c r="AF76" s="4">
        <f t="shared" si="45"/>
        <v>-21.476166666666668</v>
      </c>
      <c r="AG76" s="4">
        <f t="shared" si="46"/>
        <v>-21.467416666666665</v>
      </c>
      <c r="AH76" s="4">
        <f t="shared" si="47"/>
        <v>-21.461833333333331</v>
      </c>
      <c r="AI76" s="4">
        <f t="shared" si="48"/>
        <v>-21.472083333333334</v>
      </c>
      <c r="AJ76" s="4">
        <f t="shared" si="49"/>
        <v>-21.465</v>
      </c>
      <c r="AK76" s="4">
        <f t="shared" si="50"/>
        <v>-21.4315</v>
      </c>
      <c r="AL76"/>
      <c r="AM76"/>
      <c r="AN76" s="4">
        <f t="shared" si="51"/>
        <v>3.7416666666665321E-2</v>
      </c>
      <c r="AO76" s="4">
        <f t="shared" si="52"/>
        <v>4.6833333333335503E-2</v>
      </c>
      <c r="AP76" s="4">
        <f t="shared" si="53"/>
        <v>-4.9999999999883471E-4</v>
      </c>
      <c r="AQ76" s="4">
        <f t="shared" si="54"/>
        <v>-1.6166666666666885E-2</v>
      </c>
      <c r="AR76" s="4">
        <f t="shared" si="55"/>
        <v>-7.4166666666641845E-3</v>
      </c>
      <c r="AS76" s="4">
        <f t="shared" si="56"/>
        <v>-1.8333333333302448E-3</v>
      </c>
      <c r="AT76" s="4">
        <f t="shared" si="57"/>
        <v>-1.2083333333333002E-2</v>
      </c>
      <c r="AU76" s="4">
        <f t="shared" si="58"/>
        <v>-4.9999999999990052E-3</v>
      </c>
      <c r="AV76" s="4">
        <f t="shared" si="59"/>
        <v>2.850000000000108E-2</v>
      </c>
    </row>
    <row r="77" spans="1:48" x14ac:dyDescent="0.25">
      <c r="A77" s="18">
        <v>83</v>
      </c>
      <c r="B77" s="19">
        <v>43581</v>
      </c>
      <c r="C77" s="20">
        <v>0.46642361111111108</v>
      </c>
      <c r="D77" s="18">
        <v>-21.5</v>
      </c>
      <c r="E77" s="18">
        <v>-21.5</v>
      </c>
      <c r="F77" s="18">
        <v>-21.44</v>
      </c>
      <c r="G77" s="18">
        <v>-21.44</v>
      </c>
      <c r="H77" s="18">
        <v>-21.63</v>
      </c>
      <c r="I77" s="18">
        <v>-21.63</v>
      </c>
      <c r="J77" s="18">
        <v>-21.25</v>
      </c>
      <c r="K77" s="18">
        <v>-21.31</v>
      </c>
      <c r="L77" s="18">
        <v>-21.75</v>
      </c>
      <c r="M77" s="18">
        <v>25</v>
      </c>
      <c r="N77" s="29">
        <v>-21.46</v>
      </c>
      <c r="O77" s="4">
        <f>N77-'Sonde étalon'!$C$12</f>
        <v>-21.46</v>
      </c>
      <c r="R77" s="4">
        <f t="shared" si="33"/>
        <v>-3.9999999999999147E-2</v>
      </c>
      <c r="S77" s="4">
        <f t="shared" si="34"/>
        <v>-3.9999999999999147E-2</v>
      </c>
      <c r="T77" s="4">
        <f t="shared" si="35"/>
        <v>1.9999999999999574E-2</v>
      </c>
      <c r="U77" s="4">
        <f t="shared" si="36"/>
        <v>1.9999999999999574E-2</v>
      </c>
      <c r="V77" s="4">
        <f t="shared" si="37"/>
        <v>-0.16999999999999815</v>
      </c>
      <c r="W77" s="4">
        <f t="shared" si="38"/>
        <v>-0.16999999999999815</v>
      </c>
      <c r="X77" s="4">
        <f t="shared" si="39"/>
        <v>0.21000000000000085</v>
      </c>
      <c r="Y77" s="4">
        <f t="shared" si="40"/>
        <v>0.15000000000000213</v>
      </c>
      <c r="Z77" s="4">
        <f t="shared" si="41"/>
        <v>-0.28999999999999915</v>
      </c>
      <c r="AC77" s="4">
        <f t="shared" si="42"/>
        <v>-21.422583333333336</v>
      </c>
      <c r="AD77" s="4">
        <f t="shared" si="43"/>
        <v>-21.413166666666665</v>
      </c>
      <c r="AE77" s="4">
        <f t="shared" si="44"/>
        <v>-21.4605</v>
      </c>
      <c r="AF77" s="4">
        <f t="shared" si="45"/>
        <v>-21.416166666666669</v>
      </c>
      <c r="AG77" s="4">
        <f t="shared" si="46"/>
        <v>-21.467416666666665</v>
      </c>
      <c r="AH77" s="4">
        <f t="shared" si="47"/>
        <v>-21.461833333333331</v>
      </c>
      <c r="AI77" s="4">
        <f t="shared" si="48"/>
        <v>-21.472083333333334</v>
      </c>
      <c r="AJ77" s="4">
        <f t="shared" si="49"/>
        <v>-21.465</v>
      </c>
      <c r="AK77" s="4">
        <f t="shared" si="50"/>
        <v>-21.4315</v>
      </c>
      <c r="AL77"/>
      <c r="AN77" s="4">
        <f t="shared" si="51"/>
        <v>3.7416666666665321E-2</v>
      </c>
      <c r="AO77" s="4">
        <f t="shared" si="52"/>
        <v>4.6833333333335503E-2</v>
      </c>
      <c r="AP77" s="4">
        <f t="shared" si="53"/>
        <v>-4.9999999999883471E-4</v>
      </c>
      <c r="AQ77" s="4">
        <f t="shared" si="54"/>
        <v>4.3833333333331836E-2</v>
      </c>
      <c r="AR77" s="4">
        <f t="shared" si="55"/>
        <v>-7.4166666666641845E-3</v>
      </c>
      <c r="AS77" s="4">
        <f t="shared" si="56"/>
        <v>-1.8333333333302448E-3</v>
      </c>
      <c r="AT77" s="4">
        <f t="shared" si="57"/>
        <v>-1.2083333333333002E-2</v>
      </c>
      <c r="AU77" s="4">
        <f t="shared" si="58"/>
        <v>-4.9999999999990052E-3</v>
      </c>
      <c r="AV77" s="4">
        <f t="shared" si="59"/>
        <v>2.850000000000108E-2</v>
      </c>
    </row>
    <row r="78" spans="1:48" x14ac:dyDescent="0.25">
      <c r="A78" s="18">
        <v>84</v>
      </c>
      <c r="B78" s="19">
        <v>43581</v>
      </c>
      <c r="C78" s="20">
        <v>0.46711805555555558</v>
      </c>
      <c r="D78" s="18">
        <v>-21.56</v>
      </c>
      <c r="E78" s="18">
        <v>-21.56</v>
      </c>
      <c r="F78" s="18">
        <v>-21.44</v>
      </c>
      <c r="G78" s="18">
        <v>-21.5</v>
      </c>
      <c r="H78" s="18">
        <v>-21.63</v>
      </c>
      <c r="I78" s="18">
        <v>-21.63</v>
      </c>
      <c r="J78" s="18">
        <v>-21.19</v>
      </c>
      <c r="K78" s="18">
        <v>-21.25</v>
      </c>
      <c r="L78" s="18">
        <v>-21.75</v>
      </c>
      <c r="M78" s="18">
        <v>25</v>
      </c>
      <c r="N78" s="29">
        <v>-21.46</v>
      </c>
      <c r="O78" s="4">
        <f>N78-'Sonde étalon'!$C$12</f>
        <v>-21.46</v>
      </c>
      <c r="R78" s="4">
        <f t="shared" si="33"/>
        <v>-9.9999999999997868E-2</v>
      </c>
      <c r="S78" s="4">
        <f t="shared" si="34"/>
        <v>-9.9999999999997868E-2</v>
      </c>
      <c r="T78" s="4">
        <f t="shared" si="35"/>
        <v>1.9999999999999574E-2</v>
      </c>
      <c r="U78" s="4">
        <f t="shared" si="36"/>
        <v>-3.9999999999999147E-2</v>
      </c>
      <c r="V78" s="4">
        <f t="shared" si="37"/>
        <v>-0.16999999999999815</v>
      </c>
      <c r="W78" s="4">
        <f t="shared" si="38"/>
        <v>-0.16999999999999815</v>
      </c>
      <c r="X78" s="4">
        <f t="shared" si="39"/>
        <v>0.26999999999999957</v>
      </c>
      <c r="Y78" s="4">
        <f t="shared" si="40"/>
        <v>0.21000000000000085</v>
      </c>
      <c r="Z78" s="4">
        <f t="shared" si="41"/>
        <v>-0.28999999999999915</v>
      </c>
      <c r="AC78" s="4">
        <f t="shared" si="42"/>
        <v>-21.482583333333331</v>
      </c>
      <c r="AD78" s="4">
        <f t="shared" si="43"/>
        <v>-21.473166666666664</v>
      </c>
      <c r="AE78" s="4">
        <f t="shared" si="44"/>
        <v>-21.4605</v>
      </c>
      <c r="AF78" s="4">
        <f t="shared" si="45"/>
        <v>-21.476166666666668</v>
      </c>
      <c r="AG78" s="4">
        <f t="shared" si="46"/>
        <v>-21.467416666666665</v>
      </c>
      <c r="AH78" s="4">
        <f t="shared" si="47"/>
        <v>-21.461833333333331</v>
      </c>
      <c r="AI78" s="4">
        <f t="shared" si="48"/>
        <v>-21.412083333333335</v>
      </c>
      <c r="AJ78" s="4">
        <f t="shared" si="49"/>
        <v>-21.405000000000001</v>
      </c>
      <c r="AK78" s="4">
        <f t="shared" si="50"/>
        <v>-21.4315</v>
      </c>
      <c r="AL78"/>
      <c r="AN78" s="4">
        <f t="shared" si="51"/>
        <v>-2.2583333333329847E-2</v>
      </c>
      <c r="AO78" s="4">
        <f t="shared" si="52"/>
        <v>-1.3166666666663218E-2</v>
      </c>
      <c r="AP78" s="4">
        <f t="shared" si="53"/>
        <v>-4.9999999999883471E-4</v>
      </c>
      <c r="AQ78" s="4">
        <f t="shared" si="54"/>
        <v>-1.6166666666666885E-2</v>
      </c>
      <c r="AR78" s="4">
        <f t="shared" si="55"/>
        <v>-7.4166666666641845E-3</v>
      </c>
      <c r="AS78" s="4">
        <f t="shared" si="56"/>
        <v>-1.8333333333302448E-3</v>
      </c>
      <c r="AT78" s="4">
        <f t="shared" si="57"/>
        <v>4.7916666666665719E-2</v>
      </c>
      <c r="AU78" s="4">
        <f t="shared" si="58"/>
        <v>5.4999999999999716E-2</v>
      </c>
      <c r="AV78" s="4">
        <f t="shared" si="59"/>
        <v>2.850000000000108E-2</v>
      </c>
    </row>
    <row r="79" spans="1:48" x14ac:dyDescent="0.25">
      <c r="A79" s="18">
        <v>85</v>
      </c>
      <c r="B79" s="19">
        <v>43581</v>
      </c>
      <c r="C79" s="20">
        <v>0.46781249999999996</v>
      </c>
      <c r="D79" s="18">
        <v>-21.5</v>
      </c>
      <c r="E79" s="18">
        <v>-21.56</v>
      </c>
      <c r="F79" s="18">
        <v>-21.44</v>
      </c>
      <c r="G79" s="18">
        <v>-21.5</v>
      </c>
      <c r="H79" s="18">
        <v>-21.63</v>
      </c>
      <c r="I79" s="18">
        <v>-21.63</v>
      </c>
      <c r="J79" s="18">
        <v>-21.25</v>
      </c>
      <c r="K79" s="18">
        <v>-21.31</v>
      </c>
      <c r="L79" s="18">
        <v>-21.75</v>
      </c>
      <c r="M79" s="18">
        <v>25</v>
      </c>
      <c r="N79" s="29">
        <v>-21.48</v>
      </c>
      <c r="O79" s="4">
        <f>N79-'Sonde étalon'!$C$12</f>
        <v>-21.48</v>
      </c>
      <c r="R79" s="4">
        <f t="shared" si="33"/>
        <v>-1.9999999999999574E-2</v>
      </c>
      <c r="S79" s="4">
        <f t="shared" si="34"/>
        <v>-7.9999999999998295E-2</v>
      </c>
      <c r="T79" s="4">
        <f t="shared" si="35"/>
        <v>3.9999999999999147E-2</v>
      </c>
      <c r="U79" s="4">
        <f t="shared" si="36"/>
        <v>-1.9999999999999574E-2</v>
      </c>
      <c r="V79" s="4">
        <f t="shared" si="37"/>
        <v>-0.14999999999999858</v>
      </c>
      <c r="W79" s="4">
        <f t="shared" si="38"/>
        <v>-0.14999999999999858</v>
      </c>
      <c r="X79" s="4">
        <f t="shared" si="39"/>
        <v>0.23000000000000043</v>
      </c>
      <c r="Y79" s="4">
        <f t="shared" si="40"/>
        <v>0.17000000000000171</v>
      </c>
      <c r="Z79" s="4">
        <f t="shared" si="41"/>
        <v>-0.26999999999999957</v>
      </c>
      <c r="AC79" s="4">
        <f t="shared" si="42"/>
        <v>-21.422583333333336</v>
      </c>
      <c r="AD79" s="4">
        <f t="shared" si="43"/>
        <v>-21.473166666666664</v>
      </c>
      <c r="AE79" s="4">
        <f t="shared" si="44"/>
        <v>-21.4605</v>
      </c>
      <c r="AF79" s="4">
        <f t="shared" si="45"/>
        <v>-21.476166666666668</v>
      </c>
      <c r="AG79" s="4">
        <f t="shared" si="46"/>
        <v>-21.467416666666665</v>
      </c>
      <c r="AH79" s="4">
        <f t="shared" si="47"/>
        <v>-21.461833333333331</v>
      </c>
      <c r="AI79" s="4">
        <f t="shared" si="48"/>
        <v>-21.472083333333334</v>
      </c>
      <c r="AJ79" s="4">
        <f t="shared" si="49"/>
        <v>-21.465</v>
      </c>
      <c r="AK79" s="4">
        <f t="shared" si="50"/>
        <v>-21.4315</v>
      </c>
      <c r="AL79"/>
      <c r="AN79" s="4">
        <f t="shared" si="51"/>
        <v>5.7416666666664895E-2</v>
      </c>
      <c r="AO79" s="4">
        <f t="shared" si="52"/>
        <v>6.8333333333363555E-3</v>
      </c>
      <c r="AP79" s="4">
        <f t="shared" si="53"/>
        <v>1.9500000000000739E-2</v>
      </c>
      <c r="AQ79" s="4">
        <f t="shared" si="54"/>
        <v>3.8333333333326891E-3</v>
      </c>
      <c r="AR79" s="4">
        <f t="shared" si="55"/>
        <v>1.2583333333335389E-2</v>
      </c>
      <c r="AS79" s="4">
        <f t="shared" si="56"/>
        <v>1.8166666666669329E-2</v>
      </c>
      <c r="AT79" s="4">
        <f t="shared" si="57"/>
        <v>7.9166666666665719E-3</v>
      </c>
      <c r="AU79" s="4">
        <f t="shared" si="58"/>
        <v>1.5000000000000568E-2</v>
      </c>
      <c r="AV79" s="4">
        <f t="shared" si="59"/>
        <v>4.8500000000000654E-2</v>
      </c>
    </row>
    <row r="80" spans="1:48" x14ac:dyDescent="0.25">
      <c r="A80" s="18">
        <v>86</v>
      </c>
      <c r="B80" s="19">
        <v>43581</v>
      </c>
      <c r="C80" s="20">
        <v>0.46850694444444446</v>
      </c>
      <c r="D80" s="18">
        <v>-21.5</v>
      </c>
      <c r="E80" s="18">
        <v>-21.56</v>
      </c>
      <c r="F80" s="18">
        <v>-21.44</v>
      </c>
      <c r="G80" s="18">
        <v>-21.5</v>
      </c>
      <c r="H80" s="18">
        <v>-21.63</v>
      </c>
      <c r="I80" s="18">
        <v>-21.63</v>
      </c>
      <c r="J80" s="18">
        <v>-21.25</v>
      </c>
      <c r="K80" s="18">
        <v>-21.31</v>
      </c>
      <c r="L80" s="18">
        <v>-21.75</v>
      </c>
      <c r="M80" s="18">
        <v>25</v>
      </c>
      <c r="N80" s="29">
        <v>-21.47</v>
      </c>
      <c r="O80" s="4">
        <f>N80-'Sonde étalon'!$C$12</f>
        <v>-21.47</v>
      </c>
      <c r="R80" s="4">
        <f t="shared" si="33"/>
        <v>-3.0000000000001137E-2</v>
      </c>
      <c r="S80" s="4">
        <f t="shared" si="34"/>
        <v>-8.9999999999999858E-2</v>
      </c>
      <c r="T80" s="4">
        <f t="shared" si="35"/>
        <v>2.9999999999997584E-2</v>
      </c>
      <c r="U80" s="4">
        <f t="shared" si="36"/>
        <v>-3.0000000000001137E-2</v>
      </c>
      <c r="V80" s="4">
        <f t="shared" si="37"/>
        <v>-0.16000000000000014</v>
      </c>
      <c r="W80" s="4">
        <f t="shared" si="38"/>
        <v>-0.16000000000000014</v>
      </c>
      <c r="X80" s="4">
        <f t="shared" si="39"/>
        <v>0.21999999999999886</v>
      </c>
      <c r="Y80" s="4">
        <f t="shared" si="40"/>
        <v>0.16000000000000014</v>
      </c>
      <c r="Z80" s="4">
        <f t="shared" si="41"/>
        <v>-0.28000000000000114</v>
      </c>
      <c r="AC80" s="4">
        <f t="shared" si="42"/>
        <v>-21.422583333333336</v>
      </c>
      <c r="AD80" s="4">
        <f t="shared" si="43"/>
        <v>-21.473166666666664</v>
      </c>
      <c r="AE80" s="4">
        <f t="shared" si="44"/>
        <v>-21.4605</v>
      </c>
      <c r="AF80" s="4">
        <f t="shared" si="45"/>
        <v>-21.476166666666668</v>
      </c>
      <c r="AG80" s="4">
        <f t="shared" si="46"/>
        <v>-21.467416666666665</v>
      </c>
      <c r="AH80" s="4">
        <f t="shared" si="47"/>
        <v>-21.461833333333331</v>
      </c>
      <c r="AI80" s="4">
        <f t="shared" si="48"/>
        <v>-21.472083333333334</v>
      </c>
      <c r="AJ80" s="4">
        <f t="shared" si="49"/>
        <v>-21.465</v>
      </c>
      <c r="AK80" s="4">
        <f t="shared" si="50"/>
        <v>-21.4315</v>
      </c>
      <c r="AL80"/>
      <c r="AN80" s="4">
        <f t="shared" si="51"/>
        <v>4.7416666666663332E-2</v>
      </c>
      <c r="AO80" s="4">
        <f t="shared" si="52"/>
        <v>-3.1666666666652077E-3</v>
      </c>
      <c r="AP80" s="4">
        <f t="shared" si="53"/>
        <v>9.4999999999991758E-3</v>
      </c>
      <c r="AQ80" s="4">
        <f t="shared" si="54"/>
        <v>-6.1666666666688741E-3</v>
      </c>
      <c r="AR80" s="4">
        <f t="shared" si="55"/>
        <v>2.583333333333826E-3</v>
      </c>
      <c r="AS80" s="4">
        <f t="shared" si="56"/>
        <v>8.1666666666677656E-3</v>
      </c>
      <c r="AT80" s="4">
        <f t="shared" si="57"/>
        <v>-2.0833333333349913E-3</v>
      </c>
      <c r="AU80" s="4">
        <f t="shared" si="58"/>
        <v>4.9999999999990052E-3</v>
      </c>
      <c r="AV80" s="4">
        <f t="shared" si="59"/>
        <v>3.8499999999999091E-2</v>
      </c>
    </row>
    <row r="81" spans="1:48" x14ac:dyDescent="0.25">
      <c r="A81" s="18">
        <v>87</v>
      </c>
      <c r="B81" s="19">
        <v>43581</v>
      </c>
      <c r="C81" s="20">
        <v>0.4692013888888889</v>
      </c>
      <c r="D81" s="18">
        <v>-21.5</v>
      </c>
      <c r="E81" s="18">
        <v>-21.56</v>
      </c>
      <c r="F81" s="18">
        <v>-21.44</v>
      </c>
      <c r="G81" s="18">
        <v>-21.5</v>
      </c>
      <c r="H81" s="18">
        <v>-21.63</v>
      </c>
      <c r="I81" s="18">
        <v>-21.63</v>
      </c>
      <c r="J81" s="18">
        <v>-21.25</v>
      </c>
      <c r="K81" s="18">
        <v>-21.31</v>
      </c>
      <c r="L81" s="18">
        <v>-21.75</v>
      </c>
      <c r="M81" s="18">
        <v>25</v>
      </c>
      <c r="N81" s="29">
        <v>-21.47</v>
      </c>
      <c r="O81" s="4">
        <f>N81-'Sonde étalon'!$C$12</f>
        <v>-21.47</v>
      </c>
      <c r="R81" s="4">
        <f t="shared" si="33"/>
        <v>-3.0000000000001137E-2</v>
      </c>
      <c r="S81" s="4">
        <f t="shared" si="34"/>
        <v>-8.9999999999999858E-2</v>
      </c>
      <c r="T81" s="4">
        <f t="shared" si="35"/>
        <v>2.9999999999997584E-2</v>
      </c>
      <c r="U81" s="4">
        <f t="shared" si="36"/>
        <v>-3.0000000000001137E-2</v>
      </c>
      <c r="V81" s="4">
        <f t="shared" si="37"/>
        <v>-0.16000000000000014</v>
      </c>
      <c r="W81" s="4">
        <f t="shared" si="38"/>
        <v>-0.16000000000000014</v>
      </c>
      <c r="X81" s="4">
        <f t="shared" si="39"/>
        <v>0.21999999999999886</v>
      </c>
      <c r="Y81" s="4">
        <f t="shared" si="40"/>
        <v>0.16000000000000014</v>
      </c>
      <c r="Z81" s="4">
        <f t="shared" si="41"/>
        <v>-0.28000000000000114</v>
      </c>
      <c r="AC81" s="4">
        <f t="shared" si="42"/>
        <v>-21.422583333333336</v>
      </c>
      <c r="AD81" s="4">
        <f t="shared" si="43"/>
        <v>-21.473166666666664</v>
      </c>
      <c r="AE81" s="4">
        <f t="shared" si="44"/>
        <v>-21.4605</v>
      </c>
      <c r="AF81" s="4">
        <f t="shared" si="45"/>
        <v>-21.476166666666668</v>
      </c>
      <c r="AG81" s="4">
        <f t="shared" si="46"/>
        <v>-21.467416666666665</v>
      </c>
      <c r="AH81" s="4">
        <f t="shared" si="47"/>
        <v>-21.461833333333331</v>
      </c>
      <c r="AI81" s="4">
        <f t="shared" si="48"/>
        <v>-21.472083333333334</v>
      </c>
      <c r="AJ81" s="4">
        <f t="shared" si="49"/>
        <v>-21.465</v>
      </c>
      <c r="AK81" s="4">
        <f t="shared" si="50"/>
        <v>-21.4315</v>
      </c>
      <c r="AL81"/>
      <c r="AN81" s="4">
        <f t="shared" si="51"/>
        <v>4.7416666666663332E-2</v>
      </c>
      <c r="AO81" s="4">
        <f t="shared" si="52"/>
        <v>-3.1666666666652077E-3</v>
      </c>
      <c r="AP81" s="4">
        <f t="shared" si="53"/>
        <v>9.4999999999991758E-3</v>
      </c>
      <c r="AQ81" s="4">
        <f t="shared" si="54"/>
        <v>-6.1666666666688741E-3</v>
      </c>
      <c r="AR81" s="4">
        <f t="shared" si="55"/>
        <v>2.583333333333826E-3</v>
      </c>
      <c r="AS81" s="4">
        <f t="shared" si="56"/>
        <v>8.1666666666677656E-3</v>
      </c>
      <c r="AT81" s="4">
        <f t="shared" si="57"/>
        <v>-2.0833333333349913E-3</v>
      </c>
      <c r="AU81" s="4">
        <f t="shared" si="58"/>
        <v>4.9999999999990052E-3</v>
      </c>
      <c r="AV81" s="4">
        <f t="shared" si="59"/>
        <v>3.8499999999999091E-2</v>
      </c>
    </row>
    <row r="82" spans="1:48" x14ac:dyDescent="0.25">
      <c r="A82" s="18">
        <v>88</v>
      </c>
      <c r="B82" s="19">
        <v>43581</v>
      </c>
      <c r="C82" s="20">
        <v>0.46989583333333335</v>
      </c>
      <c r="D82" s="18">
        <v>-21.56</v>
      </c>
      <c r="E82" s="18">
        <v>-21.56</v>
      </c>
      <c r="F82" s="18">
        <v>-21.44</v>
      </c>
      <c r="G82" s="18">
        <v>-21.5</v>
      </c>
      <c r="H82" s="18">
        <v>-21.63</v>
      </c>
      <c r="I82" s="18">
        <v>-21.63</v>
      </c>
      <c r="J82" s="18">
        <v>-21.25</v>
      </c>
      <c r="K82" s="18">
        <v>-21.31</v>
      </c>
      <c r="L82" s="18">
        <v>-21.75</v>
      </c>
      <c r="M82" s="18">
        <v>25</v>
      </c>
      <c r="N82" s="29">
        <v>-21.46</v>
      </c>
      <c r="O82" s="4">
        <f>N82-'Sonde étalon'!$C$12</f>
        <v>-21.46</v>
      </c>
      <c r="R82" s="4">
        <f t="shared" si="33"/>
        <v>-9.9999999999997868E-2</v>
      </c>
      <c r="S82" s="4">
        <f t="shared" si="34"/>
        <v>-9.9999999999997868E-2</v>
      </c>
      <c r="T82" s="4">
        <f t="shared" si="35"/>
        <v>1.9999999999999574E-2</v>
      </c>
      <c r="U82" s="4">
        <f t="shared" si="36"/>
        <v>-3.9999999999999147E-2</v>
      </c>
      <c r="V82" s="4">
        <f t="shared" si="37"/>
        <v>-0.16999999999999815</v>
      </c>
      <c r="W82" s="4">
        <f t="shared" si="38"/>
        <v>-0.16999999999999815</v>
      </c>
      <c r="X82" s="4">
        <f t="shared" si="39"/>
        <v>0.21000000000000085</v>
      </c>
      <c r="Y82" s="4">
        <f t="shared" si="40"/>
        <v>0.15000000000000213</v>
      </c>
      <c r="Z82" s="4">
        <f t="shared" si="41"/>
        <v>-0.28999999999999915</v>
      </c>
      <c r="AC82" s="4">
        <f t="shared" si="42"/>
        <v>-21.482583333333331</v>
      </c>
      <c r="AD82" s="4">
        <f t="shared" si="43"/>
        <v>-21.473166666666664</v>
      </c>
      <c r="AE82" s="4">
        <f t="shared" si="44"/>
        <v>-21.4605</v>
      </c>
      <c r="AF82" s="4">
        <f t="shared" si="45"/>
        <v>-21.476166666666668</v>
      </c>
      <c r="AG82" s="4">
        <f t="shared" si="46"/>
        <v>-21.467416666666665</v>
      </c>
      <c r="AH82" s="4">
        <f t="shared" si="47"/>
        <v>-21.461833333333331</v>
      </c>
      <c r="AI82" s="4">
        <f t="shared" si="48"/>
        <v>-21.472083333333334</v>
      </c>
      <c r="AJ82" s="4">
        <f t="shared" si="49"/>
        <v>-21.465</v>
      </c>
      <c r="AK82" s="4">
        <f t="shared" si="50"/>
        <v>-21.4315</v>
      </c>
      <c r="AL82"/>
      <c r="AN82" s="4">
        <f t="shared" si="51"/>
        <v>-2.2583333333329847E-2</v>
      </c>
      <c r="AO82" s="4">
        <f t="shared" si="52"/>
        <v>-1.3166666666663218E-2</v>
      </c>
      <c r="AP82" s="4">
        <f t="shared" si="53"/>
        <v>-4.9999999999883471E-4</v>
      </c>
      <c r="AQ82" s="4">
        <f t="shared" si="54"/>
        <v>-1.6166666666666885E-2</v>
      </c>
      <c r="AR82" s="4">
        <f t="shared" si="55"/>
        <v>-7.4166666666641845E-3</v>
      </c>
      <c r="AS82" s="4">
        <f t="shared" si="56"/>
        <v>-1.8333333333302448E-3</v>
      </c>
      <c r="AT82" s="4">
        <f t="shared" si="57"/>
        <v>-1.2083333333333002E-2</v>
      </c>
      <c r="AU82" s="4">
        <f t="shared" si="58"/>
        <v>-4.9999999999990052E-3</v>
      </c>
      <c r="AV82" s="4">
        <f t="shared" si="59"/>
        <v>2.850000000000108E-2</v>
      </c>
    </row>
    <row r="83" spans="1:48" x14ac:dyDescent="0.25">
      <c r="A83" s="18">
        <v>89</v>
      </c>
      <c r="B83" s="19">
        <v>43581</v>
      </c>
      <c r="C83" s="20">
        <v>0.47059027777777779</v>
      </c>
      <c r="D83" s="18">
        <v>-21.56</v>
      </c>
      <c r="E83" s="18">
        <v>-21.56</v>
      </c>
      <c r="F83" s="18">
        <v>-21.44</v>
      </c>
      <c r="G83" s="18">
        <v>-21.5</v>
      </c>
      <c r="H83" s="18">
        <v>-21.63</v>
      </c>
      <c r="I83" s="18">
        <v>-21.63</v>
      </c>
      <c r="J83" s="18">
        <v>-21.25</v>
      </c>
      <c r="K83" s="18">
        <v>-21.31</v>
      </c>
      <c r="L83" s="18">
        <v>-21.81</v>
      </c>
      <c r="M83" s="18">
        <v>25</v>
      </c>
      <c r="N83" s="29">
        <v>-21.46</v>
      </c>
      <c r="O83" s="4">
        <f>N83-'Sonde étalon'!$C$12</f>
        <v>-21.46</v>
      </c>
      <c r="R83" s="4">
        <f t="shared" si="33"/>
        <v>-9.9999999999997868E-2</v>
      </c>
      <c r="S83" s="4">
        <f t="shared" si="34"/>
        <v>-9.9999999999997868E-2</v>
      </c>
      <c r="T83" s="4">
        <f t="shared" si="35"/>
        <v>1.9999999999999574E-2</v>
      </c>
      <c r="U83" s="4">
        <f t="shared" si="36"/>
        <v>-3.9999999999999147E-2</v>
      </c>
      <c r="V83" s="4">
        <f t="shared" si="37"/>
        <v>-0.16999999999999815</v>
      </c>
      <c r="W83" s="4">
        <f t="shared" si="38"/>
        <v>-0.16999999999999815</v>
      </c>
      <c r="X83" s="4">
        <f t="shared" si="39"/>
        <v>0.21000000000000085</v>
      </c>
      <c r="Y83" s="4">
        <f t="shared" si="40"/>
        <v>0.15000000000000213</v>
      </c>
      <c r="Z83" s="4">
        <f t="shared" si="41"/>
        <v>-0.34999999999999787</v>
      </c>
      <c r="AC83" s="4">
        <f t="shared" si="42"/>
        <v>-21.482583333333331</v>
      </c>
      <c r="AD83" s="4">
        <f t="shared" si="43"/>
        <v>-21.473166666666664</v>
      </c>
      <c r="AE83" s="4">
        <f t="shared" si="44"/>
        <v>-21.4605</v>
      </c>
      <c r="AF83" s="4">
        <f t="shared" si="45"/>
        <v>-21.476166666666668</v>
      </c>
      <c r="AG83" s="4">
        <f t="shared" si="46"/>
        <v>-21.467416666666665</v>
      </c>
      <c r="AH83" s="4">
        <f t="shared" si="47"/>
        <v>-21.461833333333331</v>
      </c>
      <c r="AI83" s="4">
        <f t="shared" si="48"/>
        <v>-21.472083333333334</v>
      </c>
      <c r="AJ83" s="4">
        <f t="shared" si="49"/>
        <v>-21.465</v>
      </c>
      <c r="AK83" s="4">
        <f t="shared" si="50"/>
        <v>-21.491499999999998</v>
      </c>
      <c r="AL83"/>
      <c r="AN83" s="4">
        <f t="shared" si="51"/>
        <v>-2.2583333333329847E-2</v>
      </c>
      <c r="AO83" s="4">
        <f t="shared" si="52"/>
        <v>-1.3166666666663218E-2</v>
      </c>
      <c r="AP83" s="4">
        <f t="shared" si="53"/>
        <v>-4.9999999999883471E-4</v>
      </c>
      <c r="AQ83" s="4">
        <f t="shared" si="54"/>
        <v>-1.6166666666666885E-2</v>
      </c>
      <c r="AR83" s="4">
        <f t="shared" si="55"/>
        <v>-7.4166666666641845E-3</v>
      </c>
      <c r="AS83" s="4">
        <f t="shared" si="56"/>
        <v>-1.8333333333302448E-3</v>
      </c>
      <c r="AT83" s="4">
        <f t="shared" si="57"/>
        <v>-1.2083333333333002E-2</v>
      </c>
      <c r="AU83" s="4">
        <f t="shared" si="58"/>
        <v>-4.9999999999990052E-3</v>
      </c>
      <c r="AV83" s="4">
        <f t="shared" si="59"/>
        <v>-3.1499999999997641E-2</v>
      </c>
    </row>
    <row r="84" spans="1:48" x14ac:dyDescent="0.25">
      <c r="A84" s="18">
        <v>90</v>
      </c>
      <c r="B84" s="19">
        <v>43581</v>
      </c>
      <c r="C84" s="20">
        <v>0.47128472222222223</v>
      </c>
      <c r="D84" s="18">
        <v>-21.56</v>
      </c>
      <c r="E84" s="18">
        <v>-21.56</v>
      </c>
      <c r="F84" s="18">
        <v>-21.44</v>
      </c>
      <c r="G84" s="18">
        <v>-21.5</v>
      </c>
      <c r="H84" s="18">
        <v>-21.63</v>
      </c>
      <c r="I84" s="18">
        <v>-21.63</v>
      </c>
      <c r="J84" s="18">
        <v>-21.25</v>
      </c>
      <c r="K84" s="18">
        <v>-21.31</v>
      </c>
      <c r="L84" s="18">
        <v>-21.81</v>
      </c>
      <c r="M84" s="18">
        <v>24.9</v>
      </c>
      <c r="N84" s="29">
        <v>-21.47</v>
      </c>
      <c r="O84" s="4">
        <f>N84-'Sonde étalon'!$C$12</f>
        <v>-21.47</v>
      </c>
      <c r="R84" s="4">
        <f t="shared" si="33"/>
        <v>-8.9999999999999858E-2</v>
      </c>
      <c r="S84" s="4">
        <f t="shared" si="34"/>
        <v>-8.9999999999999858E-2</v>
      </c>
      <c r="T84" s="4">
        <f t="shared" si="35"/>
        <v>2.9999999999997584E-2</v>
      </c>
      <c r="U84" s="4">
        <f t="shared" si="36"/>
        <v>-3.0000000000001137E-2</v>
      </c>
      <c r="V84" s="4">
        <f t="shared" si="37"/>
        <v>-0.16000000000000014</v>
      </c>
      <c r="W84" s="4">
        <f t="shared" si="38"/>
        <v>-0.16000000000000014</v>
      </c>
      <c r="X84" s="4">
        <f t="shared" si="39"/>
        <v>0.21999999999999886</v>
      </c>
      <c r="Y84" s="4">
        <f t="shared" si="40"/>
        <v>0.16000000000000014</v>
      </c>
      <c r="Z84" s="4">
        <f t="shared" si="41"/>
        <v>-0.33999999999999986</v>
      </c>
      <c r="AC84" s="4">
        <f t="shared" si="42"/>
        <v>-21.482583333333331</v>
      </c>
      <c r="AD84" s="4">
        <f t="shared" si="43"/>
        <v>-21.473166666666664</v>
      </c>
      <c r="AE84" s="4">
        <f t="shared" si="44"/>
        <v>-21.4605</v>
      </c>
      <c r="AF84" s="4">
        <f t="shared" si="45"/>
        <v>-21.476166666666668</v>
      </c>
      <c r="AG84" s="4">
        <f t="shared" si="46"/>
        <v>-21.467416666666665</v>
      </c>
      <c r="AH84" s="4">
        <f t="shared" si="47"/>
        <v>-21.461833333333331</v>
      </c>
      <c r="AI84" s="4">
        <f t="shared" si="48"/>
        <v>-21.472083333333334</v>
      </c>
      <c r="AJ84" s="4">
        <f t="shared" si="49"/>
        <v>-21.465</v>
      </c>
      <c r="AK84" s="4">
        <f t="shared" si="50"/>
        <v>-21.491499999999998</v>
      </c>
      <c r="AL84"/>
      <c r="AN84" s="4">
        <f t="shared" si="51"/>
        <v>-1.2583333333331836E-2</v>
      </c>
      <c r="AO84" s="4">
        <f t="shared" si="52"/>
        <v>-3.1666666666652077E-3</v>
      </c>
      <c r="AP84" s="4">
        <f t="shared" si="53"/>
        <v>9.4999999999991758E-3</v>
      </c>
      <c r="AQ84" s="4">
        <f t="shared" si="54"/>
        <v>-6.1666666666688741E-3</v>
      </c>
      <c r="AR84" s="4">
        <f t="shared" si="55"/>
        <v>2.583333333333826E-3</v>
      </c>
      <c r="AS84" s="4">
        <f t="shared" si="56"/>
        <v>8.1666666666677656E-3</v>
      </c>
      <c r="AT84" s="4">
        <f t="shared" si="57"/>
        <v>-2.0833333333349913E-3</v>
      </c>
      <c r="AU84" s="4">
        <f t="shared" si="58"/>
        <v>4.9999999999990052E-3</v>
      </c>
      <c r="AV84" s="4">
        <f t="shared" si="59"/>
        <v>-2.1499999999999631E-2</v>
      </c>
    </row>
    <row r="85" spans="1:48" x14ac:dyDescent="0.25">
      <c r="A85" s="18">
        <v>91</v>
      </c>
      <c r="B85" s="19">
        <v>43581</v>
      </c>
      <c r="C85" s="20">
        <v>0.47197916666666667</v>
      </c>
      <c r="D85" s="18">
        <v>-21.56</v>
      </c>
      <c r="E85" s="18">
        <v>-21.56</v>
      </c>
      <c r="F85" s="18">
        <v>-21.44</v>
      </c>
      <c r="G85" s="18">
        <v>-21.5</v>
      </c>
      <c r="H85" s="18">
        <v>-21.63</v>
      </c>
      <c r="I85" s="18">
        <v>-21.63</v>
      </c>
      <c r="J85" s="18">
        <v>-21.25</v>
      </c>
      <c r="K85" s="18">
        <v>-21.31</v>
      </c>
      <c r="L85" s="18">
        <v>-21.81</v>
      </c>
      <c r="M85" s="18">
        <v>24.9</v>
      </c>
      <c r="N85" s="29">
        <v>-21.47</v>
      </c>
      <c r="O85" s="4">
        <f>N85-'Sonde étalon'!$C$12</f>
        <v>-21.47</v>
      </c>
      <c r="R85" s="4">
        <f t="shared" si="33"/>
        <v>-8.9999999999999858E-2</v>
      </c>
      <c r="S85" s="4">
        <f t="shared" si="34"/>
        <v>-8.9999999999999858E-2</v>
      </c>
      <c r="T85" s="4">
        <f t="shared" si="35"/>
        <v>2.9999999999997584E-2</v>
      </c>
      <c r="U85" s="4">
        <f t="shared" si="36"/>
        <v>-3.0000000000001137E-2</v>
      </c>
      <c r="V85" s="4">
        <f t="shared" si="37"/>
        <v>-0.16000000000000014</v>
      </c>
      <c r="W85" s="4">
        <f t="shared" si="38"/>
        <v>-0.16000000000000014</v>
      </c>
      <c r="X85" s="4">
        <f t="shared" si="39"/>
        <v>0.21999999999999886</v>
      </c>
      <c r="Y85" s="4">
        <f t="shared" si="40"/>
        <v>0.16000000000000014</v>
      </c>
      <c r="Z85" s="4">
        <f t="shared" si="41"/>
        <v>-0.33999999999999986</v>
      </c>
      <c r="AC85" s="4">
        <f t="shared" si="42"/>
        <v>-21.482583333333331</v>
      </c>
      <c r="AD85" s="4">
        <f t="shared" si="43"/>
        <v>-21.473166666666664</v>
      </c>
      <c r="AE85" s="4">
        <f t="shared" si="44"/>
        <v>-21.4605</v>
      </c>
      <c r="AF85" s="4">
        <f t="shared" si="45"/>
        <v>-21.476166666666668</v>
      </c>
      <c r="AG85" s="4">
        <f t="shared" si="46"/>
        <v>-21.467416666666665</v>
      </c>
      <c r="AH85" s="4">
        <f t="shared" si="47"/>
        <v>-21.461833333333331</v>
      </c>
      <c r="AI85" s="4">
        <f t="shared" si="48"/>
        <v>-21.472083333333334</v>
      </c>
      <c r="AJ85" s="4">
        <f t="shared" si="49"/>
        <v>-21.465</v>
      </c>
      <c r="AK85" s="4">
        <f t="shared" si="50"/>
        <v>-21.491499999999998</v>
      </c>
      <c r="AL85"/>
      <c r="AN85" s="4">
        <f t="shared" si="51"/>
        <v>-1.2583333333331836E-2</v>
      </c>
      <c r="AO85" s="4">
        <f t="shared" si="52"/>
        <v>-3.1666666666652077E-3</v>
      </c>
      <c r="AP85" s="4">
        <f t="shared" si="53"/>
        <v>9.4999999999991758E-3</v>
      </c>
      <c r="AQ85" s="4">
        <f t="shared" si="54"/>
        <v>-6.1666666666688741E-3</v>
      </c>
      <c r="AR85" s="4">
        <f t="shared" si="55"/>
        <v>2.583333333333826E-3</v>
      </c>
      <c r="AS85" s="4">
        <f t="shared" si="56"/>
        <v>8.1666666666677656E-3</v>
      </c>
      <c r="AT85" s="4">
        <f t="shared" si="57"/>
        <v>-2.0833333333349913E-3</v>
      </c>
      <c r="AU85" s="4">
        <f t="shared" si="58"/>
        <v>4.9999999999990052E-3</v>
      </c>
      <c r="AV85" s="4">
        <f t="shared" si="59"/>
        <v>-2.1499999999999631E-2</v>
      </c>
    </row>
    <row r="86" spans="1:48" x14ac:dyDescent="0.25">
      <c r="A86" s="18">
        <v>92</v>
      </c>
      <c r="B86" s="19">
        <v>43581</v>
      </c>
      <c r="C86" s="20">
        <v>0.47267361111111111</v>
      </c>
      <c r="D86" s="18">
        <v>-21.56</v>
      </c>
      <c r="E86" s="18">
        <v>-21.56</v>
      </c>
      <c r="F86" s="18">
        <v>-21.5</v>
      </c>
      <c r="G86" s="18">
        <v>-21.5</v>
      </c>
      <c r="H86" s="18">
        <v>-21.63</v>
      </c>
      <c r="I86" s="18">
        <v>-21.69</v>
      </c>
      <c r="J86" s="18">
        <v>-21.25</v>
      </c>
      <c r="K86" s="18">
        <v>-21.31</v>
      </c>
      <c r="L86" s="18">
        <v>-21.81</v>
      </c>
      <c r="M86" s="18">
        <v>24.9</v>
      </c>
      <c r="N86" s="29">
        <v>-21.48</v>
      </c>
      <c r="O86" s="4">
        <f>N86-'Sonde étalon'!$C$12</f>
        <v>-21.48</v>
      </c>
      <c r="R86" s="4">
        <f t="shared" si="33"/>
        <v>-7.9999999999998295E-2</v>
      </c>
      <c r="S86" s="4">
        <f t="shared" si="34"/>
        <v>-7.9999999999998295E-2</v>
      </c>
      <c r="T86" s="4">
        <f t="shared" si="35"/>
        <v>-1.9999999999999574E-2</v>
      </c>
      <c r="U86" s="4">
        <f t="shared" si="36"/>
        <v>-1.9999999999999574E-2</v>
      </c>
      <c r="V86" s="4">
        <f t="shared" si="37"/>
        <v>-0.14999999999999858</v>
      </c>
      <c r="W86" s="4">
        <f t="shared" si="38"/>
        <v>-0.21000000000000085</v>
      </c>
      <c r="X86" s="4">
        <f t="shared" si="39"/>
        <v>0.23000000000000043</v>
      </c>
      <c r="Y86" s="4">
        <f t="shared" si="40"/>
        <v>0.17000000000000171</v>
      </c>
      <c r="Z86" s="4">
        <f t="shared" si="41"/>
        <v>-0.32999999999999829</v>
      </c>
      <c r="AC86" s="4">
        <f t="shared" si="42"/>
        <v>-21.482583333333331</v>
      </c>
      <c r="AD86" s="4">
        <f t="shared" si="43"/>
        <v>-21.473166666666664</v>
      </c>
      <c r="AE86" s="4">
        <f t="shared" si="44"/>
        <v>-21.520499999999998</v>
      </c>
      <c r="AF86" s="4">
        <f t="shared" si="45"/>
        <v>-21.476166666666668</v>
      </c>
      <c r="AG86" s="4">
        <f t="shared" si="46"/>
        <v>-21.467416666666665</v>
      </c>
      <c r="AH86" s="4">
        <f t="shared" si="47"/>
        <v>-21.521833333333333</v>
      </c>
      <c r="AI86" s="4">
        <f t="shared" si="48"/>
        <v>-21.472083333333334</v>
      </c>
      <c r="AJ86" s="4">
        <f t="shared" si="49"/>
        <v>-21.465</v>
      </c>
      <c r="AK86" s="4">
        <f t="shared" si="50"/>
        <v>-21.491499999999998</v>
      </c>
      <c r="AL86"/>
      <c r="AN86" s="4">
        <f t="shared" si="51"/>
        <v>-2.5833333333302733E-3</v>
      </c>
      <c r="AO86" s="4">
        <f t="shared" si="52"/>
        <v>6.8333333333363555E-3</v>
      </c>
      <c r="AP86" s="4">
        <f t="shared" si="53"/>
        <v>-4.0499999999997982E-2</v>
      </c>
      <c r="AQ86" s="4">
        <f t="shared" si="54"/>
        <v>3.8333333333326891E-3</v>
      </c>
      <c r="AR86" s="4">
        <f t="shared" si="55"/>
        <v>1.2583333333335389E-2</v>
      </c>
      <c r="AS86" s="4">
        <f t="shared" si="56"/>
        <v>-4.1833333333332945E-2</v>
      </c>
      <c r="AT86" s="4">
        <f t="shared" si="57"/>
        <v>7.9166666666665719E-3</v>
      </c>
      <c r="AU86" s="4">
        <f t="shared" si="58"/>
        <v>1.5000000000000568E-2</v>
      </c>
      <c r="AV86" s="4">
        <f t="shared" si="59"/>
        <v>-1.1499999999998067E-2</v>
      </c>
    </row>
    <row r="87" spans="1:48" x14ac:dyDescent="0.25">
      <c r="A87" s="18">
        <v>93</v>
      </c>
      <c r="B87" s="19">
        <v>43581</v>
      </c>
      <c r="C87" s="20">
        <v>0.47336805555555556</v>
      </c>
      <c r="D87" s="18">
        <v>-21.56</v>
      </c>
      <c r="E87" s="18">
        <v>-21.56</v>
      </c>
      <c r="F87" s="18">
        <v>-21.5</v>
      </c>
      <c r="G87" s="18">
        <v>-21.5</v>
      </c>
      <c r="H87" s="18">
        <v>-21.63</v>
      </c>
      <c r="I87" s="18">
        <v>-21.63</v>
      </c>
      <c r="J87" s="18">
        <v>-21.25</v>
      </c>
      <c r="K87" s="18">
        <v>-21.31</v>
      </c>
      <c r="L87" s="18">
        <v>-21.81</v>
      </c>
      <c r="M87" s="18">
        <v>24.9</v>
      </c>
      <c r="N87" s="29">
        <v>-21.49</v>
      </c>
      <c r="O87" s="4">
        <f>N87-'Sonde étalon'!$C$12</f>
        <v>-21.49</v>
      </c>
      <c r="R87" s="4">
        <f t="shared" si="33"/>
        <v>-7.0000000000000284E-2</v>
      </c>
      <c r="S87" s="4">
        <f t="shared" si="34"/>
        <v>-7.0000000000000284E-2</v>
      </c>
      <c r="T87" s="4">
        <f t="shared" si="35"/>
        <v>-1.0000000000001563E-2</v>
      </c>
      <c r="U87" s="4">
        <f t="shared" si="36"/>
        <v>-1.0000000000001563E-2</v>
      </c>
      <c r="V87" s="4">
        <f t="shared" si="37"/>
        <v>-0.14000000000000057</v>
      </c>
      <c r="W87" s="4">
        <f t="shared" si="38"/>
        <v>-0.14000000000000057</v>
      </c>
      <c r="X87" s="4">
        <f t="shared" si="39"/>
        <v>0.23999999999999844</v>
      </c>
      <c r="Y87" s="4">
        <f t="shared" si="40"/>
        <v>0.17999999999999972</v>
      </c>
      <c r="Z87" s="4">
        <f t="shared" si="41"/>
        <v>-0.32000000000000028</v>
      </c>
      <c r="AC87" s="4">
        <f t="shared" si="42"/>
        <v>-21.482583333333331</v>
      </c>
      <c r="AD87" s="4">
        <f t="shared" si="43"/>
        <v>-21.473166666666664</v>
      </c>
      <c r="AE87" s="4">
        <f t="shared" si="44"/>
        <v>-21.520499999999998</v>
      </c>
      <c r="AF87" s="4">
        <f t="shared" si="45"/>
        <v>-21.476166666666668</v>
      </c>
      <c r="AG87" s="4">
        <f t="shared" si="46"/>
        <v>-21.467416666666665</v>
      </c>
      <c r="AH87" s="4">
        <f t="shared" si="47"/>
        <v>-21.461833333333331</v>
      </c>
      <c r="AI87" s="4">
        <f t="shared" si="48"/>
        <v>-21.472083333333334</v>
      </c>
      <c r="AJ87" s="4">
        <f t="shared" si="49"/>
        <v>-21.465</v>
      </c>
      <c r="AK87" s="4">
        <f t="shared" si="50"/>
        <v>-21.491499999999998</v>
      </c>
      <c r="AL87"/>
      <c r="AN87" s="4">
        <f t="shared" si="51"/>
        <v>7.4166666666677372E-3</v>
      </c>
      <c r="AO87" s="4">
        <f t="shared" si="52"/>
        <v>1.6833333333334366E-2</v>
      </c>
      <c r="AP87" s="4">
        <f t="shared" si="53"/>
        <v>-3.0499999999999972E-2</v>
      </c>
      <c r="AQ87" s="4">
        <f t="shared" si="54"/>
        <v>1.38333333333307E-2</v>
      </c>
      <c r="AR87" s="4">
        <f t="shared" si="55"/>
        <v>2.25833333333334E-2</v>
      </c>
      <c r="AS87" s="4">
        <f t="shared" si="56"/>
        <v>2.8166666666667339E-2</v>
      </c>
      <c r="AT87" s="4">
        <f t="shared" si="57"/>
        <v>1.7916666666664582E-2</v>
      </c>
      <c r="AU87" s="4">
        <f t="shared" si="58"/>
        <v>2.4999999999998579E-2</v>
      </c>
      <c r="AV87" s="4">
        <f t="shared" si="59"/>
        <v>-1.5000000000000568E-3</v>
      </c>
    </row>
    <row r="88" spans="1:48" x14ac:dyDescent="0.25">
      <c r="A88" s="18">
        <v>94</v>
      </c>
      <c r="B88" s="19">
        <v>43581</v>
      </c>
      <c r="C88" s="20">
        <v>0.4740625</v>
      </c>
      <c r="D88" s="18">
        <v>-21.56</v>
      </c>
      <c r="E88" s="18">
        <v>-21.56</v>
      </c>
      <c r="F88" s="18">
        <v>-21.5</v>
      </c>
      <c r="G88" s="18">
        <v>-21.5</v>
      </c>
      <c r="H88" s="18">
        <v>-21.63</v>
      </c>
      <c r="I88" s="18">
        <v>-21.69</v>
      </c>
      <c r="J88" s="18">
        <v>-21.25</v>
      </c>
      <c r="K88" s="18">
        <v>-21.31</v>
      </c>
      <c r="L88" s="18">
        <v>-21.81</v>
      </c>
      <c r="M88" s="18">
        <v>24.9</v>
      </c>
      <c r="N88" s="29">
        <v>-21.49</v>
      </c>
      <c r="O88" s="4">
        <f>N88-'Sonde étalon'!$C$12</f>
        <v>-21.49</v>
      </c>
      <c r="R88" s="4">
        <f t="shared" si="33"/>
        <v>-7.0000000000000284E-2</v>
      </c>
      <c r="S88" s="4">
        <f t="shared" si="34"/>
        <v>-7.0000000000000284E-2</v>
      </c>
      <c r="T88" s="4">
        <f t="shared" si="35"/>
        <v>-1.0000000000001563E-2</v>
      </c>
      <c r="U88" s="4">
        <f t="shared" si="36"/>
        <v>-1.0000000000001563E-2</v>
      </c>
      <c r="V88" s="4">
        <f t="shared" si="37"/>
        <v>-0.14000000000000057</v>
      </c>
      <c r="W88" s="4">
        <f t="shared" si="38"/>
        <v>-0.20000000000000284</v>
      </c>
      <c r="X88" s="4">
        <f t="shared" si="39"/>
        <v>0.23999999999999844</v>
      </c>
      <c r="Y88" s="4">
        <f t="shared" si="40"/>
        <v>0.17999999999999972</v>
      </c>
      <c r="Z88" s="4">
        <f t="shared" si="41"/>
        <v>-0.32000000000000028</v>
      </c>
      <c r="AC88" s="4">
        <f t="shared" si="42"/>
        <v>-21.482583333333331</v>
      </c>
      <c r="AD88" s="4">
        <f t="shared" si="43"/>
        <v>-21.473166666666664</v>
      </c>
      <c r="AE88" s="4">
        <f t="shared" si="44"/>
        <v>-21.520499999999998</v>
      </c>
      <c r="AF88" s="4">
        <f t="shared" si="45"/>
        <v>-21.476166666666668</v>
      </c>
      <c r="AG88" s="4">
        <f t="shared" si="46"/>
        <v>-21.467416666666665</v>
      </c>
      <c r="AH88" s="4">
        <f t="shared" si="47"/>
        <v>-21.521833333333333</v>
      </c>
      <c r="AI88" s="4">
        <f t="shared" si="48"/>
        <v>-21.472083333333334</v>
      </c>
      <c r="AJ88" s="4">
        <f t="shared" si="49"/>
        <v>-21.465</v>
      </c>
      <c r="AK88" s="4">
        <f t="shared" si="50"/>
        <v>-21.491499999999998</v>
      </c>
      <c r="AL88"/>
      <c r="AN88" s="4">
        <f t="shared" si="51"/>
        <v>7.4166666666677372E-3</v>
      </c>
      <c r="AO88" s="4">
        <f t="shared" si="52"/>
        <v>1.6833333333334366E-2</v>
      </c>
      <c r="AP88" s="4">
        <f t="shared" si="53"/>
        <v>-3.0499999999999972E-2</v>
      </c>
      <c r="AQ88" s="4">
        <f t="shared" si="54"/>
        <v>1.38333333333307E-2</v>
      </c>
      <c r="AR88" s="4">
        <f t="shared" si="55"/>
        <v>2.25833333333334E-2</v>
      </c>
      <c r="AS88" s="4">
        <f t="shared" si="56"/>
        <v>-3.1833333333334934E-2</v>
      </c>
      <c r="AT88" s="4">
        <f t="shared" si="57"/>
        <v>1.7916666666664582E-2</v>
      </c>
      <c r="AU88" s="4">
        <f t="shared" si="58"/>
        <v>2.4999999999998579E-2</v>
      </c>
      <c r="AV88" s="4">
        <f t="shared" si="59"/>
        <v>-1.5000000000000568E-3</v>
      </c>
    </row>
    <row r="89" spans="1:48" x14ac:dyDescent="0.25">
      <c r="A89" s="18">
        <v>95</v>
      </c>
      <c r="B89" s="19">
        <v>43581</v>
      </c>
      <c r="C89" s="20">
        <v>0.47475694444444444</v>
      </c>
      <c r="D89" s="18">
        <v>-21.56</v>
      </c>
      <c r="E89" s="18">
        <v>-21.56</v>
      </c>
      <c r="F89" s="18">
        <v>-21.5</v>
      </c>
      <c r="G89" s="18">
        <v>-21.5</v>
      </c>
      <c r="H89" s="18">
        <v>-21.63</v>
      </c>
      <c r="I89" s="18">
        <v>-21.63</v>
      </c>
      <c r="J89" s="18">
        <v>-21.25</v>
      </c>
      <c r="K89" s="18">
        <v>-21.31</v>
      </c>
      <c r="L89" s="18">
        <v>-21.81</v>
      </c>
      <c r="M89" s="18">
        <v>24.9</v>
      </c>
      <c r="N89" s="29">
        <v>-21.5</v>
      </c>
      <c r="O89" s="4">
        <f>N89-'Sonde étalon'!$C$12</f>
        <v>-21.5</v>
      </c>
      <c r="R89" s="4">
        <f t="shared" si="33"/>
        <v>-5.9999999999998721E-2</v>
      </c>
      <c r="S89" s="4">
        <f t="shared" si="34"/>
        <v>-5.9999999999998721E-2</v>
      </c>
      <c r="T89" s="4">
        <f t="shared" si="35"/>
        <v>0</v>
      </c>
      <c r="U89" s="4">
        <f t="shared" si="36"/>
        <v>0</v>
      </c>
      <c r="V89" s="4">
        <f t="shared" si="37"/>
        <v>-0.12999999999999901</v>
      </c>
      <c r="W89" s="4">
        <f t="shared" si="38"/>
        <v>-0.12999999999999901</v>
      </c>
      <c r="X89" s="4">
        <f t="shared" si="39"/>
        <v>0.25</v>
      </c>
      <c r="Y89" s="4">
        <f t="shared" si="40"/>
        <v>0.19000000000000128</v>
      </c>
      <c r="Z89" s="4">
        <f t="shared" si="41"/>
        <v>-0.30999999999999872</v>
      </c>
      <c r="AC89" s="4">
        <f t="shared" si="42"/>
        <v>-21.482583333333331</v>
      </c>
      <c r="AD89" s="4">
        <f t="shared" si="43"/>
        <v>-21.473166666666664</v>
      </c>
      <c r="AE89" s="4">
        <f t="shared" si="44"/>
        <v>-21.520499999999998</v>
      </c>
      <c r="AF89" s="4">
        <f t="shared" si="45"/>
        <v>-21.476166666666668</v>
      </c>
      <c r="AG89" s="4">
        <f t="shared" si="46"/>
        <v>-21.467416666666665</v>
      </c>
      <c r="AH89" s="4">
        <f t="shared" si="47"/>
        <v>-21.461833333333331</v>
      </c>
      <c r="AI89" s="4">
        <f t="shared" si="48"/>
        <v>-21.472083333333334</v>
      </c>
      <c r="AJ89" s="4">
        <f t="shared" si="49"/>
        <v>-21.465</v>
      </c>
      <c r="AK89" s="4">
        <f t="shared" si="50"/>
        <v>-21.491499999999998</v>
      </c>
      <c r="AL89"/>
      <c r="AN89" s="4">
        <f t="shared" si="51"/>
        <v>1.74166666666693E-2</v>
      </c>
      <c r="AO89" s="4">
        <f t="shared" si="52"/>
        <v>2.6833333333335929E-2</v>
      </c>
      <c r="AP89" s="4">
        <f t="shared" si="53"/>
        <v>-2.0499999999998408E-2</v>
      </c>
      <c r="AQ89" s="4">
        <f t="shared" si="54"/>
        <v>2.3833333333332263E-2</v>
      </c>
      <c r="AR89" s="4">
        <f t="shared" si="55"/>
        <v>3.2583333333334963E-2</v>
      </c>
      <c r="AS89" s="4">
        <f t="shared" si="56"/>
        <v>3.8166666666668903E-2</v>
      </c>
      <c r="AT89" s="4">
        <f t="shared" si="57"/>
        <v>2.7916666666666146E-2</v>
      </c>
      <c r="AU89" s="4">
        <f t="shared" si="58"/>
        <v>3.5000000000000142E-2</v>
      </c>
      <c r="AV89" s="4">
        <f t="shared" si="59"/>
        <v>8.5000000000015064E-3</v>
      </c>
    </row>
    <row r="90" spans="1:48" x14ac:dyDescent="0.25">
      <c r="A90" s="18">
        <v>96</v>
      </c>
      <c r="B90" s="19">
        <v>43581</v>
      </c>
      <c r="C90" s="20">
        <v>0.47545138888888888</v>
      </c>
      <c r="D90" s="18">
        <v>-21.56</v>
      </c>
      <c r="E90" s="18">
        <v>-21.56</v>
      </c>
      <c r="F90" s="18">
        <v>-21.5</v>
      </c>
      <c r="G90" s="18">
        <v>-21.5</v>
      </c>
      <c r="H90" s="18">
        <v>-21.63</v>
      </c>
      <c r="I90" s="18">
        <v>-21.63</v>
      </c>
      <c r="J90" s="18">
        <v>-21.25</v>
      </c>
      <c r="K90" s="18">
        <v>-21.31</v>
      </c>
      <c r="L90" s="18">
        <v>-21.81</v>
      </c>
      <c r="M90" s="18">
        <v>24.9</v>
      </c>
      <c r="N90" s="29">
        <v>-21.52</v>
      </c>
      <c r="O90" s="4">
        <f>N90-'Sonde étalon'!$C$12</f>
        <v>-21.52</v>
      </c>
      <c r="R90" s="4">
        <f t="shared" si="33"/>
        <v>-3.9999999999999147E-2</v>
      </c>
      <c r="S90" s="4">
        <f t="shared" si="34"/>
        <v>-3.9999999999999147E-2</v>
      </c>
      <c r="T90" s="4">
        <f t="shared" si="35"/>
        <v>1.9999999999999574E-2</v>
      </c>
      <c r="U90" s="4">
        <f t="shared" si="36"/>
        <v>1.9999999999999574E-2</v>
      </c>
      <c r="V90" s="4">
        <f t="shared" si="37"/>
        <v>-0.10999999999999943</v>
      </c>
      <c r="W90" s="4">
        <f t="shared" si="38"/>
        <v>-0.10999999999999943</v>
      </c>
      <c r="X90" s="4">
        <f t="shared" si="39"/>
        <v>0.26999999999999957</v>
      </c>
      <c r="Y90" s="4">
        <f t="shared" si="40"/>
        <v>0.21000000000000085</v>
      </c>
      <c r="Z90" s="4">
        <f t="shared" si="41"/>
        <v>-0.28999999999999915</v>
      </c>
      <c r="AC90" s="4">
        <f t="shared" si="42"/>
        <v>-21.482583333333331</v>
      </c>
      <c r="AD90" s="4">
        <f t="shared" si="43"/>
        <v>-21.473166666666664</v>
      </c>
      <c r="AE90" s="4">
        <f t="shared" si="44"/>
        <v>-21.520499999999998</v>
      </c>
      <c r="AF90" s="4">
        <f t="shared" si="45"/>
        <v>-21.476166666666668</v>
      </c>
      <c r="AG90" s="4">
        <f t="shared" si="46"/>
        <v>-21.467416666666665</v>
      </c>
      <c r="AH90" s="4">
        <f t="shared" si="47"/>
        <v>-21.461833333333331</v>
      </c>
      <c r="AI90" s="4">
        <f t="shared" si="48"/>
        <v>-21.472083333333334</v>
      </c>
      <c r="AJ90" s="4">
        <f t="shared" si="49"/>
        <v>-21.465</v>
      </c>
      <c r="AK90" s="4">
        <f t="shared" si="50"/>
        <v>-21.491499999999998</v>
      </c>
      <c r="AL90"/>
      <c r="AN90" s="4">
        <f t="shared" si="51"/>
        <v>3.7416666666668874E-2</v>
      </c>
      <c r="AO90" s="4">
        <f t="shared" si="52"/>
        <v>4.6833333333335503E-2</v>
      </c>
      <c r="AP90" s="4">
        <f t="shared" si="53"/>
        <v>-4.9999999999883471E-4</v>
      </c>
      <c r="AQ90" s="4">
        <f t="shared" si="54"/>
        <v>4.3833333333331836E-2</v>
      </c>
      <c r="AR90" s="4">
        <f t="shared" si="55"/>
        <v>5.2583333333334537E-2</v>
      </c>
      <c r="AS90" s="4">
        <f t="shared" si="56"/>
        <v>5.8166666666668476E-2</v>
      </c>
      <c r="AT90" s="4">
        <f t="shared" si="57"/>
        <v>4.7916666666665719E-2</v>
      </c>
      <c r="AU90" s="4">
        <f t="shared" si="58"/>
        <v>5.4999999999999716E-2</v>
      </c>
      <c r="AV90" s="4">
        <f t="shared" si="59"/>
        <v>2.850000000000108E-2</v>
      </c>
    </row>
    <row r="91" spans="1:48" x14ac:dyDescent="0.25">
      <c r="A91" s="18">
        <v>97</v>
      </c>
      <c r="B91" s="19">
        <v>43581</v>
      </c>
      <c r="C91" s="20">
        <v>0.47614583333333332</v>
      </c>
      <c r="D91" s="18">
        <v>-21.56</v>
      </c>
      <c r="E91" s="18">
        <v>-21.56</v>
      </c>
      <c r="F91" s="18">
        <v>-21.5</v>
      </c>
      <c r="G91" s="18">
        <v>-21.5</v>
      </c>
      <c r="H91" s="18">
        <v>-21.63</v>
      </c>
      <c r="I91" s="18">
        <v>-21.63</v>
      </c>
      <c r="J91" s="18">
        <v>-21.25</v>
      </c>
      <c r="K91" s="18">
        <v>-21.31</v>
      </c>
      <c r="L91" s="18">
        <v>-21.81</v>
      </c>
      <c r="M91" s="18">
        <v>24.9</v>
      </c>
      <c r="N91" s="29">
        <v>-21.5</v>
      </c>
      <c r="O91" s="4">
        <f>N91-'Sonde étalon'!$C$12</f>
        <v>-21.5</v>
      </c>
      <c r="R91" s="4">
        <f t="shared" si="33"/>
        <v>-5.9999999999998721E-2</v>
      </c>
      <c r="S91" s="4">
        <f t="shared" si="34"/>
        <v>-5.9999999999998721E-2</v>
      </c>
      <c r="T91" s="4">
        <f t="shared" si="35"/>
        <v>0</v>
      </c>
      <c r="U91" s="4">
        <f t="shared" si="36"/>
        <v>0</v>
      </c>
      <c r="V91" s="4">
        <f t="shared" si="37"/>
        <v>-0.12999999999999901</v>
      </c>
      <c r="W91" s="4">
        <f t="shared" si="38"/>
        <v>-0.12999999999999901</v>
      </c>
      <c r="X91" s="4">
        <f t="shared" si="39"/>
        <v>0.25</v>
      </c>
      <c r="Y91" s="4">
        <f t="shared" si="40"/>
        <v>0.19000000000000128</v>
      </c>
      <c r="Z91" s="4">
        <f t="shared" si="41"/>
        <v>-0.30999999999999872</v>
      </c>
      <c r="AC91" s="4">
        <f t="shared" si="42"/>
        <v>-21.482583333333331</v>
      </c>
      <c r="AD91" s="4">
        <f t="shared" si="43"/>
        <v>-21.473166666666664</v>
      </c>
      <c r="AE91" s="4">
        <f t="shared" si="44"/>
        <v>-21.520499999999998</v>
      </c>
      <c r="AF91" s="4">
        <f t="shared" si="45"/>
        <v>-21.476166666666668</v>
      </c>
      <c r="AG91" s="4">
        <f t="shared" si="46"/>
        <v>-21.467416666666665</v>
      </c>
      <c r="AH91" s="4">
        <f t="shared" si="47"/>
        <v>-21.461833333333331</v>
      </c>
      <c r="AI91" s="4">
        <f t="shared" si="48"/>
        <v>-21.472083333333334</v>
      </c>
      <c r="AJ91" s="4">
        <f t="shared" si="49"/>
        <v>-21.465</v>
      </c>
      <c r="AK91" s="4">
        <f t="shared" si="50"/>
        <v>-21.491499999999998</v>
      </c>
      <c r="AL91"/>
      <c r="AN91" s="4">
        <f t="shared" si="51"/>
        <v>1.74166666666693E-2</v>
      </c>
      <c r="AO91" s="4">
        <f t="shared" si="52"/>
        <v>2.6833333333335929E-2</v>
      </c>
      <c r="AP91" s="4">
        <f t="shared" si="53"/>
        <v>-2.0499999999998408E-2</v>
      </c>
      <c r="AQ91" s="4">
        <f t="shared" si="54"/>
        <v>2.3833333333332263E-2</v>
      </c>
      <c r="AR91" s="4">
        <f t="shared" si="55"/>
        <v>3.2583333333334963E-2</v>
      </c>
      <c r="AS91" s="4">
        <f t="shared" si="56"/>
        <v>3.8166666666668903E-2</v>
      </c>
      <c r="AT91" s="4">
        <f t="shared" si="57"/>
        <v>2.7916666666666146E-2</v>
      </c>
      <c r="AU91" s="4">
        <f t="shared" si="58"/>
        <v>3.5000000000000142E-2</v>
      </c>
      <c r="AV91" s="4">
        <f t="shared" si="59"/>
        <v>8.5000000000015064E-3</v>
      </c>
    </row>
    <row r="92" spans="1:48" x14ac:dyDescent="0.25">
      <c r="A92" s="18">
        <v>98</v>
      </c>
      <c r="B92" s="19">
        <v>43581</v>
      </c>
      <c r="C92" s="20">
        <v>0.47684027777777777</v>
      </c>
      <c r="D92" s="18">
        <v>-21.56</v>
      </c>
      <c r="E92" s="18">
        <v>-21.56</v>
      </c>
      <c r="F92" s="18">
        <v>-21.5</v>
      </c>
      <c r="G92" s="18">
        <v>-21.5</v>
      </c>
      <c r="H92" s="18">
        <v>-21.63</v>
      </c>
      <c r="I92" s="18">
        <v>-21.63</v>
      </c>
      <c r="J92" s="18">
        <v>-21.25</v>
      </c>
      <c r="K92" s="18">
        <v>-21.31</v>
      </c>
      <c r="L92" s="18">
        <v>-21.81</v>
      </c>
      <c r="M92" s="18">
        <v>24.9</v>
      </c>
      <c r="N92" s="29">
        <v>-21.49</v>
      </c>
      <c r="O92" s="4">
        <f>N92-'Sonde étalon'!$C$12</f>
        <v>-21.49</v>
      </c>
      <c r="R92" s="4">
        <f t="shared" si="33"/>
        <v>-7.0000000000000284E-2</v>
      </c>
      <c r="S92" s="4">
        <f t="shared" si="34"/>
        <v>-7.0000000000000284E-2</v>
      </c>
      <c r="T92" s="4">
        <f t="shared" si="35"/>
        <v>-1.0000000000001563E-2</v>
      </c>
      <c r="U92" s="4">
        <f t="shared" si="36"/>
        <v>-1.0000000000001563E-2</v>
      </c>
      <c r="V92" s="4">
        <f t="shared" si="37"/>
        <v>-0.14000000000000057</v>
      </c>
      <c r="W92" s="4">
        <f t="shared" si="38"/>
        <v>-0.14000000000000057</v>
      </c>
      <c r="X92" s="4">
        <f t="shared" si="39"/>
        <v>0.23999999999999844</v>
      </c>
      <c r="Y92" s="4">
        <f t="shared" si="40"/>
        <v>0.17999999999999972</v>
      </c>
      <c r="Z92" s="4">
        <f t="shared" si="41"/>
        <v>-0.32000000000000028</v>
      </c>
      <c r="AC92" s="4">
        <f t="shared" si="42"/>
        <v>-21.482583333333331</v>
      </c>
      <c r="AD92" s="4">
        <f t="shared" si="43"/>
        <v>-21.473166666666664</v>
      </c>
      <c r="AE92" s="4">
        <f t="shared" si="44"/>
        <v>-21.520499999999998</v>
      </c>
      <c r="AF92" s="4">
        <f t="shared" si="45"/>
        <v>-21.476166666666668</v>
      </c>
      <c r="AG92" s="4">
        <f t="shared" si="46"/>
        <v>-21.467416666666665</v>
      </c>
      <c r="AH92" s="4">
        <f t="shared" si="47"/>
        <v>-21.461833333333331</v>
      </c>
      <c r="AI92" s="4">
        <f t="shared" si="48"/>
        <v>-21.472083333333334</v>
      </c>
      <c r="AJ92" s="4">
        <f t="shared" si="49"/>
        <v>-21.465</v>
      </c>
      <c r="AK92" s="4">
        <f t="shared" si="50"/>
        <v>-21.491499999999998</v>
      </c>
      <c r="AL92"/>
      <c r="AN92" s="4">
        <f t="shared" si="51"/>
        <v>7.4166666666677372E-3</v>
      </c>
      <c r="AO92" s="4">
        <f t="shared" si="52"/>
        <v>1.6833333333334366E-2</v>
      </c>
      <c r="AP92" s="4">
        <f t="shared" si="53"/>
        <v>-3.0499999999999972E-2</v>
      </c>
      <c r="AQ92" s="4">
        <f t="shared" si="54"/>
        <v>1.38333333333307E-2</v>
      </c>
      <c r="AR92" s="4">
        <f t="shared" si="55"/>
        <v>2.25833333333334E-2</v>
      </c>
      <c r="AS92" s="4">
        <f t="shared" si="56"/>
        <v>2.8166666666667339E-2</v>
      </c>
      <c r="AT92" s="4">
        <f t="shared" si="57"/>
        <v>1.7916666666664582E-2</v>
      </c>
      <c r="AU92" s="4">
        <f t="shared" si="58"/>
        <v>2.4999999999998579E-2</v>
      </c>
      <c r="AV92" s="4">
        <f t="shared" si="59"/>
        <v>-1.5000000000000568E-3</v>
      </c>
    </row>
    <row r="93" spans="1:48" x14ac:dyDescent="0.25">
      <c r="A93" s="18">
        <v>99</v>
      </c>
      <c r="B93" s="19">
        <v>43581</v>
      </c>
      <c r="C93" s="20">
        <v>0.47753472222222221</v>
      </c>
      <c r="D93" s="18">
        <v>-21.56</v>
      </c>
      <c r="E93" s="18">
        <v>-21.56</v>
      </c>
      <c r="F93" s="18">
        <v>-21.44</v>
      </c>
      <c r="G93" s="18">
        <v>-21.5</v>
      </c>
      <c r="H93" s="18">
        <v>-21.63</v>
      </c>
      <c r="I93" s="18">
        <v>-21.63</v>
      </c>
      <c r="J93" s="18">
        <v>-21.25</v>
      </c>
      <c r="K93" s="18">
        <v>-21.31</v>
      </c>
      <c r="L93" s="18">
        <v>-21.81</v>
      </c>
      <c r="M93" s="18">
        <v>24.9</v>
      </c>
      <c r="N93" s="29">
        <v>-21.48</v>
      </c>
      <c r="O93" s="4">
        <f>N93-'Sonde étalon'!$C$12</f>
        <v>-21.48</v>
      </c>
      <c r="R93" s="4">
        <f t="shared" si="33"/>
        <v>-7.9999999999998295E-2</v>
      </c>
      <c r="S93" s="4">
        <f t="shared" si="34"/>
        <v>-7.9999999999998295E-2</v>
      </c>
      <c r="T93" s="4">
        <f t="shared" si="35"/>
        <v>3.9999999999999147E-2</v>
      </c>
      <c r="U93" s="4">
        <f t="shared" si="36"/>
        <v>-1.9999999999999574E-2</v>
      </c>
      <c r="V93" s="4">
        <f t="shared" si="37"/>
        <v>-0.14999999999999858</v>
      </c>
      <c r="W93" s="4">
        <f t="shared" si="38"/>
        <v>-0.14999999999999858</v>
      </c>
      <c r="X93" s="4">
        <f t="shared" si="39"/>
        <v>0.23000000000000043</v>
      </c>
      <c r="Y93" s="4">
        <f t="shared" si="40"/>
        <v>0.17000000000000171</v>
      </c>
      <c r="Z93" s="4">
        <f t="shared" si="41"/>
        <v>-0.32999999999999829</v>
      </c>
      <c r="AC93" s="4">
        <f t="shared" si="42"/>
        <v>-21.482583333333331</v>
      </c>
      <c r="AD93" s="4">
        <f t="shared" si="43"/>
        <v>-21.473166666666664</v>
      </c>
      <c r="AE93" s="4">
        <f t="shared" si="44"/>
        <v>-21.4605</v>
      </c>
      <c r="AF93" s="4">
        <f t="shared" si="45"/>
        <v>-21.476166666666668</v>
      </c>
      <c r="AG93" s="4">
        <f t="shared" si="46"/>
        <v>-21.467416666666665</v>
      </c>
      <c r="AH93" s="4">
        <f t="shared" si="47"/>
        <v>-21.461833333333331</v>
      </c>
      <c r="AI93" s="4">
        <f t="shared" si="48"/>
        <v>-21.472083333333334</v>
      </c>
      <c r="AJ93" s="4">
        <f t="shared" si="49"/>
        <v>-21.465</v>
      </c>
      <c r="AK93" s="4">
        <f t="shared" si="50"/>
        <v>-21.491499999999998</v>
      </c>
      <c r="AL93"/>
      <c r="AN93" s="4">
        <f t="shared" si="51"/>
        <v>-2.5833333333302733E-3</v>
      </c>
      <c r="AO93" s="4">
        <f t="shared" si="52"/>
        <v>6.8333333333363555E-3</v>
      </c>
      <c r="AP93" s="4">
        <f t="shared" si="53"/>
        <v>1.9500000000000739E-2</v>
      </c>
      <c r="AQ93" s="4">
        <f t="shared" si="54"/>
        <v>3.8333333333326891E-3</v>
      </c>
      <c r="AR93" s="4">
        <f t="shared" si="55"/>
        <v>1.2583333333335389E-2</v>
      </c>
      <c r="AS93" s="4">
        <f t="shared" si="56"/>
        <v>1.8166666666669329E-2</v>
      </c>
      <c r="AT93" s="4">
        <f t="shared" si="57"/>
        <v>7.9166666666665719E-3</v>
      </c>
      <c r="AU93" s="4">
        <f t="shared" si="58"/>
        <v>1.5000000000000568E-2</v>
      </c>
      <c r="AV93" s="4">
        <f t="shared" si="59"/>
        <v>-1.1499999999998067E-2</v>
      </c>
    </row>
    <row r="94" spans="1:48" x14ac:dyDescent="0.25">
      <c r="A94" s="18">
        <v>100</v>
      </c>
      <c r="B94" s="19">
        <v>43581</v>
      </c>
      <c r="C94" s="20">
        <v>0.47822916666666665</v>
      </c>
      <c r="D94" s="18">
        <v>-21.56</v>
      </c>
      <c r="E94" s="18">
        <v>-21.56</v>
      </c>
      <c r="F94" s="18">
        <v>-21.5</v>
      </c>
      <c r="G94" s="18">
        <v>-21.5</v>
      </c>
      <c r="H94" s="18">
        <v>-21.63</v>
      </c>
      <c r="I94" s="18">
        <v>-21.69</v>
      </c>
      <c r="J94" s="18">
        <v>-21.25</v>
      </c>
      <c r="K94" s="18">
        <v>-21.31</v>
      </c>
      <c r="L94" s="18">
        <v>-21.81</v>
      </c>
      <c r="M94" s="18">
        <v>25</v>
      </c>
      <c r="N94" s="29">
        <v>-21.48</v>
      </c>
      <c r="O94" s="4">
        <f>N94-'Sonde étalon'!$C$12</f>
        <v>-21.48</v>
      </c>
      <c r="R94" s="4">
        <f t="shared" si="33"/>
        <v>-7.9999999999998295E-2</v>
      </c>
      <c r="S94" s="4">
        <f t="shared" si="34"/>
        <v>-7.9999999999998295E-2</v>
      </c>
      <c r="T94" s="4">
        <f t="shared" si="35"/>
        <v>-1.9999999999999574E-2</v>
      </c>
      <c r="U94" s="4">
        <f t="shared" si="36"/>
        <v>-1.9999999999999574E-2</v>
      </c>
      <c r="V94" s="4">
        <f t="shared" si="37"/>
        <v>-0.14999999999999858</v>
      </c>
      <c r="W94" s="4">
        <f t="shared" si="38"/>
        <v>-0.21000000000000085</v>
      </c>
      <c r="X94" s="4">
        <f t="shared" si="39"/>
        <v>0.23000000000000043</v>
      </c>
      <c r="Y94" s="4">
        <f t="shared" si="40"/>
        <v>0.17000000000000171</v>
      </c>
      <c r="Z94" s="4">
        <f t="shared" si="41"/>
        <v>-0.32999999999999829</v>
      </c>
      <c r="AC94" s="4">
        <f t="shared" si="42"/>
        <v>-21.482583333333331</v>
      </c>
      <c r="AD94" s="4">
        <f t="shared" si="43"/>
        <v>-21.473166666666664</v>
      </c>
      <c r="AE94" s="4">
        <f t="shared" si="44"/>
        <v>-21.520499999999998</v>
      </c>
      <c r="AF94" s="4">
        <f t="shared" si="45"/>
        <v>-21.476166666666668</v>
      </c>
      <c r="AG94" s="4">
        <f t="shared" si="46"/>
        <v>-21.467416666666665</v>
      </c>
      <c r="AH94" s="4">
        <f t="shared" si="47"/>
        <v>-21.521833333333333</v>
      </c>
      <c r="AI94" s="4">
        <f t="shared" si="48"/>
        <v>-21.472083333333334</v>
      </c>
      <c r="AJ94" s="4">
        <f t="shared" si="49"/>
        <v>-21.465</v>
      </c>
      <c r="AK94" s="4">
        <f t="shared" si="50"/>
        <v>-21.491499999999998</v>
      </c>
      <c r="AL94"/>
      <c r="AN94" s="4">
        <f t="shared" si="51"/>
        <v>-2.5833333333302733E-3</v>
      </c>
      <c r="AO94" s="4">
        <f t="shared" si="52"/>
        <v>6.8333333333363555E-3</v>
      </c>
      <c r="AP94" s="4">
        <f t="shared" si="53"/>
        <v>-4.0499999999997982E-2</v>
      </c>
      <c r="AQ94" s="4">
        <f t="shared" si="54"/>
        <v>3.8333333333326891E-3</v>
      </c>
      <c r="AR94" s="4">
        <f t="shared" si="55"/>
        <v>1.2583333333335389E-2</v>
      </c>
      <c r="AS94" s="4">
        <f t="shared" si="56"/>
        <v>-4.1833333333332945E-2</v>
      </c>
      <c r="AT94" s="4">
        <f t="shared" si="57"/>
        <v>7.9166666666665719E-3</v>
      </c>
      <c r="AU94" s="4">
        <f t="shared" si="58"/>
        <v>1.5000000000000568E-2</v>
      </c>
      <c r="AV94" s="4">
        <f t="shared" si="59"/>
        <v>-1.1499999999998067E-2</v>
      </c>
    </row>
    <row r="95" spans="1:48" x14ac:dyDescent="0.25">
      <c r="A95" s="18">
        <v>101</v>
      </c>
      <c r="B95" s="19">
        <v>43581</v>
      </c>
      <c r="C95" s="20">
        <v>0.47892361111111109</v>
      </c>
      <c r="D95" s="18">
        <v>-21.56</v>
      </c>
      <c r="E95" s="18">
        <v>-21.56</v>
      </c>
      <c r="F95" s="18">
        <v>-21.44</v>
      </c>
      <c r="G95" s="18">
        <v>-21.5</v>
      </c>
      <c r="H95" s="18">
        <v>-21.63</v>
      </c>
      <c r="I95" s="18">
        <v>-21.69</v>
      </c>
      <c r="J95" s="18">
        <v>-21.31</v>
      </c>
      <c r="K95" s="18">
        <v>-21.31</v>
      </c>
      <c r="L95" s="18">
        <v>-21.81</v>
      </c>
      <c r="M95" s="18">
        <v>25</v>
      </c>
      <c r="N95" s="29">
        <v>-21.49</v>
      </c>
      <c r="O95" s="4">
        <f>N95-'Sonde étalon'!$C$12</f>
        <v>-21.49</v>
      </c>
      <c r="R95" s="4">
        <f t="shared" si="33"/>
        <v>-7.0000000000000284E-2</v>
      </c>
      <c r="S95" s="4">
        <f t="shared" si="34"/>
        <v>-7.0000000000000284E-2</v>
      </c>
      <c r="T95" s="4">
        <f t="shared" si="35"/>
        <v>4.9999999999997158E-2</v>
      </c>
      <c r="U95" s="4">
        <f t="shared" si="36"/>
        <v>-1.0000000000001563E-2</v>
      </c>
      <c r="V95" s="4">
        <f t="shared" si="37"/>
        <v>-0.14000000000000057</v>
      </c>
      <c r="W95" s="4">
        <f t="shared" si="38"/>
        <v>-0.20000000000000284</v>
      </c>
      <c r="X95" s="4">
        <f t="shared" si="39"/>
        <v>0.17999999999999972</v>
      </c>
      <c r="Y95" s="4">
        <f t="shared" si="40"/>
        <v>0.17999999999999972</v>
      </c>
      <c r="Z95" s="4">
        <f t="shared" si="41"/>
        <v>-0.32000000000000028</v>
      </c>
      <c r="AC95" s="4">
        <f t="shared" si="42"/>
        <v>-21.482583333333331</v>
      </c>
      <c r="AD95" s="4">
        <f t="shared" si="43"/>
        <v>-21.473166666666664</v>
      </c>
      <c r="AE95" s="4">
        <f t="shared" si="44"/>
        <v>-21.4605</v>
      </c>
      <c r="AF95" s="4">
        <f t="shared" si="45"/>
        <v>-21.476166666666668</v>
      </c>
      <c r="AG95" s="4">
        <f t="shared" si="46"/>
        <v>-21.467416666666665</v>
      </c>
      <c r="AH95" s="4">
        <f t="shared" si="47"/>
        <v>-21.521833333333333</v>
      </c>
      <c r="AI95" s="4">
        <f t="shared" si="48"/>
        <v>-21.532083333333333</v>
      </c>
      <c r="AJ95" s="4">
        <f t="shared" si="49"/>
        <v>-21.465</v>
      </c>
      <c r="AK95" s="4">
        <f t="shared" si="50"/>
        <v>-21.491499999999998</v>
      </c>
      <c r="AL95"/>
      <c r="AN95" s="4">
        <f t="shared" si="51"/>
        <v>7.4166666666677372E-3</v>
      </c>
      <c r="AO95" s="4">
        <f t="shared" si="52"/>
        <v>1.6833333333334366E-2</v>
      </c>
      <c r="AP95" s="4">
        <f t="shared" si="53"/>
        <v>2.9499999999998749E-2</v>
      </c>
      <c r="AQ95" s="4">
        <f t="shared" si="54"/>
        <v>1.38333333333307E-2</v>
      </c>
      <c r="AR95" s="4">
        <f t="shared" si="55"/>
        <v>2.25833333333334E-2</v>
      </c>
      <c r="AS95" s="4">
        <f t="shared" si="56"/>
        <v>-3.1833333333334934E-2</v>
      </c>
      <c r="AT95" s="4">
        <f t="shared" si="57"/>
        <v>-4.2083333333334139E-2</v>
      </c>
      <c r="AU95" s="4">
        <f t="shared" si="58"/>
        <v>2.4999999999998579E-2</v>
      </c>
      <c r="AV95" s="4">
        <f t="shared" si="59"/>
        <v>-1.5000000000000568E-3</v>
      </c>
    </row>
    <row r="96" spans="1:48" x14ac:dyDescent="0.25">
      <c r="A96" s="18">
        <v>102</v>
      </c>
      <c r="B96" s="19">
        <v>43581</v>
      </c>
      <c r="C96" s="20">
        <v>0.47961805555555559</v>
      </c>
      <c r="D96" s="18">
        <v>-21.56</v>
      </c>
      <c r="E96" s="18">
        <v>-21.56</v>
      </c>
      <c r="F96" s="18">
        <v>-21.5</v>
      </c>
      <c r="G96" s="18">
        <v>-21.56</v>
      </c>
      <c r="H96" s="18">
        <v>-21.69</v>
      </c>
      <c r="I96" s="18">
        <v>-21.69</v>
      </c>
      <c r="J96" s="18">
        <v>-21.25</v>
      </c>
      <c r="K96" s="18">
        <v>-21.31</v>
      </c>
      <c r="L96" s="18">
        <v>-21.81</v>
      </c>
      <c r="M96" s="18">
        <v>25</v>
      </c>
      <c r="N96" s="29">
        <v>-21.5</v>
      </c>
      <c r="O96" s="4">
        <f>N96-'Sonde étalon'!$C$12</f>
        <v>-21.5</v>
      </c>
      <c r="R96" s="4">
        <f t="shared" si="33"/>
        <v>-5.9999999999998721E-2</v>
      </c>
      <c r="S96" s="4">
        <f t="shared" si="34"/>
        <v>-5.9999999999998721E-2</v>
      </c>
      <c r="T96" s="4">
        <f t="shared" si="35"/>
        <v>0</v>
      </c>
      <c r="U96" s="4">
        <f t="shared" si="36"/>
        <v>-5.9999999999998721E-2</v>
      </c>
      <c r="V96" s="4">
        <f t="shared" si="37"/>
        <v>-0.19000000000000128</v>
      </c>
      <c r="W96" s="4">
        <f t="shared" si="38"/>
        <v>-0.19000000000000128</v>
      </c>
      <c r="X96" s="4">
        <f t="shared" si="39"/>
        <v>0.25</v>
      </c>
      <c r="Y96" s="4">
        <f t="shared" si="40"/>
        <v>0.19000000000000128</v>
      </c>
      <c r="Z96" s="4">
        <f t="shared" si="41"/>
        <v>-0.30999999999999872</v>
      </c>
      <c r="AC96" s="4">
        <f t="shared" si="42"/>
        <v>-21.482583333333331</v>
      </c>
      <c r="AD96" s="4">
        <f t="shared" si="43"/>
        <v>-21.473166666666664</v>
      </c>
      <c r="AE96" s="4">
        <f t="shared" si="44"/>
        <v>-21.520499999999998</v>
      </c>
      <c r="AF96" s="4">
        <f t="shared" si="45"/>
        <v>-21.536166666666666</v>
      </c>
      <c r="AG96" s="4">
        <f t="shared" si="46"/>
        <v>-21.527416666666667</v>
      </c>
      <c r="AH96" s="4">
        <f t="shared" si="47"/>
        <v>-21.521833333333333</v>
      </c>
      <c r="AI96" s="4">
        <f t="shared" si="48"/>
        <v>-21.472083333333334</v>
      </c>
      <c r="AJ96" s="4">
        <f t="shared" si="49"/>
        <v>-21.465</v>
      </c>
      <c r="AK96" s="4">
        <f t="shared" si="50"/>
        <v>-21.491499999999998</v>
      </c>
      <c r="AL96"/>
      <c r="AN96" s="4">
        <f t="shared" si="51"/>
        <v>1.74166666666693E-2</v>
      </c>
      <c r="AO96" s="4">
        <f t="shared" si="52"/>
        <v>2.6833333333335929E-2</v>
      </c>
      <c r="AP96" s="4">
        <f t="shared" si="53"/>
        <v>-2.0499999999998408E-2</v>
      </c>
      <c r="AQ96" s="4">
        <f t="shared" si="54"/>
        <v>-3.6166666666666458E-2</v>
      </c>
      <c r="AR96" s="4">
        <f t="shared" si="55"/>
        <v>-2.7416666666667311E-2</v>
      </c>
      <c r="AS96" s="4">
        <f t="shared" si="56"/>
        <v>-2.1833333333333371E-2</v>
      </c>
      <c r="AT96" s="4">
        <f t="shared" si="57"/>
        <v>2.7916666666666146E-2</v>
      </c>
      <c r="AU96" s="4">
        <f t="shared" si="58"/>
        <v>3.5000000000000142E-2</v>
      </c>
      <c r="AV96" s="4">
        <f t="shared" si="59"/>
        <v>8.5000000000015064E-3</v>
      </c>
    </row>
    <row r="97" spans="1:48" x14ac:dyDescent="0.25">
      <c r="A97" s="18">
        <v>103</v>
      </c>
      <c r="B97" s="19">
        <v>43581</v>
      </c>
      <c r="C97" s="20">
        <v>0.48031249999999998</v>
      </c>
      <c r="D97" s="18">
        <v>-21.56</v>
      </c>
      <c r="E97" s="18">
        <v>-21.63</v>
      </c>
      <c r="F97" s="18">
        <v>-21.5</v>
      </c>
      <c r="G97" s="18">
        <v>-21.56</v>
      </c>
      <c r="H97" s="18">
        <v>-21.69</v>
      </c>
      <c r="I97" s="18">
        <v>-21.69</v>
      </c>
      <c r="J97" s="18">
        <v>-21.31</v>
      </c>
      <c r="K97" s="18">
        <v>-21.38</v>
      </c>
      <c r="L97" s="18">
        <v>-21.81</v>
      </c>
      <c r="M97" s="18">
        <v>25</v>
      </c>
      <c r="N97" s="29">
        <v>-21.5</v>
      </c>
      <c r="O97" s="4">
        <f>N97-'Sonde étalon'!$C$12</f>
        <v>-21.5</v>
      </c>
      <c r="R97" s="4">
        <f t="shared" si="33"/>
        <v>-5.9999999999998721E-2</v>
      </c>
      <c r="S97" s="4">
        <f t="shared" si="34"/>
        <v>-0.12999999999999901</v>
      </c>
      <c r="T97" s="4">
        <f t="shared" si="35"/>
        <v>0</v>
      </c>
      <c r="U97" s="4">
        <f t="shared" si="36"/>
        <v>-5.9999999999998721E-2</v>
      </c>
      <c r="V97" s="4">
        <f t="shared" si="37"/>
        <v>-0.19000000000000128</v>
      </c>
      <c r="W97" s="4">
        <f t="shared" si="38"/>
        <v>-0.19000000000000128</v>
      </c>
      <c r="X97" s="4">
        <f t="shared" si="39"/>
        <v>0.19000000000000128</v>
      </c>
      <c r="Y97" s="4">
        <f t="shared" si="40"/>
        <v>0.12000000000000099</v>
      </c>
      <c r="Z97" s="4">
        <f t="shared" si="41"/>
        <v>-0.30999999999999872</v>
      </c>
      <c r="AC97" s="4">
        <f t="shared" si="42"/>
        <v>-21.482583333333331</v>
      </c>
      <c r="AD97" s="4">
        <f t="shared" si="43"/>
        <v>-21.543166666666664</v>
      </c>
      <c r="AE97" s="4">
        <f t="shared" si="44"/>
        <v>-21.520499999999998</v>
      </c>
      <c r="AF97" s="4">
        <f t="shared" si="45"/>
        <v>-21.536166666666666</v>
      </c>
      <c r="AG97" s="4">
        <f t="shared" si="46"/>
        <v>-21.527416666666667</v>
      </c>
      <c r="AH97" s="4">
        <f t="shared" si="47"/>
        <v>-21.521833333333333</v>
      </c>
      <c r="AI97" s="4">
        <f t="shared" si="48"/>
        <v>-21.532083333333333</v>
      </c>
      <c r="AJ97" s="4">
        <f t="shared" si="49"/>
        <v>-21.535</v>
      </c>
      <c r="AK97" s="4">
        <f t="shared" si="50"/>
        <v>-21.491499999999998</v>
      </c>
      <c r="AL97"/>
      <c r="AN97" s="4">
        <f t="shared" si="51"/>
        <v>1.74166666666693E-2</v>
      </c>
      <c r="AO97" s="4">
        <f t="shared" si="52"/>
        <v>-4.3166666666664355E-2</v>
      </c>
      <c r="AP97" s="4">
        <f t="shared" si="53"/>
        <v>-2.0499999999998408E-2</v>
      </c>
      <c r="AQ97" s="4">
        <f t="shared" si="54"/>
        <v>-3.6166666666666458E-2</v>
      </c>
      <c r="AR97" s="4">
        <f t="shared" si="55"/>
        <v>-2.7416666666667311E-2</v>
      </c>
      <c r="AS97" s="4">
        <f t="shared" si="56"/>
        <v>-2.1833333333333371E-2</v>
      </c>
      <c r="AT97" s="4">
        <f t="shared" si="57"/>
        <v>-3.2083333333332575E-2</v>
      </c>
      <c r="AU97" s="4">
        <f t="shared" si="58"/>
        <v>-3.5000000000000142E-2</v>
      </c>
      <c r="AV97" s="4">
        <f t="shared" si="59"/>
        <v>8.5000000000015064E-3</v>
      </c>
    </row>
    <row r="98" spans="1:48" x14ac:dyDescent="0.25">
      <c r="A98" s="18">
        <v>104</v>
      </c>
      <c r="B98" s="19">
        <v>43581</v>
      </c>
      <c r="C98" s="20">
        <v>0.48100694444444447</v>
      </c>
      <c r="D98" s="18">
        <v>-21.56</v>
      </c>
      <c r="E98" s="18">
        <v>-21.63</v>
      </c>
      <c r="F98" s="18">
        <v>-21.5</v>
      </c>
      <c r="G98" s="18">
        <v>-21.56</v>
      </c>
      <c r="H98" s="18">
        <v>-21.69</v>
      </c>
      <c r="I98" s="18">
        <v>-21.69</v>
      </c>
      <c r="J98" s="18">
        <v>-21.31</v>
      </c>
      <c r="K98" s="18">
        <v>-21.38</v>
      </c>
      <c r="L98" s="18">
        <v>-21.81</v>
      </c>
      <c r="M98" s="18">
        <v>25</v>
      </c>
      <c r="N98" s="29">
        <v>-21.5</v>
      </c>
      <c r="O98" s="4">
        <f>N98-'Sonde étalon'!$C$12</f>
        <v>-21.5</v>
      </c>
      <c r="R98" s="4">
        <f t="shared" si="33"/>
        <v>-5.9999999999998721E-2</v>
      </c>
      <c r="S98" s="4">
        <f t="shared" si="34"/>
        <v>-0.12999999999999901</v>
      </c>
      <c r="T98" s="4">
        <f t="shared" si="35"/>
        <v>0</v>
      </c>
      <c r="U98" s="4">
        <f t="shared" si="36"/>
        <v>-5.9999999999998721E-2</v>
      </c>
      <c r="V98" s="4">
        <f t="shared" si="37"/>
        <v>-0.19000000000000128</v>
      </c>
      <c r="W98" s="4">
        <f t="shared" si="38"/>
        <v>-0.19000000000000128</v>
      </c>
      <c r="X98" s="4">
        <f t="shared" si="39"/>
        <v>0.19000000000000128</v>
      </c>
      <c r="Y98" s="4">
        <f t="shared" si="40"/>
        <v>0.12000000000000099</v>
      </c>
      <c r="Z98" s="4">
        <f t="shared" si="41"/>
        <v>-0.30999999999999872</v>
      </c>
      <c r="AC98" s="4">
        <f t="shared" si="42"/>
        <v>-21.482583333333331</v>
      </c>
      <c r="AD98" s="4">
        <f t="shared" si="43"/>
        <v>-21.543166666666664</v>
      </c>
      <c r="AE98" s="4">
        <f t="shared" si="44"/>
        <v>-21.520499999999998</v>
      </c>
      <c r="AF98" s="4">
        <f t="shared" si="45"/>
        <v>-21.536166666666666</v>
      </c>
      <c r="AG98" s="4">
        <f t="shared" si="46"/>
        <v>-21.527416666666667</v>
      </c>
      <c r="AH98" s="4">
        <f t="shared" si="47"/>
        <v>-21.521833333333333</v>
      </c>
      <c r="AI98" s="4">
        <f t="shared" si="48"/>
        <v>-21.532083333333333</v>
      </c>
      <c r="AJ98" s="4">
        <f t="shared" si="49"/>
        <v>-21.535</v>
      </c>
      <c r="AK98" s="4">
        <f t="shared" si="50"/>
        <v>-21.491499999999998</v>
      </c>
      <c r="AL98"/>
      <c r="AN98" s="4">
        <f t="shared" si="51"/>
        <v>1.74166666666693E-2</v>
      </c>
      <c r="AO98" s="4">
        <f t="shared" si="52"/>
        <v>-4.3166666666664355E-2</v>
      </c>
      <c r="AP98" s="4">
        <f t="shared" si="53"/>
        <v>-2.0499999999998408E-2</v>
      </c>
      <c r="AQ98" s="4">
        <f t="shared" si="54"/>
        <v>-3.6166666666666458E-2</v>
      </c>
      <c r="AR98" s="4">
        <f t="shared" si="55"/>
        <v>-2.7416666666667311E-2</v>
      </c>
      <c r="AS98" s="4">
        <f t="shared" si="56"/>
        <v>-2.1833333333333371E-2</v>
      </c>
      <c r="AT98" s="4">
        <f t="shared" si="57"/>
        <v>-3.2083333333332575E-2</v>
      </c>
      <c r="AU98" s="4">
        <f t="shared" si="58"/>
        <v>-3.5000000000000142E-2</v>
      </c>
      <c r="AV98" s="4">
        <f t="shared" si="59"/>
        <v>8.5000000000015064E-3</v>
      </c>
    </row>
    <row r="99" spans="1:48" x14ac:dyDescent="0.25">
      <c r="A99" s="18">
        <v>105</v>
      </c>
      <c r="B99" s="19">
        <v>43581</v>
      </c>
      <c r="C99" s="20">
        <v>0.48170138888888886</v>
      </c>
      <c r="D99" s="18">
        <v>-21.56</v>
      </c>
      <c r="E99" s="18">
        <v>-21.63</v>
      </c>
      <c r="F99" s="18">
        <v>-21.5</v>
      </c>
      <c r="G99" s="18">
        <v>-21.56</v>
      </c>
      <c r="H99" s="18">
        <v>-21.69</v>
      </c>
      <c r="I99" s="18">
        <v>-21.69</v>
      </c>
      <c r="J99" s="18">
        <v>-21.31</v>
      </c>
      <c r="K99" s="18">
        <v>-21.38</v>
      </c>
      <c r="L99" s="18">
        <v>-21.81</v>
      </c>
      <c r="M99" s="18">
        <v>25</v>
      </c>
      <c r="N99" s="29">
        <v>-21.51</v>
      </c>
      <c r="O99" s="4">
        <f>N99-'Sonde étalon'!$C$12</f>
        <v>-21.51</v>
      </c>
      <c r="R99" s="4">
        <f t="shared" si="33"/>
        <v>-4.9999999999997158E-2</v>
      </c>
      <c r="S99" s="4">
        <f t="shared" si="34"/>
        <v>-0.11999999999999744</v>
      </c>
      <c r="T99" s="4">
        <f t="shared" si="35"/>
        <v>1.0000000000001563E-2</v>
      </c>
      <c r="U99" s="4">
        <f t="shared" si="36"/>
        <v>-4.9999999999997158E-2</v>
      </c>
      <c r="V99" s="4">
        <f t="shared" si="37"/>
        <v>-0.17999999999999972</v>
      </c>
      <c r="W99" s="4">
        <f t="shared" si="38"/>
        <v>-0.17999999999999972</v>
      </c>
      <c r="X99" s="4">
        <f t="shared" si="39"/>
        <v>0.20000000000000284</v>
      </c>
      <c r="Y99" s="4">
        <f t="shared" si="40"/>
        <v>0.13000000000000256</v>
      </c>
      <c r="Z99" s="4">
        <f t="shared" si="41"/>
        <v>-0.29999999999999716</v>
      </c>
      <c r="AC99" s="4">
        <f t="shared" si="42"/>
        <v>-21.482583333333331</v>
      </c>
      <c r="AD99" s="4">
        <f t="shared" si="43"/>
        <v>-21.543166666666664</v>
      </c>
      <c r="AE99" s="4">
        <f t="shared" si="44"/>
        <v>-21.520499999999998</v>
      </c>
      <c r="AF99" s="4">
        <f t="shared" si="45"/>
        <v>-21.536166666666666</v>
      </c>
      <c r="AG99" s="4">
        <f t="shared" si="46"/>
        <v>-21.527416666666667</v>
      </c>
      <c r="AH99" s="4">
        <f t="shared" si="47"/>
        <v>-21.521833333333333</v>
      </c>
      <c r="AI99" s="4">
        <f t="shared" si="48"/>
        <v>-21.532083333333333</v>
      </c>
      <c r="AJ99" s="4">
        <f t="shared" si="49"/>
        <v>-21.535</v>
      </c>
      <c r="AK99" s="4">
        <f t="shared" si="50"/>
        <v>-21.491499999999998</v>
      </c>
      <c r="AL99"/>
      <c r="AN99" s="4">
        <f t="shared" si="51"/>
        <v>2.7416666666670864E-2</v>
      </c>
      <c r="AO99" s="4">
        <f t="shared" si="52"/>
        <v>-3.3166666666662792E-2</v>
      </c>
      <c r="AP99" s="4">
        <f t="shared" si="53"/>
        <v>-1.0499999999996845E-2</v>
      </c>
      <c r="AQ99" s="4">
        <f t="shared" si="54"/>
        <v>-2.6166666666664895E-2</v>
      </c>
      <c r="AR99" s="4">
        <f t="shared" si="55"/>
        <v>-1.7416666666665748E-2</v>
      </c>
      <c r="AS99" s="4">
        <f t="shared" si="56"/>
        <v>-1.1833333333331808E-2</v>
      </c>
      <c r="AT99" s="4">
        <f t="shared" si="57"/>
        <v>-2.2083333333331012E-2</v>
      </c>
      <c r="AU99" s="4">
        <f t="shared" si="58"/>
        <v>-2.4999999999998579E-2</v>
      </c>
      <c r="AV99" s="4">
        <f t="shared" si="59"/>
        <v>1.850000000000307E-2</v>
      </c>
    </row>
    <row r="100" spans="1:48" x14ac:dyDescent="0.25">
      <c r="A100" s="18">
        <v>106</v>
      </c>
      <c r="B100" s="19">
        <v>43581</v>
      </c>
      <c r="C100" s="20">
        <v>0.48239583333333336</v>
      </c>
      <c r="D100" s="18">
        <v>-21.56</v>
      </c>
      <c r="E100" s="18">
        <v>-21.63</v>
      </c>
      <c r="F100" s="18">
        <v>-21.5</v>
      </c>
      <c r="G100" s="18">
        <v>-21.56</v>
      </c>
      <c r="H100" s="18">
        <v>-21.69</v>
      </c>
      <c r="I100" s="18">
        <v>-21.69</v>
      </c>
      <c r="J100" s="18">
        <v>-21.31</v>
      </c>
      <c r="K100" s="18">
        <v>-21.38</v>
      </c>
      <c r="L100" s="18">
        <v>-21.81</v>
      </c>
      <c r="M100" s="18">
        <v>25</v>
      </c>
      <c r="N100" s="29">
        <v>-21.52</v>
      </c>
      <c r="O100" s="4">
        <f>N100-'Sonde étalon'!$C$12</f>
        <v>-21.52</v>
      </c>
      <c r="R100" s="4">
        <f t="shared" si="33"/>
        <v>-3.9999999999999147E-2</v>
      </c>
      <c r="S100" s="4">
        <f t="shared" si="34"/>
        <v>-0.10999999999999943</v>
      </c>
      <c r="T100" s="4">
        <f t="shared" si="35"/>
        <v>1.9999999999999574E-2</v>
      </c>
      <c r="U100" s="4">
        <f t="shared" si="36"/>
        <v>-3.9999999999999147E-2</v>
      </c>
      <c r="V100" s="4">
        <f t="shared" si="37"/>
        <v>-0.17000000000000171</v>
      </c>
      <c r="W100" s="4">
        <f t="shared" si="38"/>
        <v>-0.17000000000000171</v>
      </c>
      <c r="X100" s="4">
        <f t="shared" si="39"/>
        <v>0.21000000000000085</v>
      </c>
      <c r="Y100" s="4">
        <f t="shared" si="40"/>
        <v>0.14000000000000057</v>
      </c>
      <c r="Z100" s="4">
        <f t="shared" si="41"/>
        <v>-0.28999999999999915</v>
      </c>
      <c r="AC100" s="4">
        <f t="shared" si="42"/>
        <v>-21.482583333333331</v>
      </c>
      <c r="AD100" s="4">
        <f t="shared" si="43"/>
        <v>-21.543166666666664</v>
      </c>
      <c r="AE100" s="4">
        <f t="shared" si="44"/>
        <v>-21.520499999999998</v>
      </c>
      <c r="AF100" s="4">
        <f t="shared" si="45"/>
        <v>-21.536166666666666</v>
      </c>
      <c r="AG100" s="4">
        <f t="shared" si="46"/>
        <v>-21.527416666666667</v>
      </c>
      <c r="AH100" s="4">
        <f t="shared" si="47"/>
        <v>-21.521833333333333</v>
      </c>
      <c r="AI100" s="4">
        <f t="shared" si="48"/>
        <v>-21.532083333333333</v>
      </c>
      <c r="AJ100" s="4">
        <f t="shared" si="49"/>
        <v>-21.535</v>
      </c>
      <c r="AK100" s="4">
        <f t="shared" si="50"/>
        <v>-21.491499999999998</v>
      </c>
      <c r="AL100"/>
      <c r="AN100" s="4">
        <f t="shared" si="51"/>
        <v>3.7416666666668874E-2</v>
      </c>
      <c r="AO100" s="4">
        <f t="shared" si="52"/>
        <v>-2.3166666666664781E-2</v>
      </c>
      <c r="AP100" s="4">
        <f t="shared" si="53"/>
        <v>-4.9999999999883471E-4</v>
      </c>
      <c r="AQ100" s="4">
        <f t="shared" si="54"/>
        <v>-1.6166666666666885E-2</v>
      </c>
      <c r="AR100" s="4">
        <f t="shared" si="55"/>
        <v>-7.4166666666677372E-3</v>
      </c>
      <c r="AS100" s="4">
        <f t="shared" si="56"/>
        <v>-1.8333333333337976E-3</v>
      </c>
      <c r="AT100" s="4">
        <f t="shared" si="57"/>
        <v>-1.2083333333333002E-2</v>
      </c>
      <c r="AU100" s="4">
        <f t="shared" si="58"/>
        <v>-1.5000000000000568E-2</v>
      </c>
      <c r="AV100" s="4">
        <f t="shared" si="59"/>
        <v>2.850000000000108E-2</v>
      </c>
    </row>
    <row r="101" spans="1:48" x14ac:dyDescent="0.25">
      <c r="A101" s="18">
        <v>107</v>
      </c>
      <c r="B101" s="19">
        <v>43581</v>
      </c>
      <c r="C101" s="20">
        <v>0.48309027777777774</v>
      </c>
      <c r="D101" s="18">
        <v>-21.63</v>
      </c>
      <c r="E101" s="18">
        <v>-21.56</v>
      </c>
      <c r="F101" s="18">
        <v>-21.5</v>
      </c>
      <c r="G101" s="18">
        <v>-21.56</v>
      </c>
      <c r="H101" s="18">
        <v>-21.69</v>
      </c>
      <c r="I101" s="18">
        <v>-21.69</v>
      </c>
      <c r="J101" s="18">
        <v>-21.31</v>
      </c>
      <c r="K101" s="18">
        <v>-21.38</v>
      </c>
      <c r="L101" s="18">
        <v>-21.81</v>
      </c>
      <c r="M101" s="18">
        <v>25</v>
      </c>
      <c r="N101" s="29">
        <v>-21.52</v>
      </c>
      <c r="O101" s="4">
        <f>N101-'Sonde étalon'!$C$12</f>
        <v>-21.52</v>
      </c>
      <c r="R101" s="4">
        <f t="shared" si="33"/>
        <v>-0.10999999999999943</v>
      </c>
      <c r="S101" s="4">
        <f t="shared" si="34"/>
        <v>-3.9999999999999147E-2</v>
      </c>
      <c r="T101" s="4">
        <f t="shared" si="35"/>
        <v>1.9999999999999574E-2</v>
      </c>
      <c r="U101" s="4">
        <f t="shared" si="36"/>
        <v>-3.9999999999999147E-2</v>
      </c>
      <c r="V101" s="4">
        <f t="shared" si="37"/>
        <v>-0.17000000000000171</v>
      </c>
      <c r="W101" s="4">
        <f t="shared" si="38"/>
        <v>-0.17000000000000171</v>
      </c>
      <c r="X101" s="4">
        <f t="shared" si="39"/>
        <v>0.21000000000000085</v>
      </c>
      <c r="Y101" s="4">
        <f t="shared" si="40"/>
        <v>0.14000000000000057</v>
      </c>
      <c r="Z101" s="4">
        <f t="shared" si="41"/>
        <v>-0.28999999999999915</v>
      </c>
      <c r="AC101" s="4">
        <f t="shared" si="42"/>
        <v>-21.552583333333331</v>
      </c>
      <c r="AD101" s="4">
        <f t="shared" si="43"/>
        <v>-21.473166666666664</v>
      </c>
      <c r="AE101" s="4">
        <f t="shared" si="44"/>
        <v>-21.520499999999998</v>
      </c>
      <c r="AF101" s="4">
        <f t="shared" si="45"/>
        <v>-21.536166666666666</v>
      </c>
      <c r="AG101" s="4">
        <f t="shared" si="46"/>
        <v>-21.527416666666667</v>
      </c>
      <c r="AH101" s="4">
        <f t="shared" si="47"/>
        <v>-21.521833333333333</v>
      </c>
      <c r="AI101" s="4">
        <f t="shared" si="48"/>
        <v>-21.532083333333333</v>
      </c>
      <c r="AJ101" s="4">
        <f t="shared" si="49"/>
        <v>-21.535</v>
      </c>
      <c r="AK101" s="4">
        <f t="shared" si="50"/>
        <v>-21.491499999999998</v>
      </c>
      <c r="AL101"/>
      <c r="AN101" s="4">
        <f t="shared" si="51"/>
        <v>-3.258333333333141E-2</v>
      </c>
      <c r="AO101" s="4">
        <f t="shared" si="52"/>
        <v>4.6833333333335503E-2</v>
      </c>
      <c r="AP101" s="4">
        <f t="shared" si="53"/>
        <v>-4.9999999999883471E-4</v>
      </c>
      <c r="AQ101" s="4">
        <f t="shared" si="54"/>
        <v>-1.6166666666666885E-2</v>
      </c>
      <c r="AR101" s="4">
        <f t="shared" si="55"/>
        <v>-7.4166666666677372E-3</v>
      </c>
      <c r="AS101" s="4">
        <f t="shared" si="56"/>
        <v>-1.8333333333337976E-3</v>
      </c>
      <c r="AT101" s="4">
        <f t="shared" si="57"/>
        <v>-1.2083333333333002E-2</v>
      </c>
      <c r="AU101" s="4">
        <f t="shared" si="58"/>
        <v>-1.5000000000000568E-2</v>
      </c>
      <c r="AV101" s="4">
        <f t="shared" si="59"/>
        <v>2.850000000000108E-2</v>
      </c>
    </row>
    <row r="102" spans="1:48" x14ac:dyDescent="0.25">
      <c r="A102" s="18">
        <v>108</v>
      </c>
      <c r="B102" s="19">
        <v>43581</v>
      </c>
      <c r="C102" s="20">
        <v>0.48378472222222224</v>
      </c>
      <c r="D102" s="18">
        <v>-21.56</v>
      </c>
      <c r="E102" s="18">
        <v>-21.63</v>
      </c>
      <c r="F102" s="18">
        <v>-21.5</v>
      </c>
      <c r="G102" s="18">
        <v>-21.56</v>
      </c>
      <c r="H102" s="18">
        <v>-21.69</v>
      </c>
      <c r="I102" s="18">
        <v>-21.69</v>
      </c>
      <c r="J102" s="18">
        <v>-21.31</v>
      </c>
      <c r="K102" s="18">
        <v>-21.38</v>
      </c>
      <c r="L102" s="18">
        <v>-21.81</v>
      </c>
      <c r="M102" s="18">
        <v>25</v>
      </c>
      <c r="N102" s="29">
        <v>-21.53</v>
      </c>
      <c r="O102" s="4">
        <f>N102-'Sonde étalon'!$C$12</f>
        <v>-21.53</v>
      </c>
      <c r="R102" s="4">
        <f t="shared" si="33"/>
        <v>-2.9999999999997584E-2</v>
      </c>
      <c r="S102" s="4">
        <f t="shared" si="34"/>
        <v>-9.9999999999997868E-2</v>
      </c>
      <c r="T102" s="4">
        <f t="shared" si="35"/>
        <v>3.0000000000001137E-2</v>
      </c>
      <c r="U102" s="4">
        <f t="shared" si="36"/>
        <v>-2.9999999999997584E-2</v>
      </c>
      <c r="V102" s="4">
        <f t="shared" si="37"/>
        <v>-0.16000000000000014</v>
      </c>
      <c r="W102" s="4">
        <f t="shared" si="38"/>
        <v>-0.16000000000000014</v>
      </c>
      <c r="X102" s="4">
        <f t="shared" si="39"/>
        <v>0.22000000000000242</v>
      </c>
      <c r="Y102" s="4">
        <f t="shared" si="40"/>
        <v>0.15000000000000213</v>
      </c>
      <c r="Z102" s="4">
        <f t="shared" si="41"/>
        <v>-0.27999999999999758</v>
      </c>
      <c r="AC102" s="4">
        <f t="shared" si="42"/>
        <v>-21.482583333333331</v>
      </c>
      <c r="AD102" s="4">
        <f t="shared" si="43"/>
        <v>-21.543166666666664</v>
      </c>
      <c r="AE102" s="4">
        <f t="shared" si="44"/>
        <v>-21.520499999999998</v>
      </c>
      <c r="AF102" s="4">
        <f t="shared" si="45"/>
        <v>-21.536166666666666</v>
      </c>
      <c r="AG102" s="4">
        <f t="shared" si="46"/>
        <v>-21.527416666666667</v>
      </c>
      <c r="AH102" s="4">
        <f t="shared" si="47"/>
        <v>-21.521833333333333</v>
      </c>
      <c r="AI102" s="4">
        <f t="shared" si="48"/>
        <v>-21.532083333333333</v>
      </c>
      <c r="AJ102" s="4">
        <f t="shared" si="49"/>
        <v>-21.535</v>
      </c>
      <c r="AK102" s="4">
        <f t="shared" si="50"/>
        <v>-21.491499999999998</v>
      </c>
      <c r="AL102"/>
      <c r="AN102" s="4">
        <f t="shared" si="51"/>
        <v>4.7416666666670437E-2</v>
      </c>
      <c r="AO102" s="4">
        <f t="shared" si="52"/>
        <v>-1.3166666666663218E-2</v>
      </c>
      <c r="AP102" s="4">
        <f t="shared" si="53"/>
        <v>9.5000000000027285E-3</v>
      </c>
      <c r="AQ102" s="4">
        <f t="shared" si="54"/>
        <v>-6.1666666666653214E-3</v>
      </c>
      <c r="AR102" s="4">
        <f t="shared" si="55"/>
        <v>2.583333333333826E-3</v>
      </c>
      <c r="AS102" s="4">
        <f t="shared" si="56"/>
        <v>8.1666666666677656E-3</v>
      </c>
      <c r="AT102" s="4">
        <f t="shared" si="57"/>
        <v>-2.0833333333314386E-3</v>
      </c>
      <c r="AU102" s="4">
        <f t="shared" si="58"/>
        <v>-4.9999999999990052E-3</v>
      </c>
      <c r="AV102" s="4">
        <f t="shared" si="59"/>
        <v>3.8500000000002643E-2</v>
      </c>
    </row>
    <row r="103" spans="1:48" x14ac:dyDescent="0.25">
      <c r="A103" s="18">
        <v>109</v>
      </c>
      <c r="B103" s="19">
        <v>43581</v>
      </c>
      <c r="C103" s="20">
        <v>0.48447916666666663</v>
      </c>
      <c r="D103" s="18">
        <v>-21.56</v>
      </c>
      <c r="E103" s="18">
        <v>-21.63</v>
      </c>
      <c r="F103" s="18">
        <v>-21.5</v>
      </c>
      <c r="G103" s="18">
        <v>-21.56</v>
      </c>
      <c r="H103" s="18">
        <v>-21.69</v>
      </c>
      <c r="I103" s="18">
        <v>-21.69</v>
      </c>
      <c r="J103" s="18">
        <v>-21.31</v>
      </c>
      <c r="K103" s="18">
        <v>-21.38</v>
      </c>
      <c r="L103" s="18">
        <v>-21.81</v>
      </c>
      <c r="M103" s="18">
        <v>25</v>
      </c>
      <c r="N103" s="29">
        <v>-21.53</v>
      </c>
      <c r="O103" s="4">
        <f>N103-'Sonde étalon'!$C$12</f>
        <v>-21.53</v>
      </c>
      <c r="R103" s="4">
        <f t="shared" si="33"/>
        <v>-2.9999999999997584E-2</v>
      </c>
      <c r="S103" s="4">
        <f t="shared" si="34"/>
        <v>-9.9999999999997868E-2</v>
      </c>
      <c r="T103" s="4">
        <f t="shared" si="35"/>
        <v>3.0000000000001137E-2</v>
      </c>
      <c r="U103" s="4">
        <f t="shared" si="36"/>
        <v>-2.9999999999997584E-2</v>
      </c>
      <c r="V103" s="4">
        <f t="shared" si="37"/>
        <v>-0.16000000000000014</v>
      </c>
      <c r="W103" s="4">
        <f t="shared" si="38"/>
        <v>-0.16000000000000014</v>
      </c>
      <c r="X103" s="4">
        <f t="shared" si="39"/>
        <v>0.22000000000000242</v>
      </c>
      <c r="Y103" s="4">
        <f t="shared" si="40"/>
        <v>0.15000000000000213</v>
      </c>
      <c r="Z103" s="4">
        <f t="shared" si="41"/>
        <v>-0.27999999999999758</v>
      </c>
      <c r="AC103" s="4">
        <f t="shared" si="42"/>
        <v>-21.482583333333331</v>
      </c>
      <c r="AD103" s="4">
        <f t="shared" si="43"/>
        <v>-21.543166666666664</v>
      </c>
      <c r="AE103" s="4">
        <f t="shared" si="44"/>
        <v>-21.520499999999998</v>
      </c>
      <c r="AF103" s="4">
        <f t="shared" si="45"/>
        <v>-21.536166666666666</v>
      </c>
      <c r="AG103" s="4">
        <f t="shared" si="46"/>
        <v>-21.527416666666667</v>
      </c>
      <c r="AH103" s="4">
        <f t="shared" si="47"/>
        <v>-21.521833333333333</v>
      </c>
      <c r="AI103" s="4">
        <f t="shared" si="48"/>
        <v>-21.532083333333333</v>
      </c>
      <c r="AJ103" s="4">
        <f t="shared" si="49"/>
        <v>-21.535</v>
      </c>
      <c r="AK103" s="4">
        <f t="shared" si="50"/>
        <v>-21.491499999999998</v>
      </c>
      <c r="AL103"/>
      <c r="AN103" s="4">
        <f t="shared" si="51"/>
        <v>4.7416666666670437E-2</v>
      </c>
      <c r="AO103" s="4">
        <f t="shared" si="52"/>
        <v>-1.3166666666663218E-2</v>
      </c>
      <c r="AP103" s="4">
        <f t="shared" si="53"/>
        <v>9.5000000000027285E-3</v>
      </c>
      <c r="AQ103" s="4">
        <f t="shared" si="54"/>
        <v>-6.1666666666653214E-3</v>
      </c>
      <c r="AR103" s="4">
        <f t="shared" si="55"/>
        <v>2.583333333333826E-3</v>
      </c>
      <c r="AS103" s="4">
        <f t="shared" si="56"/>
        <v>8.1666666666677656E-3</v>
      </c>
      <c r="AT103" s="4">
        <f t="shared" si="57"/>
        <v>-2.0833333333314386E-3</v>
      </c>
      <c r="AU103" s="4">
        <f t="shared" si="58"/>
        <v>-4.9999999999990052E-3</v>
      </c>
      <c r="AV103" s="4">
        <f t="shared" si="59"/>
        <v>3.8500000000002643E-2</v>
      </c>
    </row>
    <row r="104" spans="1:48" x14ac:dyDescent="0.25">
      <c r="A104" s="18">
        <v>110</v>
      </c>
      <c r="B104" s="19">
        <v>43581</v>
      </c>
      <c r="C104" s="20">
        <v>0.48517361111111112</v>
      </c>
      <c r="D104" s="18">
        <v>-21.56</v>
      </c>
      <c r="E104" s="18">
        <v>-21.63</v>
      </c>
      <c r="F104" s="18">
        <v>-21.5</v>
      </c>
      <c r="G104" s="18">
        <v>-21.56</v>
      </c>
      <c r="H104" s="18">
        <v>-21.69</v>
      </c>
      <c r="I104" s="18">
        <v>-21.69</v>
      </c>
      <c r="J104" s="18">
        <v>-21.31</v>
      </c>
      <c r="K104" s="18">
        <v>-21.38</v>
      </c>
      <c r="L104" s="18">
        <v>-21.81</v>
      </c>
      <c r="M104" s="18">
        <v>25</v>
      </c>
      <c r="N104" s="29">
        <v>-21.54</v>
      </c>
      <c r="O104" s="4">
        <f>N104-'Sonde étalon'!$C$12</f>
        <v>-21.54</v>
      </c>
      <c r="R104" s="4">
        <f t="shared" si="33"/>
        <v>-1.9999999999999574E-2</v>
      </c>
      <c r="S104" s="4">
        <f t="shared" si="34"/>
        <v>-8.9999999999999858E-2</v>
      </c>
      <c r="T104" s="4">
        <f t="shared" si="35"/>
        <v>3.9999999999999147E-2</v>
      </c>
      <c r="U104" s="4">
        <f t="shared" si="36"/>
        <v>-1.9999999999999574E-2</v>
      </c>
      <c r="V104" s="4">
        <f t="shared" si="37"/>
        <v>-0.15000000000000213</v>
      </c>
      <c r="W104" s="4">
        <f t="shared" si="38"/>
        <v>-0.15000000000000213</v>
      </c>
      <c r="X104" s="4">
        <f t="shared" si="39"/>
        <v>0.23000000000000043</v>
      </c>
      <c r="Y104" s="4">
        <f t="shared" si="40"/>
        <v>0.16000000000000014</v>
      </c>
      <c r="Z104" s="4">
        <f t="shared" si="41"/>
        <v>-0.26999999999999957</v>
      </c>
      <c r="AC104" s="4">
        <f t="shared" si="42"/>
        <v>-21.482583333333331</v>
      </c>
      <c r="AD104" s="4">
        <f t="shared" si="43"/>
        <v>-21.543166666666664</v>
      </c>
      <c r="AE104" s="4">
        <f t="shared" si="44"/>
        <v>-21.520499999999998</v>
      </c>
      <c r="AF104" s="4">
        <f t="shared" si="45"/>
        <v>-21.536166666666666</v>
      </c>
      <c r="AG104" s="4">
        <f t="shared" si="46"/>
        <v>-21.527416666666667</v>
      </c>
      <c r="AH104" s="4">
        <f t="shared" si="47"/>
        <v>-21.521833333333333</v>
      </c>
      <c r="AI104" s="4">
        <f t="shared" si="48"/>
        <v>-21.532083333333333</v>
      </c>
      <c r="AJ104" s="4">
        <f t="shared" si="49"/>
        <v>-21.535</v>
      </c>
      <c r="AK104" s="4">
        <f t="shared" si="50"/>
        <v>-21.491499999999998</v>
      </c>
      <c r="AL104"/>
      <c r="AN104" s="4">
        <f t="shared" si="51"/>
        <v>5.7416666666668448E-2</v>
      </c>
      <c r="AO104" s="4">
        <f t="shared" si="52"/>
        <v>-3.1666666666652077E-3</v>
      </c>
      <c r="AP104" s="4">
        <f t="shared" si="53"/>
        <v>1.9500000000000739E-2</v>
      </c>
      <c r="AQ104" s="4">
        <f t="shared" si="54"/>
        <v>3.8333333333326891E-3</v>
      </c>
      <c r="AR104" s="4">
        <f t="shared" si="55"/>
        <v>1.2583333333331836E-2</v>
      </c>
      <c r="AS104" s="4">
        <f t="shared" si="56"/>
        <v>1.8166666666665776E-2</v>
      </c>
      <c r="AT104" s="4">
        <f t="shared" si="57"/>
        <v>7.9166666666665719E-3</v>
      </c>
      <c r="AU104" s="4">
        <f t="shared" si="58"/>
        <v>4.9999999999990052E-3</v>
      </c>
      <c r="AV104" s="4">
        <f t="shared" si="59"/>
        <v>4.8500000000000654E-2</v>
      </c>
    </row>
    <row r="105" spans="1:48" x14ac:dyDescent="0.25">
      <c r="A105" s="18">
        <v>111</v>
      </c>
      <c r="B105" s="19">
        <v>43581</v>
      </c>
      <c r="C105" s="20">
        <v>0.48586805555555551</v>
      </c>
      <c r="D105" s="18">
        <v>-21.56</v>
      </c>
      <c r="E105" s="18">
        <v>-21.63</v>
      </c>
      <c r="F105" s="18">
        <v>-21.5</v>
      </c>
      <c r="G105" s="18">
        <v>-21.56</v>
      </c>
      <c r="H105" s="18">
        <v>-21.69</v>
      </c>
      <c r="I105" s="18">
        <v>-21.69</v>
      </c>
      <c r="J105" s="18">
        <v>-21.31</v>
      </c>
      <c r="K105" s="18">
        <v>-21.38</v>
      </c>
      <c r="L105" s="18">
        <v>-21.81</v>
      </c>
      <c r="M105" s="18">
        <v>25</v>
      </c>
      <c r="N105" s="29">
        <v>-21.52</v>
      </c>
      <c r="O105" s="4">
        <f>N105-'Sonde étalon'!$C$12</f>
        <v>-21.52</v>
      </c>
      <c r="R105" s="4">
        <f t="shared" si="33"/>
        <v>-3.9999999999999147E-2</v>
      </c>
      <c r="S105" s="4">
        <f t="shared" si="34"/>
        <v>-0.10999999999999943</v>
      </c>
      <c r="T105" s="4">
        <f t="shared" si="35"/>
        <v>1.9999999999999574E-2</v>
      </c>
      <c r="U105" s="4">
        <f t="shared" si="36"/>
        <v>-3.9999999999999147E-2</v>
      </c>
      <c r="V105" s="4">
        <f t="shared" si="37"/>
        <v>-0.17000000000000171</v>
      </c>
      <c r="W105" s="4">
        <f t="shared" si="38"/>
        <v>-0.17000000000000171</v>
      </c>
      <c r="X105" s="4">
        <f t="shared" si="39"/>
        <v>0.21000000000000085</v>
      </c>
      <c r="Y105" s="4">
        <f t="shared" si="40"/>
        <v>0.14000000000000057</v>
      </c>
      <c r="Z105" s="4">
        <f t="shared" si="41"/>
        <v>-0.28999999999999915</v>
      </c>
      <c r="AC105" s="4">
        <f t="shared" si="42"/>
        <v>-21.482583333333331</v>
      </c>
      <c r="AD105" s="4">
        <f t="shared" si="43"/>
        <v>-21.543166666666664</v>
      </c>
      <c r="AE105" s="4">
        <f t="shared" si="44"/>
        <v>-21.520499999999998</v>
      </c>
      <c r="AF105" s="4">
        <f t="shared" si="45"/>
        <v>-21.536166666666666</v>
      </c>
      <c r="AG105" s="4">
        <f t="shared" si="46"/>
        <v>-21.527416666666667</v>
      </c>
      <c r="AH105" s="4">
        <f t="shared" si="47"/>
        <v>-21.521833333333333</v>
      </c>
      <c r="AI105" s="4">
        <f t="shared" si="48"/>
        <v>-21.532083333333333</v>
      </c>
      <c r="AJ105" s="4">
        <f t="shared" si="49"/>
        <v>-21.535</v>
      </c>
      <c r="AK105" s="4">
        <f t="shared" si="50"/>
        <v>-21.491499999999998</v>
      </c>
      <c r="AL105"/>
      <c r="AN105" s="4">
        <f t="shared" si="51"/>
        <v>3.7416666666668874E-2</v>
      </c>
      <c r="AO105" s="4">
        <f t="shared" si="52"/>
        <v>-2.3166666666664781E-2</v>
      </c>
      <c r="AP105" s="4">
        <f t="shared" si="53"/>
        <v>-4.9999999999883471E-4</v>
      </c>
      <c r="AQ105" s="4">
        <f t="shared" si="54"/>
        <v>-1.6166666666666885E-2</v>
      </c>
      <c r="AR105" s="4">
        <f t="shared" si="55"/>
        <v>-7.4166666666677372E-3</v>
      </c>
      <c r="AS105" s="4">
        <f t="shared" si="56"/>
        <v>-1.8333333333337976E-3</v>
      </c>
      <c r="AT105" s="4">
        <f t="shared" si="57"/>
        <v>-1.2083333333333002E-2</v>
      </c>
      <c r="AU105" s="4">
        <f t="shared" si="58"/>
        <v>-1.5000000000000568E-2</v>
      </c>
      <c r="AV105" s="4">
        <f t="shared" si="59"/>
        <v>2.850000000000108E-2</v>
      </c>
    </row>
    <row r="106" spans="1:48" x14ac:dyDescent="0.25">
      <c r="A106" s="18">
        <v>112</v>
      </c>
      <c r="B106" s="19">
        <v>43581</v>
      </c>
      <c r="C106" s="20">
        <v>0.48656250000000001</v>
      </c>
      <c r="D106" s="18">
        <v>-21.63</v>
      </c>
      <c r="E106" s="18">
        <v>-21.63</v>
      </c>
      <c r="F106" s="18">
        <v>-21.5</v>
      </c>
      <c r="G106" s="18">
        <v>-21.56</v>
      </c>
      <c r="H106" s="18">
        <v>-21.69</v>
      </c>
      <c r="I106" s="18">
        <v>-21.69</v>
      </c>
      <c r="J106" s="18">
        <v>-21.31</v>
      </c>
      <c r="K106" s="18">
        <v>-21.38</v>
      </c>
      <c r="L106" s="18">
        <v>-21.81</v>
      </c>
      <c r="M106" s="18">
        <v>25</v>
      </c>
      <c r="N106" s="29">
        <v>-21.52</v>
      </c>
      <c r="O106" s="4">
        <f>N106-'Sonde étalon'!$C$12</f>
        <v>-21.52</v>
      </c>
      <c r="R106" s="4">
        <f t="shared" si="33"/>
        <v>-0.10999999999999943</v>
      </c>
      <c r="S106" s="4">
        <f t="shared" si="34"/>
        <v>-0.10999999999999943</v>
      </c>
      <c r="T106" s="4">
        <f t="shared" si="35"/>
        <v>1.9999999999999574E-2</v>
      </c>
      <c r="U106" s="4">
        <f t="shared" si="36"/>
        <v>-3.9999999999999147E-2</v>
      </c>
      <c r="V106" s="4">
        <f t="shared" si="37"/>
        <v>-0.17000000000000171</v>
      </c>
      <c r="W106" s="4">
        <f t="shared" si="38"/>
        <v>-0.17000000000000171</v>
      </c>
      <c r="X106" s="4">
        <f t="shared" si="39"/>
        <v>0.21000000000000085</v>
      </c>
      <c r="Y106" s="4">
        <f t="shared" si="40"/>
        <v>0.14000000000000057</v>
      </c>
      <c r="Z106" s="4">
        <f t="shared" si="41"/>
        <v>-0.28999999999999915</v>
      </c>
      <c r="AC106" s="4">
        <f t="shared" si="42"/>
        <v>-21.552583333333331</v>
      </c>
      <c r="AD106" s="4">
        <f t="shared" si="43"/>
        <v>-21.543166666666664</v>
      </c>
      <c r="AE106" s="4">
        <f t="shared" si="44"/>
        <v>-21.520499999999998</v>
      </c>
      <c r="AF106" s="4">
        <f t="shared" si="45"/>
        <v>-21.536166666666666</v>
      </c>
      <c r="AG106" s="4">
        <f t="shared" si="46"/>
        <v>-21.527416666666667</v>
      </c>
      <c r="AH106" s="4">
        <f t="shared" si="47"/>
        <v>-21.521833333333333</v>
      </c>
      <c r="AI106" s="4">
        <f t="shared" si="48"/>
        <v>-21.532083333333333</v>
      </c>
      <c r="AJ106" s="4">
        <f t="shared" si="49"/>
        <v>-21.535</v>
      </c>
      <c r="AK106" s="4">
        <f t="shared" si="50"/>
        <v>-21.491499999999998</v>
      </c>
      <c r="AL106"/>
      <c r="AN106" s="4">
        <f t="shared" si="51"/>
        <v>-3.258333333333141E-2</v>
      </c>
      <c r="AO106" s="4">
        <f t="shared" si="52"/>
        <v>-2.3166666666664781E-2</v>
      </c>
      <c r="AP106" s="4">
        <f t="shared" si="53"/>
        <v>-4.9999999999883471E-4</v>
      </c>
      <c r="AQ106" s="4">
        <f t="shared" si="54"/>
        <v>-1.6166666666666885E-2</v>
      </c>
      <c r="AR106" s="4">
        <f t="shared" si="55"/>
        <v>-7.4166666666677372E-3</v>
      </c>
      <c r="AS106" s="4">
        <f t="shared" si="56"/>
        <v>-1.8333333333337976E-3</v>
      </c>
      <c r="AT106" s="4">
        <f t="shared" si="57"/>
        <v>-1.2083333333333002E-2</v>
      </c>
      <c r="AU106" s="4">
        <f t="shared" si="58"/>
        <v>-1.5000000000000568E-2</v>
      </c>
      <c r="AV106" s="4">
        <f t="shared" si="59"/>
        <v>2.850000000000108E-2</v>
      </c>
    </row>
    <row r="107" spans="1:48" x14ac:dyDescent="0.25">
      <c r="A107" s="18">
        <v>113</v>
      </c>
      <c r="B107" s="19">
        <v>43581</v>
      </c>
      <c r="C107" s="20">
        <v>0.4872569444444444</v>
      </c>
      <c r="D107" s="18">
        <v>-21.63</v>
      </c>
      <c r="E107" s="18">
        <v>-21.63</v>
      </c>
      <c r="F107" s="18">
        <v>-21.5</v>
      </c>
      <c r="G107" s="18">
        <v>-21.56</v>
      </c>
      <c r="H107" s="18">
        <v>-21.69</v>
      </c>
      <c r="I107" s="18">
        <v>-21.69</v>
      </c>
      <c r="J107" s="18">
        <v>-21.31</v>
      </c>
      <c r="K107" s="18">
        <v>-21.38</v>
      </c>
      <c r="L107" s="18">
        <v>-21.88</v>
      </c>
      <c r="M107" s="18">
        <v>25</v>
      </c>
      <c r="N107" s="29">
        <v>-21.52</v>
      </c>
      <c r="O107" s="4">
        <f>N107-'Sonde étalon'!$C$12</f>
        <v>-21.52</v>
      </c>
      <c r="R107" s="4">
        <f t="shared" si="33"/>
        <v>-0.10999999999999943</v>
      </c>
      <c r="S107" s="4">
        <f t="shared" si="34"/>
        <v>-0.10999999999999943</v>
      </c>
      <c r="T107" s="4">
        <f t="shared" si="35"/>
        <v>1.9999999999999574E-2</v>
      </c>
      <c r="U107" s="4">
        <f t="shared" si="36"/>
        <v>-3.9999999999999147E-2</v>
      </c>
      <c r="V107" s="4">
        <f t="shared" si="37"/>
        <v>-0.17000000000000171</v>
      </c>
      <c r="W107" s="4">
        <f t="shared" si="38"/>
        <v>-0.17000000000000171</v>
      </c>
      <c r="X107" s="4">
        <f t="shared" si="39"/>
        <v>0.21000000000000085</v>
      </c>
      <c r="Y107" s="4">
        <f t="shared" si="40"/>
        <v>0.14000000000000057</v>
      </c>
      <c r="Z107" s="4">
        <f t="shared" si="41"/>
        <v>-0.35999999999999943</v>
      </c>
      <c r="AC107" s="4">
        <f t="shared" si="42"/>
        <v>-21.552583333333331</v>
      </c>
      <c r="AD107" s="4">
        <f t="shared" si="43"/>
        <v>-21.543166666666664</v>
      </c>
      <c r="AE107" s="4">
        <f t="shared" si="44"/>
        <v>-21.520499999999998</v>
      </c>
      <c r="AF107" s="4">
        <f t="shared" si="45"/>
        <v>-21.536166666666666</v>
      </c>
      <c r="AG107" s="4">
        <f t="shared" si="46"/>
        <v>-21.527416666666667</v>
      </c>
      <c r="AH107" s="4">
        <f t="shared" si="47"/>
        <v>-21.521833333333333</v>
      </c>
      <c r="AI107" s="4">
        <f t="shared" si="48"/>
        <v>-21.532083333333333</v>
      </c>
      <c r="AJ107" s="4">
        <f t="shared" si="49"/>
        <v>-21.535</v>
      </c>
      <c r="AK107" s="4">
        <f t="shared" si="50"/>
        <v>-21.561499999999999</v>
      </c>
      <c r="AL107"/>
      <c r="AN107" s="4">
        <f t="shared" si="51"/>
        <v>-3.258333333333141E-2</v>
      </c>
      <c r="AO107" s="4">
        <f t="shared" si="52"/>
        <v>-2.3166666666664781E-2</v>
      </c>
      <c r="AP107" s="4">
        <f t="shared" si="53"/>
        <v>-4.9999999999883471E-4</v>
      </c>
      <c r="AQ107" s="4">
        <f t="shared" si="54"/>
        <v>-1.6166666666666885E-2</v>
      </c>
      <c r="AR107" s="4">
        <f t="shared" si="55"/>
        <v>-7.4166666666677372E-3</v>
      </c>
      <c r="AS107" s="4">
        <f t="shared" si="56"/>
        <v>-1.8333333333337976E-3</v>
      </c>
      <c r="AT107" s="4">
        <f t="shared" si="57"/>
        <v>-1.2083333333333002E-2</v>
      </c>
      <c r="AU107" s="4">
        <f t="shared" si="58"/>
        <v>-1.5000000000000568E-2</v>
      </c>
      <c r="AV107" s="4">
        <f t="shared" si="59"/>
        <v>-4.1499999999999204E-2</v>
      </c>
    </row>
    <row r="108" spans="1:48" x14ac:dyDescent="0.25">
      <c r="A108" s="18">
        <v>114</v>
      </c>
      <c r="B108" s="19">
        <v>43581</v>
      </c>
      <c r="C108" s="20">
        <v>0.48795138888888889</v>
      </c>
      <c r="D108" s="18">
        <v>-21.63</v>
      </c>
      <c r="E108" s="18">
        <v>-21.63</v>
      </c>
      <c r="F108" s="18">
        <v>-21.5</v>
      </c>
      <c r="G108" s="18">
        <v>-21.56</v>
      </c>
      <c r="H108" s="18">
        <v>-21.69</v>
      </c>
      <c r="I108" s="18">
        <v>-21.69</v>
      </c>
      <c r="J108" s="18">
        <v>-21.31</v>
      </c>
      <c r="K108" s="18">
        <v>-21.38</v>
      </c>
      <c r="L108" s="18">
        <v>-21.81</v>
      </c>
      <c r="M108" s="18">
        <v>25</v>
      </c>
      <c r="N108" s="29">
        <v>-21.52</v>
      </c>
      <c r="O108" s="4">
        <f>N108-'Sonde étalon'!$C$12</f>
        <v>-21.52</v>
      </c>
      <c r="R108" s="4">
        <f t="shared" si="33"/>
        <v>-0.10999999999999943</v>
      </c>
      <c r="S108" s="4">
        <f t="shared" si="34"/>
        <v>-0.10999999999999943</v>
      </c>
      <c r="T108" s="4">
        <f t="shared" si="35"/>
        <v>1.9999999999999574E-2</v>
      </c>
      <c r="U108" s="4">
        <f t="shared" si="36"/>
        <v>-3.9999999999999147E-2</v>
      </c>
      <c r="V108" s="4">
        <f t="shared" si="37"/>
        <v>-0.17000000000000171</v>
      </c>
      <c r="W108" s="4">
        <f t="shared" si="38"/>
        <v>-0.17000000000000171</v>
      </c>
      <c r="X108" s="4">
        <f t="shared" si="39"/>
        <v>0.21000000000000085</v>
      </c>
      <c r="Y108" s="4">
        <f t="shared" si="40"/>
        <v>0.14000000000000057</v>
      </c>
      <c r="Z108" s="4">
        <f t="shared" si="41"/>
        <v>-0.28999999999999915</v>
      </c>
      <c r="AC108" s="4">
        <f t="shared" si="42"/>
        <v>-21.552583333333331</v>
      </c>
      <c r="AD108" s="4">
        <f t="shared" si="43"/>
        <v>-21.543166666666664</v>
      </c>
      <c r="AE108" s="4">
        <f t="shared" si="44"/>
        <v>-21.520499999999998</v>
      </c>
      <c r="AF108" s="4">
        <f t="shared" si="45"/>
        <v>-21.536166666666666</v>
      </c>
      <c r="AG108" s="4">
        <f t="shared" si="46"/>
        <v>-21.527416666666667</v>
      </c>
      <c r="AH108" s="4">
        <f t="shared" si="47"/>
        <v>-21.521833333333333</v>
      </c>
      <c r="AI108" s="4">
        <f t="shared" si="48"/>
        <v>-21.532083333333333</v>
      </c>
      <c r="AJ108" s="4">
        <f t="shared" si="49"/>
        <v>-21.535</v>
      </c>
      <c r="AK108" s="4">
        <f t="shared" si="50"/>
        <v>-21.491499999999998</v>
      </c>
      <c r="AL108"/>
      <c r="AN108" s="4">
        <f t="shared" si="51"/>
        <v>-3.258333333333141E-2</v>
      </c>
      <c r="AO108" s="4">
        <f t="shared" si="52"/>
        <v>-2.3166666666664781E-2</v>
      </c>
      <c r="AP108" s="4">
        <f t="shared" si="53"/>
        <v>-4.9999999999883471E-4</v>
      </c>
      <c r="AQ108" s="4">
        <f t="shared" si="54"/>
        <v>-1.6166666666666885E-2</v>
      </c>
      <c r="AR108" s="4">
        <f t="shared" si="55"/>
        <v>-7.4166666666677372E-3</v>
      </c>
      <c r="AS108" s="4">
        <f t="shared" si="56"/>
        <v>-1.8333333333337976E-3</v>
      </c>
      <c r="AT108" s="4">
        <f t="shared" si="57"/>
        <v>-1.2083333333333002E-2</v>
      </c>
      <c r="AU108" s="4">
        <f t="shared" si="58"/>
        <v>-1.5000000000000568E-2</v>
      </c>
      <c r="AV108" s="4">
        <f t="shared" si="59"/>
        <v>2.850000000000108E-2</v>
      </c>
    </row>
    <row r="109" spans="1:48" x14ac:dyDescent="0.25">
      <c r="A109" s="18">
        <v>115</v>
      </c>
      <c r="B109" s="19">
        <v>43581</v>
      </c>
      <c r="C109" s="20">
        <v>0.48864583333333328</v>
      </c>
      <c r="D109" s="18">
        <v>-21.63</v>
      </c>
      <c r="E109" s="18">
        <v>-21.63</v>
      </c>
      <c r="F109" s="18">
        <v>-21.5</v>
      </c>
      <c r="G109" s="18">
        <v>-21.56</v>
      </c>
      <c r="H109" s="18">
        <v>-21.69</v>
      </c>
      <c r="I109" s="18">
        <v>-21.69</v>
      </c>
      <c r="J109" s="18">
        <v>-21.31</v>
      </c>
      <c r="K109" s="18">
        <v>-21.38</v>
      </c>
      <c r="L109" s="18">
        <v>-21.88</v>
      </c>
      <c r="M109" s="18">
        <v>25</v>
      </c>
      <c r="N109" s="29">
        <v>-21.53</v>
      </c>
      <c r="O109" s="4">
        <f>N109-'Sonde étalon'!$C$12</f>
        <v>-21.53</v>
      </c>
      <c r="R109" s="4">
        <f t="shared" si="33"/>
        <v>-9.9999999999997868E-2</v>
      </c>
      <c r="S109" s="4">
        <f t="shared" si="34"/>
        <v>-9.9999999999997868E-2</v>
      </c>
      <c r="T109" s="4">
        <f t="shared" si="35"/>
        <v>3.0000000000001137E-2</v>
      </c>
      <c r="U109" s="4">
        <f t="shared" si="36"/>
        <v>-2.9999999999997584E-2</v>
      </c>
      <c r="V109" s="4">
        <f t="shared" si="37"/>
        <v>-0.16000000000000014</v>
      </c>
      <c r="W109" s="4">
        <f t="shared" si="38"/>
        <v>-0.16000000000000014</v>
      </c>
      <c r="X109" s="4">
        <f t="shared" si="39"/>
        <v>0.22000000000000242</v>
      </c>
      <c r="Y109" s="4">
        <f t="shared" si="40"/>
        <v>0.15000000000000213</v>
      </c>
      <c r="Z109" s="4">
        <f t="shared" si="41"/>
        <v>-0.34999999999999787</v>
      </c>
      <c r="AC109" s="4">
        <f t="shared" si="42"/>
        <v>-21.552583333333331</v>
      </c>
      <c r="AD109" s="4">
        <f t="shared" si="43"/>
        <v>-21.543166666666664</v>
      </c>
      <c r="AE109" s="4">
        <f t="shared" si="44"/>
        <v>-21.520499999999998</v>
      </c>
      <c r="AF109" s="4">
        <f t="shared" si="45"/>
        <v>-21.536166666666666</v>
      </c>
      <c r="AG109" s="4">
        <f t="shared" si="46"/>
        <v>-21.527416666666667</v>
      </c>
      <c r="AH109" s="4">
        <f t="shared" si="47"/>
        <v>-21.521833333333333</v>
      </c>
      <c r="AI109" s="4">
        <f t="shared" si="48"/>
        <v>-21.532083333333333</v>
      </c>
      <c r="AJ109" s="4">
        <f t="shared" si="49"/>
        <v>-21.535</v>
      </c>
      <c r="AK109" s="4">
        <f t="shared" si="50"/>
        <v>-21.561499999999999</v>
      </c>
      <c r="AL109"/>
      <c r="AN109" s="4">
        <f t="shared" si="51"/>
        <v>-2.2583333333329847E-2</v>
      </c>
      <c r="AO109" s="4">
        <f t="shared" si="52"/>
        <v>-1.3166666666663218E-2</v>
      </c>
      <c r="AP109" s="4">
        <f t="shared" si="53"/>
        <v>9.5000000000027285E-3</v>
      </c>
      <c r="AQ109" s="4">
        <f t="shared" si="54"/>
        <v>-6.1666666666653214E-3</v>
      </c>
      <c r="AR109" s="4">
        <f t="shared" si="55"/>
        <v>2.583333333333826E-3</v>
      </c>
      <c r="AS109" s="4">
        <f t="shared" si="56"/>
        <v>8.1666666666677656E-3</v>
      </c>
      <c r="AT109" s="4">
        <f t="shared" si="57"/>
        <v>-2.0833333333314386E-3</v>
      </c>
      <c r="AU109" s="4">
        <f t="shared" si="58"/>
        <v>-4.9999999999990052E-3</v>
      </c>
      <c r="AV109" s="4">
        <f t="shared" si="59"/>
        <v>-3.1499999999997641E-2</v>
      </c>
    </row>
    <row r="110" spans="1:48" x14ac:dyDescent="0.25">
      <c r="A110" s="18">
        <v>116</v>
      </c>
      <c r="B110" s="19">
        <v>43581</v>
      </c>
      <c r="C110" s="20">
        <v>0.48934027777777778</v>
      </c>
      <c r="D110" s="18">
        <v>-21.63</v>
      </c>
      <c r="E110" s="18">
        <v>-21.63</v>
      </c>
      <c r="F110" s="18">
        <v>-21.5</v>
      </c>
      <c r="G110" s="18">
        <v>-21.56</v>
      </c>
      <c r="H110" s="18">
        <v>-21.69</v>
      </c>
      <c r="I110" s="18">
        <v>-21.69</v>
      </c>
      <c r="J110" s="18">
        <v>-21.31</v>
      </c>
      <c r="K110" s="18">
        <v>-21.38</v>
      </c>
      <c r="L110" s="18">
        <v>-21.88</v>
      </c>
      <c r="M110" s="18">
        <v>25</v>
      </c>
      <c r="N110" s="29">
        <v>-21.54</v>
      </c>
      <c r="O110" s="4">
        <f>N110-'Sonde étalon'!$C$12</f>
        <v>-21.54</v>
      </c>
      <c r="R110" s="4">
        <f t="shared" si="33"/>
        <v>-8.9999999999999858E-2</v>
      </c>
      <c r="S110" s="4">
        <f t="shared" si="34"/>
        <v>-8.9999999999999858E-2</v>
      </c>
      <c r="T110" s="4">
        <f t="shared" si="35"/>
        <v>3.9999999999999147E-2</v>
      </c>
      <c r="U110" s="4">
        <f t="shared" si="36"/>
        <v>-1.9999999999999574E-2</v>
      </c>
      <c r="V110" s="4">
        <f t="shared" si="37"/>
        <v>-0.15000000000000213</v>
      </c>
      <c r="W110" s="4">
        <f t="shared" si="38"/>
        <v>-0.15000000000000213</v>
      </c>
      <c r="X110" s="4">
        <f t="shared" si="39"/>
        <v>0.23000000000000043</v>
      </c>
      <c r="Y110" s="4">
        <f t="shared" si="40"/>
        <v>0.16000000000000014</v>
      </c>
      <c r="Z110" s="4">
        <f t="shared" si="41"/>
        <v>-0.33999999999999986</v>
      </c>
      <c r="AC110" s="4">
        <f t="shared" si="42"/>
        <v>-21.552583333333331</v>
      </c>
      <c r="AD110" s="4">
        <f t="shared" si="43"/>
        <v>-21.543166666666664</v>
      </c>
      <c r="AE110" s="4">
        <f t="shared" si="44"/>
        <v>-21.520499999999998</v>
      </c>
      <c r="AF110" s="4">
        <f t="shared" si="45"/>
        <v>-21.536166666666666</v>
      </c>
      <c r="AG110" s="4">
        <f t="shared" si="46"/>
        <v>-21.527416666666667</v>
      </c>
      <c r="AH110" s="4">
        <f t="shared" si="47"/>
        <v>-21.521833333333333</v>
      </c>
      <c r="AI110" s="4">
        <f t="shared" si="48"/>
        <v>-21.532083333333333</v>
      </c>
      <c r="AJ110" s="4">
        <f t="shared" si="49"/>
        <v>-21.535</v>
      </c>
      <c r="AK110" s="4">
        <f t="shared" si="50"/>
        <v>-21.561499999999999</v>
      </c>
      <c r="AL110"/>
      <c r="AN110" s="4">
        <f t="shared" si="51"/>
        <v>-1.2583333333331836E-2</v>
      </c>
      <c r="AO110" s="4">
        <f t="shared" si="52"/>
        <v>-3.1666666666652077E-3</v>
      </c>
      <c r="AP110" s="4">
        <f t="shared" si="53"/>
        <v>1.9500000000000739E-2</v>
      </c>
      <c r="AQ110" s="4">
        <f t="shared" si="54"/>
        <v>3.8333333333326891E-3</v>
      </c>
      <c r="AR110" s="4">
        <f t="shared" si="55"/>
        <v>1.2583333333331836E-2</v>
      </c>
      <c r="AS110" s="4">
        <f t="shared" si="56"/>
        <v>1.8166666666665776E-2</v>
      </c>
      <c r="AT110" s="4">
        <f t="shared" si="57"/>
        <v>7.9166666666665719E-3</v>
      </c>
      <c r="AU110" s="4">
        <f t="shared" si="58"/>
        <v>4.9999999999990052E-3</v>
      </c>
      <c r="AV110" s="4">
        <f t="shared" si="59"/>
        <v>-2.1499999999999631E-2</v>
      </c>
    </row>
    <row r="111" spans="1:48" x14ac:dyDescent="0.25">
      <c r="A111" s="18">
        <v>117</v>
      </c>
      <c r="B111" s="19">
        <v>43581</v>
      </c>
      <c r="C111" s="20">
        <v>0.49003472222222227</v>
      </c>
      <c r="D111" s="18">
        <v>-21.63</v>
      </c>
      <c r="E111" s="18">
        <v>-21.63</v>
      </c>
      <c r="F111" s="18">
        <v>-21.5</v>
      </c>
      <c r="G111" s="18">
        <v>-21.56</v>
      </c>
      <c r="H111" s="18">
        <v>-21.69</v>
      </c>
      <c r="I111" s="18">
        <v>-21.69</v>
      </c>
      <c r="J111" s="18">
        <v>-21.31</v>
      </c>
      <c r="K111" s="18">
        <v>-21.38</v>
      </c>
      <c r="L111" s="18">
        <v>-21.88</v>
      </c>
      <c r="M111" s="18">
        <v>25</v>
      </c>
      <c r="N111" s="29">
        <v>-21.53</v>
      </c>
      <c r="O111" s="4">
        <f>N111-'Sonde étalon'!$C$12</f>
        <v>-21.53</v>
      </c>
      <c r="R111" s="4">
        <f t="shared" si="33"/>
        <v>-9.9999999999997868E-2</v>
      </c>
      <c r="S111" s="4">
        <f t="shared" si="34"/>
        <v>-9.9999999999997868E-2</v>
      </c>
      <c r="T111" s="4">
        <f t="shared" si="35"/>
        <v>3.0000000000001137E-2</v>
      </c>
      <c r="U111" s="4">
        <f t="shared" si="36"/>
        <v>-2.9999999999997584E-2</v>
      </c>
      <c r="V111" s="4">
        <f t="shared" si="37"/>
        <v>-0.16000000000000014</v>
      </c>
      <c r="W111" s="4">
        <f t="shared" si="38"/>
        <v>-0.16000000000000014</v>
      </c>
      <c r="X111" s="4">
        <f t="shared" si="39"/>
        <v>0.22000000000000242</v>
      </c>
      <c r="Y111" s="4">
        <f t="shared" si="40"/>
        <v>0.15000000000000213</v>
      </c>
      <c r="Z111" s="4">
        <f t="shared" si="41"/>
        <v>-0.34999999999999787</v>
      </c>
      <c r="AC111" s="4">
        <f t="shared" si="42"/>
        <v>-21.552583333333331</v>
      </c>
      <c r="AD111" s="4">
        <f t="shared" si="43"/>
        <v>-21.543166666666664</v>
      </c>
      <c r="AE111" s="4">
        <f t="shared" si="44"/>
        <v>-21.520499999999998</v>
      </c>
      <c r="AF111" s="4">
        <f t="shared" si="45"/>
        <v>-21.536166666666666</v>
      </c>
      <c r="AG111" s="4">
        <f t="shared" si="46"/>
        <v>-21.527416666666667</v>
      </c>
      <c r="AH111" s="4">
        <f t="shared" si="47"/>
        <v>-21.521833333333333</v>
      </c>
      <c r="AI111" s="4">
        <f t="shared" si="48"/>
        <v>-21.532083333333333</v>
      </c>
      <c r="AJ111" s="4">
        <f t="shared" si="49"/>
        <v>-21.535</v>
      </c>
      <c r="AK111" s="4">
        <f t="shared" si="50"/>
        <v>-21.561499999999999</v>
      </c>
      <c r="AL111"/>
      <c r="AN111" s="4">
        <f t="shared" si="51"/>
        <v>-2.2583333333329847E-2</v>
      </c>
      <c r="AO111" s="4">
        <f t="shared" si="52"/>
        <v>-1.3166666666663218E-2</v>
      </c>
      <c r="AP111" s="4">
        <f t="shared" si="53"/>
        <v>9.5000000000027285E-3</v>
      </c>
      <c r="AQ111" s="4">
        <f t="shared" si="54"/>
        <v>-6.1666666666653214E-3</v>
      </c>
      <c r="AR111" s="4">
        <f t="shared" si="55"/>
        <v>2.583333333333826E-3</v>
      </c>
      <c r="AS111" s="4">
        <f t="shared" si="56"/>
        <v>8.1666666666677656E-3</v>
      </c>
      <c r="AT111" s="4">
        <f t="shared" si="57"/>
        <v>-2.0833333333314386E-3</v>
      </c>
      <c r="AU111" s="4">
        <f t="shared" si="58"/>
        <v>-4.9999999999990052E-3</v>
      </c>
      <c r="AV111" s="4">
        <f t="shared" si="59"/>
        <v>-3.1499999999997641E-2</v>
      </c>
    </row>
    <row r="112" spans="1:48" x14ac:dyDescent="0.25">
      <c r="A112" s="18">
        <v>118</v>
      </c>
      <c r="B112" s="19">
        <v>43581</v>
      </c>
      <c r="C112" s="20">
        <v>0.49072916666666666</v>
      </c>
      <c r="D112" s="18">
        <v>-21.63</v>
      </c>
      <c r="E112" s="18">
        <v>-21.63</v>
      </c>
      <c r="F112" s="18">
        <v>-21.5</v>
      </c>
      <c r="G112" s="18">
        <v>-21.56</v>
      </c>
      <c r="H112" s="18">
        <v>-21.69</v>
      </c>
      <c r="I112" s="18">
        <v>-21.69</v>
      </c>
      <c r="J112" s="18">
        <v>-21.31</v>
      </c>
      <c r="K112" s="18">
        <v>-21.38</v>
      </c>
      <c r="L112" s="18">
        <v>-21.88</v>
      </c>
      <c r="M112" s="18">
        <v>25</v>
      </c>
      <c r="N112" s="29">
        <v>-21.54</v>
      </c>
      <c r="O112" s="4">
        <f>N112-'Sonde étalon'!$C$12</f>
        <v>-21.54</v>
      </c>
      <c r="R112" s="4">
        <f t="shared" si="33"/>
        <v>-8.9999999999999858E-2</v>
      </c>
      <c r="S112" s="4">
        <f t="shared" si="34"/>
        <v>-8.9999999999999858E-2</v>
      </c>
      <c r="T112" s="4">
        <f t="shared" si="35"/>
        <v>3.9999999999999147E-2</v>
      </c>
      <c r="U112" s="4">
        <f t="shared" si="36"/>
        <v>-1.9999999999999574E-2</v>
      </c>
      <c r="V112" s="4">
        <f t="shared" si="37"/>
        <v>-0.15000000000000213</v>
      </c>
      <c r="W112" s="4">
        <f t="shared" si="38"/>
        <v>-0.15000000000000213</v>
      </c>
      <c r="X112" s="4">
        <f t="shared" si="39"/>
        <v>0.23000000000000043</v>
      </c>
      <c r="Y112" s="4">
        <f t="shared" si="40"/>
        <v>0.16000000000000014</v>
      </c>
      <c r="Z112" s="4">
        <f t="shared" si="41"/>
        <v>-0.33999999999999986</v>
      </c>
      <c r="AC112" s="4">
        <f t="shared" si="42"/>
        <v>-21.552583333333331</v>
      </c>
      <c r="AD112" s="4">
        <f t="shared" si="43"/>
        <v>-21.543166666666664</v>
      </c>
      <c r="AE112" s="4">
        <f t="shared" si="44"/>
        <v>-21.520499999999998</v>
      </c>
      <c r="AF112" s="4">
        <f t="shared" si="45"/>
        <v>-21.536166666666666</v>
      </c>
      <c r="AG112" s="4">
        <f t="shared" si="46"/>
        <v>-21.527416666666667</v>
      </c>
      <c r="AH112" s="4">
        <f t="shared" si="47"/>
        <v>-21.521833333333333</v>
      </c>
      <c r="AI112" s="4">
        <f t="shared" si="48"/>
        <v>-21.532083333333333</v>
      </c>
      <c r="AJ112" s="4">
        <f t="shared" si="49"/>
        <v>-21.535</v>
      </c>
      <c r="AK112" s="4">
        <f t="shared" si="50"/>
        <v>-21.561499999999999</v>
      </c>
      <c r="AL112"/>
      <c r="AN112" s="4">
        <f t="shared" si="51"/>
        <v>-1.2583333333331836E-2</v>
      </c>
      <c r="AO112" s="4">
        <f t="shared" si="52"/>
        <v>-3.1666666666652077E-3</v>
      </c>
      <c r="AP112" s="4">
        <f t="shared" si="53"/>
        <v>1.9500000000000739E-2</v>
      </c>
      <c r="AQ112" s="4">
        <f t="shared" si="54"/>
        <v>3.8333333333326891E-3</v>
      </c>
      <c r="AR112" s="4">
        <f t="shared" si="55"/>
        <v>1.2583333333331836E-2</v>
      </c>
      <c r="AS112" s="4">
        <f t="shared" si="56"/>
        <v>1.8166666666665776E-2</v>
      </c>
      <c r="AT112" s="4">
        <f t="shared" si="57"/>
        <v>7.9166666666665719E-3</v>
      </c>
      <c r="AU112" s="4">
        <f t="shared" si="58"/>
        <v>4.9999999999990052E-3</v>
      </c>
      <c r="AV112" s="4">
        <f t="shared" si="59"/>
        <v>-2.1499999999999631E-2</v>
      </c>
    </row>
    <row r="113" spans="1:48" x14ac:dyDescent="0.25">
      <c r="A113" s="18">
        <v>119</v>
      </c>
      <c r="B113" s="19">
        <v>43581</v>
      </c>
      <c r="C113" s="20">
        <v>0.49142361111111116</v>
      </c>
      <c r="D113" s="18">
        <v>-21.63</v>
      </c>
      <c r="E113" s="18">
        <v>-21.63</v>
      </c>
      <c r="F113" s="18">
        <v>-21.5</v>
      </c>
      <c r="G113" s="18">
        <v>-21.56</v>
      </c>
      <c r="H113" s="18">
        <v>-21.69</v>
      </c>
      <c r="I113" s="18">
        <v>-21.69</v>
      </c>
      <c r="J113" s="18">
        <v>-21.31</v>
      </c>
      <c r="K113" s="18">
        <v>-21.38</v>
      </c>
      <c r="L113" s="18">
        <v>-21.88</v>
      </c>
      <c r="M113" s="18">
        <v>25</v>
      </c>
      <c r="N113" s="29">
        <v>-21.55</v>
      </c>
      <c r="O113" s="4">
        <f>N113-'Sonde étalon'!$C$12</f>
        <v>-21.55</v>
      </c>
      <c r="R113" s="4">
        <f t="shared" si="33"/>
        <v>-7.9999999999998295E-2</v>
      </c>
      <c r="S113" s="4">
        <f t="shared" si="34"/>
        <v>-7.9999999999998295E-2</v>
      </c>
      <c r="T113" s="4">
        <f t="shared" si="35"/>
        <v>5.0000000000000711E-2</v>
      </c>
      <c r="U113" s="4">
        <f t="shared" si="36"/>
        <v>-9.9999999999980105E-3</v>
      </c>
      <c r="V113" s="4">
        <f t="shared" si="37"/>
        <v>-0.14000000000000057</v>
      </c>
      <c r="W113" s="4">
        <f t="shared" si="38"/>
        <v>-0.14000000000000057</v>
      </c>
      <c r="X113" s="4">
        <f t="shared" si="39"/>
        <v>0.24000000000000199</v>
      </c>
      <c r="Y113" s="4">
        <f t="shared" si="40"/>
        <v>0.17000000000000171</v>
      </c>
      <c r="Z113" s="4">
        <f t="shared" si="41"/>
        <v>-0.32999999999999829</v>
      </c>
      <c r="AC113" s="4">
        <f t="shared" si="42"/>
        <v>-21.552583333333331</v>
      </c>
      <c r="AD113" s="4">
        <f t="shared" si="43"/>
        <v>-21.543166666666664</v>
      </c>
      <c r="AE113" s="4">
        <f t="shared" si="44"/>
        <v>-21.520499999999998</v>
      </c>
      <c r="AF113" s="4">
        <f t="shared" si="45"/>
        <v>-21.536166666666666</v>
      </c>
      <c r="AG113" s="4">
        <f t="shared" si="46"/>
        <v>-21.527416666666667</v>
      </c>
      <c r="AH113" s="4">
        <f t="shared" si="47"/>
        <v>-21.521833333333333</v>
      </c>
      <c r="AI113" s="4">
        <f t="shared" si="48"/>
        <v>-21.532083333333333</v>
      </c>
      <c r="AJ113" s="4">
        <f t="shared" si="49"/>
        <v>-21.535</v>
      </c>
      <c r="AK113" s="4">
        <f t="shared" si="50"/>
        <v>-21.561499999999999</v>
      </c>
      <c r="AL113"/>
      <c r="AN113" s="4">
        <f t="shared" si="51"/>
        <v>-2.5833333333302733E-3</v>
      </c>
      <c r="AO113" s="4">
        <f t="shared" si="52"/>
        <v>6.8333333333363555E-3</v>
      </c>
      <c r="AP113" s="4">
        <f t="shared" si="53"/>
        <v>2.9500000000002302E-2</v>
      </c>
      <c r="AQ113" s="4">
        <f t="shared" si="54"/>
        <v>1.3833333333334252E-2</v>
      </c>
      <c r="AR113" s="4">
        <f t="shared" si="55"/>
        <v>2.25833333333334E-2</v>
      </c>
      <c r="AS113" s="4">
        <f t="shared" si="56"/>
        <v>2.8166666666667339E-2</v>
      </c>
      <c r="AT113" s="4">
        <f t="shared" si="57"/>
        <v>1.7916666666668135E-2</v>
      </c>
      <c r="AU113" s="4">
        <f t="shared" si="58"/>
        <v>1.5000000000000568E-2</v>
      </c>
      <c r="AV113" s="4">
        <f t="shared" si="59"/>
        <v>-1.1499999999998067E-2</v>
      </c>
    </row>
    <row r="114" spans="1:48" x14ac:dyDescent="0.25">
      <c r="A114" s="18">
        <v>120</v>
      </c>
      <c r="B114" s="19">
        <v>43581</v>
      </c>
      <c r="C114" s="20">
        <v>0.49211805555555554</v>
      </c>
      <c r="D114" s="18">
        <v>-21.63</v>
      </c>
      <c r="E114" s="18">
        <v>-21.63</v>
      </c>
      <c r="F114" s="18">
        <v>-21.56</v>
      </c>
      <c r="G114" s="18">
        <v>-21.56</v>
      </c>
      <c r="H114" s="18">
        <v>-21.69</v>
      </c>
      <c r="I114" s="18">
        <v>-21.69</v>
      </c>
      <c r="J114" s="18">
        <v>-21.31</v>
      </c>
      <c r="K114" s="18">
        <v>-21.38</v>
      </c>
      <c r="L114" s="18">
        <v>-21.88</v>
      </c>
      <c r="M114" s="18">
        <v>25</v>
      </c>
      <c r="N114" s="29">
        <v>-21.55</v>
      </c>
      <c r="O114" s="4">
        <f>N114-'Sonde étalon'!$C$12</f>
        <v>-21.55</v>
      </c>
      <c r="R114" s="4">
        <f t="shared" si="33"/>
        <v>-7.9999999999998295E-2</v>
      </c>
      <c r="S114" s="4">
        <f t="shared" si="34"/>
        <v>-7.9999999999998295E-2</v>
      </c>
      <c r="T114" s="4">
        <f t="shared" si="35"/>
        <v>-9.9999999999980105E-3</v>
      </c>
      <c r="U114" s="4">
        <f t="shared" si="36"/>
        <v>-9.9999999999980105E-3</v>
      </c>
      <c r="V114" s="4">
        <f t="shared" si="37"/>
        <v>-0.14000000000000057</v>
      </c>
      <c r="W114" s="4">
        <f t="shared" si="38"/>
        <v>-0.14000000000000057</v>
      </c>
      <c r="X114" s="4">
        <f t="shared" si="39"/>
        <v>0.24000000000000199</v>
      </c>
      <c r="Y114" s="4">
        <f t="shared" si="40"/>
        <v>0.17000000000000171</v>
      </c>
      <c r="Z114" s="4">
        <f t="shared" si="41"/>
        <v>-0.32999999999999829</v>
      </c>
      <c r="AC114" s="4">
        <f t="shared" si="42"/>
        <v>-21.552583333333331</v>
      </c>
      <c r="AD114" s="4">
        <f t="shared" si="43"/>
        <v>-21.543166666666664</v>
      </c>
      <c r="AE114" s="4">
        <f t="shared" si="44"/>
        <v>-21.580499999999997</v>
      </c>
      <c r="AF114" s="4">
        <f t="shared" si="45"/>
        <v>-21.536166666666666</v>
      </c>
      <c r="AG114" s="4">
        <f t="shared" si="46"/>
        <v>-21.527416666666667</v>
      </c>
      <c r="AH114" s="4">
        <f t="shared" si="47"/>
        <v>-21.521833333333333</v>
      </c>
      <c r="AI114" s="4">
        <f t="shared" si="48"/>
        <v>-21.532083333333333</v>
      </c>
      <c r="AJ114" s="4">
        <f t="shared" si="49"/>
        <v>-21.535</v>
      </c>
      <c r="AK114" s="4">
        <f t="shared" si="50"/>
        <v>-21.561499999999999</v>
      </c>
      <c r="AL114"/>
      <c r="AN114" s="4">
        <f t="shared" si="51"/>
        <v>-2.5833333333302733E-3</v>
      </c>
      <c r="AO114" s="4">
        <f t="shared" si="52"/>
        <v>6.8333333333363555E-3</v>
      </c>
      <c r="AP114" s="4">
        <f t="shared" si="53"/>
        <v>-3.0499999999996419E-2</v>
      </c>
      <c r="AQ114" s="4">
        <f t="shared" si="54"/>
        <v>1.3833333333334252E-2</v>
      </c>
      <c r="AR114" s="4">
        <f t="shared" si="55"/>
        <v>2.25833333333334E-2</v>
      </c>
      <c r="AS114" s="4">
        <f t="shared" si="56"/>
        <v>2.8166666666667339E-2</v>
      </c>
      <c r="AT114" s="4">
        <f t="shared" si="57"/>
        <v>1.7916666666668135E-2</v>
      </c>
      <c r="AU114" s="4">
        <f t="shared" si="58"/>
        <v>1.5000000000000568E-2</v>
      </c>
      <c r="AV114" s="4">
        <f t="shared" si="59"/>
        <v>-1.1499999999998067E-2</v>
      </c>
    </row>
    <row r="115" spans="1:48" x14ac:dyDescent="0.25">
      <c r="A115" s="18">
        <v>121</v>
      </c>
      <c r="B115" s="19">
        <v>43581</v>
      </c>
      <c r="C115" s="20">
        <v>0.49281250000000004</v>
      </c>
      <c r="D115" s="18">
        <v>-21.63</v>
      </c>
      <c r="E115" s="18">
        <v>-21.63</v>
      </c>
      <c r="F115" s="18">
        <v>-21.5</v>
      </c>
      <c r="G115" s="18">
        <v>-21.56</v>
      </c>
      <c r="H115" s="18">
        <v>-21.69</v>
      </c>
      <c r="I115" s="18">
        <v>-21.69</v>
      </c>
      <c r="J115" s="18">
        <v>-21.31</v>
      </c>
      <c r="K115" s="18">
        <v>-21.38</v>
      </c>
      <c r="L115" s="18">
        <v>-21.88</v>
      </c>
      <c r="M115" s="18">
        <v>25</v>
      </c>
      <c r="N115" s="29">
        <v>-21.55</v>
      </c>
      <c r="O115" s="4">
        <f>N115-'Sonde étalon'!$C$12</f>
        <v>-21.55</v>
      </c>
      <c r="R115" s="4">
        <f t="shared" si="33"/>
        <v>-7.9999999999998295E-2</v>
      </c>
      <c r="S115" s="4">
        <f t="shared" si="34"/>
        <v>-7.9999999999998295E-2</v>
      </c>
      <c r="T115" s="4">
        <f t="shared" si="35"/>
        <v>5.0000000000000711E-2</v>
      </c>
      <c r="U115" s="4">
        <f t="shared" si="36"/>
        <v>-9.9999999999980105E-3</v>
      </c>
      <c r="V115" s="4">
        <f t="shared" si="37"/>
        <v>-0.14000000000000057</v>
      </c>
      <c r="W115" s="4">
        <f t="shared" si="38"/>
        <v>-0.14000000000000057</v>
      </c>
      <c r="X115" s="4">
        <f t="shared" si="39"/>
        <v>0.24000000000000199</v>
      </c>
      <c r="Y115" s="4">
        <f t="shared" si="40"/>
        <v>0.17000000000000171</v>
      </c>
      <c r="Z115" s="4">
        <f t="shared" si="41"/>
        <v>-0.32999999999999829</v>
      </c>
      <c r="AC115" s="4">
        <f t="shared" si="42"/>
        <v>-21.552583333333331</v>
      </c>
      <c r="AD115" s="4">
        <f t="shared" si="43"/>
        <v>-21.543166666666664</v>
      </c>
      <c r="AE115" s="4">
        <f t="shared" si="44"/>
        <v>-21.520499999999998</v>
      </c>
      <c r="AF115" s="4">
        <f t="shared" si="45"/>
        <v>-21.536166666666666</v>
      </c>
      <c r="AG115" s="4">
        <f t="shared" si="46"/>
        <v>-21.527416666666667</v>
      </c>
      <c r="AH115" s="4">
        <f t="shared" si="47"/>
        <v>-21.521833333333333</v>
      </c>
      <c r="AI115" s="4">
        <f t="shared" si="48"/>
        <v>-21.532083333333333</v>
      </c>
      <c r="AJ115" s="4">
        <f t="shared" si="49"/>
        <v>-21.535</v>
      </c>
      <c r="AK115" s="4">
        <f t="shared" si="50"/>
        <v>-21.561499999999999</v>
      </c>
      <c r="AL115"/>
      <c r="AN115" s="4">
        <f t="shared" si="51"/>
        <v>-2.5833333333302733E-3</v>
      </c>
      <c r="AO115" s="4">
        <f t="shared" si="52"/>
        <v>6.8333333333363555E-3</v>
      </c>
      <c r="AP115" s="4">
        <f t="shared" si="53"/>
        <v>2.9500000000002302E-2</v>
      </c>
      <c r="AQ115" s="4">
        <f t="shared" si="54"/>
        <v>1.3833333333334252E-2</v>
      </c>
      <c r="AR115" s="4">
        <f t="shared" si="55"/>
        <v>2.25833333333334E-2</v>
      </c>
      <c r="AS115" s="4">
        <f t="shared" si="56"/>
        <v>2.8166666666667339E-2</v>
      </c>
      <c r="AT115" s="4">
        <f t="shared" si="57"/>
        <v>1.7916666666668135E-2</v>
      </c>
      <c r="AU115" s="4">
        <f t="shared" si="58"/>
        <v>1.5000000000000568E-2</v>
      </c>
      <c r="AV115" s="4">
        <f t="shared" si="59"/>
        <v>-1.1499999999998067E-2</v>
      </c>
    </row>
    <row r="116" spans="1:48" x14ac:dyDescent="0.25">
      <c r="A116" s="18">
        <v>122</v>
      </c>
      <c r="B116" s="19">
        <v>43581</v>
      </c>
      <c r="C116" s="20">
        <v>0.49350694444444443</v>
      </c>
      <c r="D116" s="18">
        <v>-21.63</v>
      </c>
      <c r="E116" s="18">
        <v>-21.63</v>
      </c>
      <c r="F116" s="18">
        <v>-21.5</v>
      </c>
      <c r="G116" s="18">
        <v>-21.56</v>
      </c>
      <c r="H116" s="18">
        <v>-21.69</v>
      </c>
      <c r="I116" s="18">
        <v>-21.69</v>
      </c>
      <c r="J116" s="18">
        <v>-21.31</v>
      </c>
      <c r="K116" s="18">
        <v>-21.38</v>
      </c>
      <c r="L116" s="18">
        <v>-21.88</v>
      </c>
      <c r="M116" s="18">
        <v>25</v>
      </c>
      <c r="N116" s="29">
        <v>-21.54</v>
      </c>
      <c r="O116" s="4">
        <f>N116-'Sonde étalon'!$C$12</f>
        <v>-21.54</v>
      </c>
      <c r="R116" s="4">
        <f t="shared" si="33"/>
        <v>-8.9999999999999858E-2</v>
      </c>
      <c r="S116" s="4">
        <f t="shared" si="34"/>
        <v>-8.9999999999999858E-2</v>
      </c>
      <c r="T116" s="4">
        <f t="shared" si="35"/>
        <v>3.9999999999999147E-2</v>
      </c>
      <c r="U116" s="4">
        <f t="shared" si="36"/>
        <v>-1.9999999999999574E-2</v>
      </c>
      <c r="V116" s="4">
        <f t="shared" si="37"/>
        <v>-0.15000000000000213</v>
      </c>
      <c r="W116" s="4">
        <f t="shared" si="38"/>
        <v>-0.15000000000000213</v>
      </c>
      <c r="X116" s="4">
        <f t="shared" si="39"/>
        <v>0.23000000000000043</v>
      </c>
      <c r="Y116" s="4">
        <f t="shared" si="40"/>
        <v>0.16000000000000014</v>
      </c>
      <c r="Z116" s="4">
        <f t="shared" si="41"/>
        <v>-0.33999999999999986</v>
      </c>
      <c r="AC116" s="4">
        <f t="shared" si="42"/>
        <v>-21.552583333333331</v>
      </c>
      <c r="AD116" s="4">
        <f t="shared" si="43"/>
        <v>-21.543166666666664</v>
      </c>
      <c r="AE116" s="4">
        <f t="shared" si="44"/>
        <v>-21.520499999999998</v>
      </c>
      <c r="AF116" s="4">
        <f t="shared" si="45"/>
        <v>-21.536166666666666</v>
      </c>
      <c r="AG116" s="4">
        <f t="shared" si="46"/>
        <v>-21.527416666666667</v>
      </c>
      <c r="AH116" s="4">
        <f t="shared" si="47"/>
        <v>-21.521833333333333</v>
      </c>
      <c r="AI116" s="4">
        <f t="shared" si="48"/>
        <v>-21.532083333333333</v>
      </c>
      <c r="AJ116" s="4">
        <f t="shared" si="49"/>
        <v>-21.535</v>
      </c>
      <c r="AK116" s="4">
        <f t="shared" si="50"/>
        <v>-21.561499999999999</v>
      </c>
      <c r="AL116"/>
      <c r="AN116" s="4">
        <f t="shared" si="51"/>
        <v>-1.2583333333331836E-2</v>
      </c>
      <c r="AO116" s="4">
        <f t="shared" si="52"/>
        <v>-3.1666666666652077E-3</v>
      </c>
      <c r="AP116" s="4">
        <f t="shared" si="53"/>
        <v>1.9500000000000739E-2</v>
      </c>
      <c r="AQ116" s="4">
        <f t="shared" si="54"/>
        <v>3.8333333333326891E-3</v>
      </c>
      <c r="AR116" s="4">
        <f t="shared" si="55"/>
        <v>1.2583333333331836E-2</v>
      </c>
      <c r="AS116" s="4">
        <f t="shared" si="56"/>
        <v>1.8166666666665776E-2</v>
      </c>
      <c r="AT116" s="4">
        <f t="shared" si="57"/>
        <v>7.9166666666665719E-3</v>
      </c>
      <c r="AU116" s="4">
        <f t="shared" si="58"/>
        <v>4.9999999999990052E-3</v>
      </c>
      <c r="AV116" s="4">
        <f t="shared" si="59"/>
        <v>-2.1499999999999631E-2</v>
      </c>
    </row>
    <row r="117" spans="1:48" x14ac:dyDescent="0.25">
      <c r="A117" s="18">
        <v>123</v>
      </c>
      <c r="B117" s="19">
        <v>43581</v>
      </c>
      <c r="C117" s="20">
        <v>0.49420138888888893</v>
      </c>
      <c r="D117" s="18">
        <v>-21.56</v>
      </c>
      <c r="E117" s="18">
        <v>-21.63</v>
      </c>
      <c r="F117" s="18">
        <v>-21.5</v>
      </c>
      <c r="G117" s="18">
        <v>-21.56</v>
      </c>
      <c r="H117" s="18">
        <v>-21.69</v>
      </c>
      <c r="I117" s="18">
        <v>-21.69</v>
      </c>
      <c r="J117" s="18">
        <v>-21.31</v>
      </c>
      <c r="K117" s="18">
        <v>-21.38</v>
      </c>
      <c r="L117" s="18">
        <v>-21.88</v>
      </c>
      <c r="M117" s="18">
        <v>25</v>
      </c>
      <c r="N117" s="29">
        <v>-21.54</v>
      </c>
      <c r="O117" s="4">
        <f>N117-'Sonde étalon'!$C$12</f>
        <v>-21.54</v>
      </c>
      <c r="R117" s="4">
        <f t="shared" si="33"/>
        <v>-1.9999999999999574E-2</v>
      </c>
      <c r="S117" s="4">
        <f t="shared" si="34"/>
        <v>-8.9999999999999858E-2</v>
      </c>
      <c r="T117" s="4">
        <f t="shared" si="35"/>
        <v>3.9999999999999147E-2</v>
      </c>
      <c r="U117" s="4">
        <f t="shared" si="36"/>
        <v>-1.9999999999999574E-2</v>
      </c>
      <c r="V117" s="4">
        <f t="shared" si="37"/>
        <v>-0.15000000000000213</v>
      </c>
      <c r="W117" s="4">
        <f t="shared" si="38"/>
        <v>-0.15000000000000213</v>
      </c>
      <c r="X117" s="4">
        <f t="shared" si="39"/>
        <v>0.23000000000000043</v>
      </c>
      <c r="Y117" s="4">
        <f t="shared" si="40"/>
        <v>0.16000000000000014</v>
      </c>
      <c r="Z117" s="4">
        <f t="shared" si="41"/>
        <v>-0.33999999999999986</v>
      </c>
      <c r="AC117" s="4">
        <f t="shared" si="42"/>
        <v>-21.482583333333331</v>
      </c>
      <c r="AD117" s="4">
        <f t="shared" si="43"/>
        <v>-21.543166666666664</v>
      </c>
      <c r="AE117" s="4">
        <f t="shared" si="44"/>
        <v>-21.520499999999998</v>
      </c>
      <c r="AF117" s="4">
        <f t="shared" si="45"/>
        <v>-21.536166666666666</v>
      </c>
      <c r="AG117" s="4">
        <f t="shared" si="46"/>
        <v>-21.527416666666667</v>
      </c>
      <c r="AH117" s="4">
        <f t="shared" si="47"/>
        <v>-21.521833333333333</v>
      </c>
      <c r="AI117" s="4">
        <f t="shared" si="48"/>
        <v>-21.532083333333333</v>
      </c>
      <c r="AJ117" s="4">
        <f t="shared" si="49"/>
        <v>-21.535</v>
      </c>
      <c r="AK117" s="4">
        <f t="shared" si="50"/>
        <v>-21.561499999999999</v>
      </c>
      <c r="AL117"/>
      <c r="AN117" s="4">
        <f t="shared" si="51"/>
        <v>5.7416666666668448E-2</v>
      </c>
      <c r="AO117" s="4">
        <f t="shared" si="52"/>
        <v>-3.1666666666652077E-3</v>
      </c>
      <c r="AP117" s="4">
        <f t="shared" si="53"/>
        <v>1.9500000000000739E-2</v>
      </c>
      <c r="AQ117" s="4">
        <f t="shared" si="54"/>
        <v>3.8333333333326891E-3</v>
      </c>
      <c r="AR117" s="4">
        <f t="shared" si="55"/>
        <v>1.2583333333331836E-2</v>
      </c>
      <c r="AS117" s="4">
        <f t="shared" si="56"/>
        <v>1.8166666666665776E-2</v>
      </c>
      <c r="AT117" s="4">
        <f t="shared" si="57"/>
        <v>7.9166666666665719E-3</v>
      </c>
      <c r="AU117" s="4">
        <f t="shared" si="58"/>
        <v>4.9999999999990052E-3</v>
      </c>
      <c r="AV117" s="4">
        <f t="shared" si="59"/>
        <v>-2.1499999999999631E-2</v>
      </c>
    </row>
    <row r="118" spans="1:48" x14ac:dyDescent="0.25">
      <c r="A118" s="18">
        <v>124</v>
      </c>
      <c r="B118" s="19">
        <v>43581</v>
      </c>
      <c r="C118" s="20">
        <v>0.49489583333333331</v>
      </c>
      <c r="D118" s="18">
        <v>-21.63</v>
      </c>
      <c r="E118" s="18">
        <v>-21.63</v>
      </c>
      <c r="F118" s="18">
        <v>-21.5</v>
      </c>
      <c r="G118" s="18">
        <v>-21.56</v>
      </c>
      <c r="H118" s="18">
        <v>-21.69</v>
      </c>
      <c r="I118" s="18">
        <v>-21.69</v>
      </c>
      <c r="J118" s="18">
        <v>-21.31</v>
      </c>
      <c r="K118" s="18">
        <v>-21.38</v>
      </c>
      <c r="L118" s="18">
        <v>-21.88</v>
      </c>
      <c r="M118" s="18">
        <v>25</v>
      </c>
      <c r="N118" s="29">
        <v>-21.55</v>
      </c>
      <c r="O118" s="4">
        <f>N118-'Sonde étalon'!$C$12</f>
        <v>-21.55</v>
      </c>
      <c r="R118" s="4">
        <f t="shared" si="33"/>
        <v>-7.9999999999998295E-2</v>
      </c>
      <c r="S118" s="4">
        <f t="shared" si="34"/>
        <v>-7.9999999999998295E-2</v>
      </c>
      <c r="T118" s="4">
        <f t="shared" si="35"/>
        <v>5.0000000000000711E-2</v>
      </c>
      <c r="U118" s="4">
        <f t="shared" si="36"/>
        <v>-9.9999999999980105E-3</v>
      </c>
      <c r="V118" s="4">
        <f t="shared" si="37"/>
        <v>-0.14000000000000057</v>
      </c>
      <c r="W118" s="4">
        <f t="shared" si="38"/>
        <v>-0.14000000000000057</v>
      </c>
      <c r="X118" s="4">
        <f t="shared" si="39"/>
        <v>0.24000000000000199</v>
      </c>
      <c r="Y118" s="4">
        <f t="shared" si="40"/>
        <v>0.17000000000000171</v>
      </c>
      <c r="Z118" s="4">
        <f t="shared" si="41"/>
        <v>-0.32999999999999829</v>
      </c>
      <c r="AC118" s="4">
        <f t="shared" si="42"/>
        <v>-21.552583333333331</v>
      </c>
      <c r="AD118" s="4">
        <f t="shared" si="43"/>
        <v>-21.543166666666664</v>
      </c>
      <c r="AE118" s="4">
        <f t="shared" si="44"/>
        <v>-21.520499999999998</v>
      </c>
      <c r="AF118" s="4">
        <f t="shared" si="45"/>
        <v>-21.536166666666666</v>
      </c>
      <c r="AG118" s="4">
        <f t="shared" si="46"/>
        <v>-21.527416666666667</v>
      </c>
      <c r="AH118" s="4">
        <f t="shared" si="47"/>
        <v>-21.521833333333333</v>
      </c>
      <c r="AI118" s="4">
        <f t="shared" si="48"/>
        <v>-21.532083333333333</v>
      </c>
      <c r="AJ118" s="4">
        <f t="shared" si="49"/>
        <v>-21.535</v>
      </c>
      <c r="AK118" s="4">
        <f t="shared" si="50"/>
        <v>-21.561499999999999</v>
      </c>
      <c r="AL118"/>
      <c r="AN118" s="4">
        <f t="shared" si="51"/>
        <v>-2.5833333333302733E-3</v>
      </c>
      <c r="AO118" s="4">
        <f t="shared" si="52"/>
        <v>6.8333333333363555E-3</v>
      </c>
      <c r="AP118" s="4">
        <f t="shared" si="53"/>
        <v>2.9500000000002302E-2</v>
      </c>
      <c r="AQ118" s="4">
        <f t="shared" si="54"/>
        <v>1.3833333333334252E-2</v>
      </c>
      <c r="AR118" s="4">
        <f t="shared" si="55"/>
        <v>2.25833333333334E-2</v>
      </c>
      <c r="AS118" s="4">
        <f t="shared" si="56"/>
        <v>2.8166666666667339E-2</v>
      </c>
      <c r="AT118" s="4">
        <f t="shared" si="57"/>
        <v>1.7916666666668135E-2</v>
      </c>
      <c r="AU118" s="4">
        <f t="shared" si="58"/>
        <v>1.5000000000000568E-2</v>
      </c>
      <c r="AV118" s="4">
        <f t="shared" si="59"/>
        <v>-1.1499999999998067E-2</v>
      </c>
    </row>
    <row r="119" spans="1:48" x14ac:dyDescent="0.25">
      <c r="A119" s="18">
        <v>125</v>
      </c>
      <c r="B119" s="19">
        <v>43581</v>
      </c>
      <c r="C119" s="20">
        <v>0.49559027777777781</v>
      </c>
      <c r="D119" s="18">
        <v>-21.63</v>
      </c>
      <c r="E119" s="18">
        <v>-21.63</v>
      </c>
      <c r="F119" s="18">
        <v>-21.5</v>
      </c>
      <c r="G119" s="18">
        <v>-21.56</v>
      </c>
      <c r="H119" s="18">
        <v>-21.69</v>
      </c>
      <c r="I119" s="18">
        <v>-21.69</v>
      </c>
      <c r="J119" s="18">
        <v>-21.31</v>
      </c>
      <c r="K119" s="18">
        <v>-21.38</v>
      </c>
      <c r="L119" s="18">
        <v>-21.81</v>
      </c>
      <c r="M119" s="18">
        <v>25</v>
      </c>
      <c r="N119" s="29">
        <v>-21.54</v>
      </c>
      <c r="O119" s="4">
        <f>N119-'Sonde étalon'!$C$12</f>
        <v>-21.54</v>
      </c>
      <c r="R119" s="4">
        <f t="shared" si="33"/>
        <v>-8.9999999999999858E-2</v>
      </c>
      <c r="S119" s="4">
        <f t="shared" si="34"/>
        <v>-8.9999999999999858E-2</v>
      </c>
      <c r="T119" s="4">
        <f t="shared" si="35"/>
        <v>3.9999999999999147E-2</v>
      </c>
      <c r="U119" s="4">
        <f t="shared" si="36"/>
        <v>-1.9999999999999574E-2</v>
      </c>
      <c r="V119" s="4">
        <f t="shared" si="37"/>
        <v>-0.15000000000000213</v>
      </c>
      <c r="W119" s="4">
        <f t="shared" si="38"/>
        <v>-0.15000000000000213</v>
      </c>
      <c r="X119" s="4">
        <f t="shared" si="39"/>
        <v>0.23000000000000043</v>
      </c>
      <c r="Y119" s="4">
        <f t="shared" si="40"/>
        <v>0.16000000000000014</v>
      </c>
      <c r="Z119" s="4">
        <f t="shared" si="41"/>
        <v>-0.26999999999999957</v>
      </c>
      <c r="AC119" s="4">
        <f t="shared" si="42"/>
        <v>-21.552583333333331</v>
      </c>
      <c r="AD119" s="4">
        <f t="shared" si="43"/>
        <v>-21.543166666666664</v>
      </c>
      <c r="AE119" s="4">
        <f t="shared" si="44"/>
        <v>-21.520499999999998</v>
      </c>
      <c r="AF119" s="4">
        <f t="shared" si="45"/>
        <v>-21.536166666666666</v>
      </c>
      <c r="AG119" s="4">
        <f t="shared" si="46"/>
        <v>-21.527416666666667</v>
      </c>
      <c r="AH119" s="4">
        <f t="shared" si="47"/>
        <v>-21.521833333333333</v>
      </c>
      <c r="AI119" s="4">
        <f t="shared" si="48"/>
        <v>-21.532083333333333</v>
      </c>
      <c r="AJ119" s="4">
        <f t="shared" si="49"/>
        <v>-21.535</v>
      </c>
      <c r="AK119" s="4">
        <f t="shared" si="50"/>
        <v>-21.491499999999998</v>
      </c>
      <c r="AL119"/>
      <c r="AN119" s="4">
        <f t="shared" si="51"/>
        <v>-1.2583333333331836E-2</v>
      </c>
      <c r="AO119" s="4">
        <f t="shared" si="52"/>
        <v>-3.1666666666652077E-3</v>
      </c>
      <c r="AP119" s="4">
        <f t="shared" si="53"/>
        <v>1.9500000000000739E-2</v>
      </c>
      <c r="AQ119" s="4">
        <f t="shared" si="54"/>
        <v>3.8333333333326891E-3</v>
      </c>
      <c r="AR119" s="4">
        <f t="shared" si="55"/>
        <v>1.2583333333331836E-2</v>
      </c>
      <c r="AS119" s="4">
        <f t="shared" si="56"/>
        <v>1.8166666666665776E-2</v>
      </c>
      <c r="AT119" s="4">
        <f t="shared" si="57"/>
        <v>7.9166666666665719E-3</v>
      </c>
      <c r="AU119" s="4">
        <f t="shared" si="58"/>
        <v>4.9999999999990052E-3</v>
      </c>
      <c r="AV119" s="4">
        <f t="shared" si="59"/>
        <v>4.8500000000000654E-2</v>
      </c>
    </row>
    <row r="120" spans="1:48" x14ac:dyDescent="0.25">
      <c r="A120" s="18">
        <v>126</v>
      </c>
      <c r="B120" s="19">
        <v>43581</v>
      </c>
      <c r="C120" s="20">
        <v>0.4962847222222222</v>
      </c>
      <c r="D120" s="18">
        <v>-21.63</v>
      </c>
      <c r="E120" s="18">
        <v>-21.63</v>
      </c>
      <c r="F120" s="18">
        <v>-21.5</v>
      </c>
      <c r="G120" s="18">
        <v>-21.56</v>
      </c>
      <c r="H120" s="18">
        <v>-21.69</v>
      </c>
      <c r="I120" s="18">
        <v>-21.69</v>
      </c>
      <c r="J120" s="18">
        <v>-21.31</v>
      </c>
      <c r="K120" s="18">
        <v>-21.38</v>
      </c>
      <c r="L120" s="18">
        <v>-21.88</v>
      </c>
      <c r="M120" s="18">
        <v>25</v>
      </c>
      <c r="N120" s="29">
        <v>-21.54</v>
      </c>
      <c r="O120" s="4">
        <f>N120-'Sonde étalon'!$C$12</f>
        <v>-21.54</v>
      </c>
      <c r="R120" s="4">
        <f t="shared" si="33"/>
        <v>-8.9999999999999858E-2</v>
      </c>
      <c r="S120" s="4">
        <f t="shared" si="34"/>
        <v>-8.9999999999999858E-2</v>
      </c>
      <c r="T120" s="4">
        <f t="shared" si="35"/>
        <v>3.9999999999999147E-2</v>
      </c>
      <c r="U120" s="4">
        <f t="shared" si="36"/>
        <v>-1.9999999999999574E-2</v>
      </c>
      <c r="V120" s="4">
        <f t="shared" si="37"/>
        <v>-0.15000000000000213</v>
      </c>
      <c r="W120" s="4">
        <f t="shared" si="38"/>
        <v>-0.15000000000000213</v>
      </c>
      <c r="X120" s="4">
        <f t="shared" si="39"/>
        <v>0.23000000000000043</v>
      </c>
      <c r="Y120" s="4">
        <f t="shared" si="40"/>
        <v>0.16000000000000014</v>
      </c>
      <c r="Z120" s="4">
        <f t="shared" si="41"/>
        <v>-0.33999999999999986</v>
      </c>
      <c r="AC120" s="4">
        <f t="shared" si="42"/>
        <v>-21.552583333333331</v>
      </c>
      <c r="AD120" s="4">
        <f t="shared" si="43"/>
        <v>-21.543166666666664</v>
      </c>
      <c r="AE120" s="4">
        <f t="shared" si="44"/>
        <v>-21.520499999999998</v>
      </c>
      <c r="AF120" s="4">
        <f t="shared" si="45"/>
        <v>-21.536166666666666</v>
      </c>
      <c r="AG120" s="4">
        <f t="shared" si="46"/>
        <v>-21.527416666666667</v>
      </c>
      <c r="AH120" s="4">
        <f t="shared" si="47"/>
        <v>-21.521833333333333</v>
      </c>
      <c r="AI120" s="4">
        <f t="shared" si="48"/>
        <v>-21.532083333333333</v>
      </c>
      <c r="AJ120" s="4">
        <f t="shared" si="49"/>
        <v>-21.535</v>
      </c>
      <c r="AK120" s="4">
        <f t="shared" si="50"/>
        <v>-21.561499999999999</v>
      </c>
      <c r="AL120"/>
      <c r="AN120" s="4">
        <f t="shared" si="51"/>
        <v>-1.2583333333331836E-2</v>
      </c>
      <c r="AO120" s="4">
        <f t="shared" si="52"/>
        <v>-3.1666666666652077E-3</v>
      </c>
      <c r="AP120" s="4">
        <f t="shared" si="53"/>
        <v>1.9500000000000739E-2</v>
      </c>
      <c r="AQ120" s="4">
        <f t="shared" si="54"/>
        <v>3.8333333333326891E-3</v>
      </c>
      <c r="AR120" s="4">
        <f t="shared" si="55"/>
        <v>1.2583333333331836E-2</v>
      </c>
      <c r="AS120" s="4">
        <f t="shared" si="56"/>
        <v>1.8166666666665776E-2</v>
      </c>
      <c r="AT120" s="4">
        <f t="shared" si="57"/>
        <v>7.9166666666665719E-3</v>
      </c>
      <c r="AU120" s="4">
        <f t="shared" si="58"/>
        <v>4.9999999999990052E-3</v>
      </c>
      <c r="AV120" s="4">
        <f t="shared" si="59"/>
        <v>-2.1499999999999631E-2</v>
      </c>
    </row>
    <row r="121" spans="1:48" x14ac:dyDescent="0.25">
      <c r="A121" s="18">
        <v>127</v>
      </c>
      <c r="B121" s="19">
        <v>43581</v>
      </c>
      <c r="C121" s="20">
        <v>0.49697916666666669</v>
      </c>
      <c r="D121" s="18">
        <v>-21.63</v>
      </c>
      <c r="E121" s="18">
        <v>-21.63</v>
      </c>
      <c r="F121" s="18">
        <v>-21.56</v>
      </c>
      <c r="G121" s="18">
        <v>-21.56</v>
      </c>
      <c r="H121" s="18">
        <v>-21.69</v>
      </c>
      <c r="I121" s="18">
        <v>-21.69</v>
      </c>
      <c r="J121" s="18">
        <v>-21.31</v>
      </c>
      <c r="K121" s="18">
        <v>-21.38</v>
      </c>
      <c r="L121" s="18">
        <v>-21.88</v>
      </c>
      <c r="M121" s="18">
        <v>25</v>
      </c>
      <c r="N121" s="29">
        <v>-21.54</v>
      </c>
      <c r="O121" s="4">
        <f>N121-'Sonde étalon'!$C$12</f>
        <v>-21.54</v>
      </c>
      <c r="R121" s="4">
        <f t="shared" si="33"/>
        <v>-8.9999999999999858E-2</v>
      </c>
      <c r="S121" s="4">
        <f t="shared" si="34"/>
        <v>-8.9999999999999858E-2</v>
      </c>
      <c r="T121" s="4">
        <f t="shared" si="35"/>
        <v>-1.9999999999999574E-2</v>
      </c>
      <c r="U121" s="4">
        <f t="shared" si="36"/>
        <v>-1.9999999999999574E-2</v>
      </c>
      <c r="V121" s="4">
        <f t="shared" si="37"/>
        <v>-0.15000000000000213</v>
      </c>
      <c r="W121" s="4">
        <f t="shared" si="38"/>
        <v>-0.15000000000000213</v>
      </c>
      <c r="X121" s="4">
        <f t="shared" si="39"/>
        <v>0.23000000000000043</v>
      </c>
      <c r="Y121" s="4">
        <f t="shared" si="40"/>
        <v>0.16000000000000014</v>
      </c>
      <c r="Z121" s="4">
        <f t="shared" si="41"/>
        <v>-0.33999999999999986</v>
      </c>
      <c r="AC121" s="4">
        <f t="shared" si="42"/>
        <v>-21.552583333333331</v>
      </c>
      <c r="AD121" s="4">
        <f t="shared" si="43"/>
        <v>-21.543166666666664</v>
      </c>
      <c r="AE121" s="4">
        <f t="shared" si="44"/>
        <v>-21.580499999999997</v>
      </c>
      <c r="AF121" s="4">
        <f t="shared" si="45"/>
        <v>-21.536166666666666</v>
      </c>
      <c r="AG121" s="4">
        <f t="shared" si="46"/>
        <v>-21.527416666666667</v>
      </c>
      <c r="AH121" s="4">
        <f t="shared" si="47"/>
        <v>-21.521833333333333</v>
      </c>
      <c r="AI121" s="4">
        <f t="shared" si="48"/>
        <v>-21.532083333333333</v>
      </c>
      <c r="AJ121" s="4">
        <f t="shared" si="49"/>
        <v>-21.535</v>
      </c>
      <c r="AK121" s="4">
        <f t="shared" si="50"/>
        <v>-21.561499999999999</v>
      </c>
      <c r="AL121"/>
      <c r="AN121" s="4">
        <f t="shared" si="51"/>
        <v>-1.2583333333331836E-2</v>
      </c>
      <c r="AO121" s="4">
        <f t="shared" si="52"/>
        <v>-3.1666666666652077E-3</v>
      </c>
      <c r="AP121" s="4">
        <f t="shared" si="53"/>
        <v>-4.0499999999997982E-2</v>
      </c>
      <c r="AQ121" s="4">
        <f t="shared" si="54"/>
        <v>3.8333333333326891E-3</v>
      </c>
      <c r="AR121" s="4">
        <f t="shared" si="55"/>
        <v>1.2583333333331836E-2</v>
      </c>
      <c r="AS121" s="4">
        <f t="shared" si="56"/>
        <v>1.8166666666665776E-2</v>
      </c>
      <c r="AT121" s="4">
        <f t="shared" si="57"/>
        <v>7.9166666666665719E-3</v>
      </c>
      <c r="AU121" s="4">
        <f t="shared" si="58"/>
        <v>4.9999999999990052E-3</v>
      </c>
      <c r="AV121" s="4">
        <f t="shared" si="59"/>
        <v>-2.1499999999999631E-2</v>
      </c>
    </row>
    <row r="122" spans="1:48" x14ac:dyDescent="0.25">
      <c r="A122" s="18">
        <v>128</v>
      </c>
      <c r="B122" s="19">
        <v>43581</v>
      </c>
      <c r="C122" s="20">
        <v>0.49767361111111108</v>
      </c>
      <c r="D122" s="18">
        <v>-21.63</v>
      </c>
      <c r="E122" s="18">
        <v>-21.63</v>
      </c>
      <c r="F122" s="18">
        <v>-21.56</v>
      </c>
      <c r="G122" s="18">
        <v>-21.56</v>
      </c>
      <c r="H122" s="18">
        <v>-21.69</v>
      </c>
      <c r="I122" s="18">
        <v>-21.69</v>
      </c>
      <c r="J122" s="18">
        <v>-21.31</v>
      </c>
      <c r="K122" s="18">
        <v>-21.38</v>
      </c>
      <c r="L122" s="18">
        <v>-21.88</v>
      </c>
      <c r="M122" s="18">
        <v>25</v>
      </c>
      <c r="N122" s="29">
        <v>-21.55</v>
      </c>
      <c r="O122" s="4">
        <f>N122-'Sonde étalon'!$C$12</f>
        <v>-21.55</v>
      </c>
      <c r="R122" s="4">
        <f t="shared" si="33"/>
        <v>-7.9999999999998295E-2</v>
      </c>
      <c r="S122" s="4">
        <f t="shared" si="34"/>
        <v>-7.9999999999998295E-2</v>
      </c>
      <c r="T122" s="4">
        <f t="shared" si="35"/>
        <v>-9.9999999999980105E-3</v>
      </c>
      <c r="U122" s="4">
        <f t="shared" si="36"/>
        <v>-9.9999999999980105E-3</v>
      </c>
      <c r="V122" s="4">
        <f t="shared" si="37"/>
        <v>-0.14000000000000057</v>
      </c>
      <c r="W122" s="4">
        <f t="shared" si="38"/>
        <v>-0.14000000000000057</v>
      </c>
      <c r="X122" s="4">
        <f t="shared" si="39"/>
        <v>0.24000000000000199</v>
      </c>
      <c r="Y122" s="4">
        <f t="shared" si="40"/>
        <v>0.17000000000000171</v>
      </c>
      <c r="Z122" s="4">
        <f t="shared" si="41"/>
        <v>-0.32999999999999829</v>
      </c>
      <c r="AC122" s="4">
        <f t="shared" si="42"/>
        <v>-21.552583333333331</v>
      </c>
      <c r="AD122" s="4">
        <f t="shared" si="43"/>
        <v>-21.543166666666664</v>
      </c>
      <c r="AE122" s="4">
        <f t="shared" si="44"/>
        <v>-21.580499999999997</v>
      </c>
      <c r="AF122" s="4">
        <f t="shared" si="45"/>
        <v>-21.536166666666666</v>
      </c>
      <c r="AG122" s="4">
        <f t="shared" si="46"/>
        <v>-21.527416666666667</v>
      </c>
      <c r="AH122" s="4">
        <f t="shared" si="47"/>
        <v>-21.521833333333333</v>
      </c>
      <c r="AI122" s="4">
        <f t="shared" si="48"/>
        <v>-21.532083333333333</v>
      </c>
      <c r="AJ122" s="4">
        <f t="shared" si="49"/>
        <v>-21.535</v>
      </c>
      <c r="AK122" s="4">
        <f t="shared" si="50"/>
        <v>-21.561499999999999</v>
      </c>
      <c r="AL122"/>
      <c r="AN122" s="4">
        <f t="shared" si="51"/>
        <v>-2.5833333333302733E-3</v>
      </c>
      <c r="AO122" s="4">
        <f t="shared" si="52"/>
        <v>6.8333333333363555E-3</v>
      </c>
      <c r="AP122" s="4">
        <f t="shared" si="53"/>
        <v>-3.0499999999996419E-2</v>
      </c>
      <c r="AQ122" s="4">
        <f t="shared" si="54"/>
        <v>1.3833333333334252E-2</v>
      </c>
      <c r="AR122" s="4">
        <f t="shared" si="55"/>
        <v>2.25833333333334E-2</v>
      </c>
      <c r="AS122" s="4">
        <f t="shared" si="56"/>
        <v>2.8166666666667339E-2</v>
      </c>
      <c r="AT122" s="4">
        <f t="shared" si="57"/>
        <v>1.7916666666668135E-2</v>
      </c>
      <c r="AU122" s="4">
        <f t="shared" si="58"/>
        <v>1.5000000000000568E-2</v>
      </c>
      <c r="AV122" s="4">
        <f t="shared" si="59"/>
        <v>-1.1499999999998067E-2</v>
      </c>
    </row>
    <row r="123" spans="1:48" x14ac:dyDescent="0.25">
      <c r="A123" s="18">
        <v>129</v>
      </c>
      <c r="B123" s="19">
        <v>43581</v>
      </c>
      <c r="C123" s="20">
        <v>0.49836805555555558</v>
      </c>
      <c r="D123" s="18">
        <v>-21.63</v>
      </c>
      <c r="E123" s="18">
        <v>-21.63</v>
      </c>
      <c r="F123" s="18">
        <v>-21.56</v>
      </c>
      <c r="G123" s="18">
        <v>-21.56</v>
      </c>
      <c r="H123" s="18">
        <v>-21.69</v>
      </c>
      <c r="I123" s="18">
        <v>-21.75</v>
      </c>
      <c r="J123" s="18">
        <v>-21.31</v>
      </c>
      <c r="K123" s="18">
        <v>-21.38</v>
      </c>
      <c r="L123" s="18">
        <v>-21.88</v>
      </c>
      <c r="M123" s="18">
        <v>25</v>
      </c>
      <c r="N123" s="29">
        <v>-21.56</v>
      </c>
      <c r="O123" s="4">
        <f>N123-'Sonde étalon'!$C$12</f>
        <v>-21.56</v>
      </c>
      <c r="R123" s="4">
        <f t="shared" si="33"/>
        <v>-7.0000000000000284E-2</v>
      </c>
      <c r="S123" s="4">
        <f t="shared" si="34"/>
        <v>-7.0000000000000284E-2</v>
      </c>
      <c r="T123" s="4">
        <f t="shared" si="35"/>
        <v>0</v>
      </c>
      <c r="U123" s="4">
        <f t="shared" si="36"/>
        <v>0</v>
      </c>
      <c r="V123" s="4">
        <f t="shared" si="37"/>
        <v>-0.13000000000000256</v>
      </c>
      <c r="W123" s="4">
        <f t="shared" si="38"/>
        <v>-0.19000000000000128</v>
      </c>
      <c r="X123" s="4">
        <f t="shared" si="39"/>
        <v>0.25</v>
      </c>
      <c r="Y123" s="4">
        <f t="shared" si="40"/>
        <v>0.17999999999999972</v>
      </c>
      <c r="Z123" s="4">
        <f t="shared" si="41"/>
        <v>-0.32000000000000028</v>
      </c>
      <c r="AC123" s="4">
        <f t="shared" si="42"/>
        <v>-21.552583333333331</v>
      </c>
      <c r="AD123" s="4">
        <f t="shared" si="43"/>
        <v>-21.543166666666664</v>
      </c>
      <c r="AE123" s="4">
        <f t="shared" si="44"/>
        <v>-21.580499999999997</v>
      </c>
      <c r="AF123" s="4">
        <f t="shared" si="45"/>
        <v>-21.536166666666666</v>
      </c>
      <c r="AG123" s="4">
        <f t="shared" si="46"/>
        <v>-21.527416666666667</v>
      </c>
      <c r="AH123" s="4">
        <f t="shared" si="47"/>
        <v>-21.581833333333332</v>
      </c>
      <c r="AI123" s="4">
        <f t="shared" si="48"/>
        <v>-21.532083333333333</v>
      </c>
      <c r="AJ123" s="4">
        <f t="shared" si="49"/>
        <v>-21.535</v>
      </c>
      <c r="AK123" s="4">
        <f t="shared" si="50"/>
        <v>-21.561499999999999</v>
      </c>
      <c r="AL123"/>
      <c r="AN123" s="4">
        <f t="shared" si="51"/>
        <v>7.4166666666677372E-3</v>
      </c>
      <c r="AO123" s="4">
        <f t="shared" si="52"/>
        <v>1.6833333333334366E-2</v>
      </c>
      <c r="AP123" s="4">
        <f t="shared" si="53"/>
        <v>-2.0499999999998408E-2</v>
      </c>
      <c r="AQ123" s="4">
        <f t="shared" si="54"/>
        <v>2.3833333333332263E-2</v>
      </c>
      <c r="AR123" s="4">
        <f t="shared" si="55"/>
        <v>3.258333333333141E-2</v>
      </c>
      <c r="AS123" s="4">
        <f t="shared" si="56"/>
        <v>-2.1833333333333371E-2</v>
      </c>
      <c r="AT123" s="4">
        <f t="shared" si="57"/>
        <v>2.7916666666666146E-2</v>
      </c>
      <c r="AU123" s="4">
        <f t="shared" si="58"/>
        <v>2.4999999999998579E-2</v>
      </c>
      <c r="AV123" s="4">
        <f t="shared" si="59"/>
        <v>-1.5000000000000568E-3</v>
      </c>
    </row>
    <row r="124" spans="1:48" x14ac:dyDescent="0.25">
      <c r="A124" s="18">
        <v>130</v>
      </c>
      <c r="B124" s="19">
        <v>43581</v>
      </c>
      <c r="C124" s="20">
        <v>0.49906249999999996</v>
      </c>
      <c r="D124" s="18">
        <v>-21.63</v>
      </c>
      <c r="E124" s="18">
        <v>-21.69</v>
      </c>
      <c r="F124" s="18">
        <v>-21.56</v>
      </c>
      <c r="G124" s="18">
        <v>-21.56</v>
      </c>
      <c r="H124" s="18">
        <v>-21.75</v>
      </c>
      <c r="I124" s="18">
        <v>-21.75</v>
      </c>
      <c r="J124" s="18">
        <v>-21.31</v>
      </c>
      <c r="K124" s="18">
        <v>-21.44</v>
      </c>
      <c r="L124" s="18">
        <v>-21.88</v>
      </c>
      <c r="M124" s="18">
        <v>25</v>
      </c>
      <c r="N124" s="29">
        <v>-21.57</v>
      </c>
      <c r="O124" s="4">
        <f>N124-'Sonde étalon'!$C$12</f>
        <v>-21.57</v>
      </c>
      <c r="R124" s="4">
        <f t="shared" si="33"/>
        <v>-5.9999999999998721E-2</v>
      </c>
      <c r="S124" s="4">
        <f t="shared" si="34"/>
        <v>-0.12000000000000099</v>
      </c>
      <c r="T124" s="4">
        <f t="shared" si="35"/>
        <v>1.0000000000001563E-2</v>
      </c>
      <c r="U124" s="4">
        <f t="shared" si="36"/>
        <v>1.0000000000001563E-2</v>
      </c>
      <c r="V124" s="4">
        <f t="shared" si="37"/>
        <v>-0.17999999999999972</v>
      </c>
      <c r="W124" s="4">
        <f t="shared" si="38"/>
        <v>-0.17999999999999972</v>
      </c>
      <c r="X124" s="4">
        <f t="shared" si="39"/>
        <v>0.26000000000000156</v>
      </c>
      <c r="Y124" s="4">
        <f t="shared" si="40"/>
        <v>0.12999999999999901</v>
      </c>
      <c r="Z124" s="4">
        <f t="shared" si="41"/>
        <v>-0.30999999999999872</v>
      </c>
      <c r="AC124" s="4">
        <f t="shared" si="42"/>
        <v>-21.552583333333331</v>
      </c>
      <c r="AD124" s="4">
        <f t="shared" si="43"/>
        <v>-21.603166666666667</v>
      </c>
      <c r="AE124" s="4">
        <f t="shared" si="44"/>
        <v>-21.580499999999997</v>
      </c>
      <c r="AF124" s="4">
        <f t="shared" si="45"/>
        <v>-21.536166666666666</v>
      </c>
      <c r="AG124" s="4">
        <f t="shared" si="46"/>
        <v>-21.587416666666666</v>
      </c>
      <c r="AH124" s="4">
        <f t="shared" si="47"/>
        <v>-21.581833333333332</v>
      </c>
      <c r="AI124" s="4">
        <f t="shared" si="48"/>
        <v>-21.532083333333333</v>
      </c>
      <c r="AJ124" s="4">
        <f t="shared" si="49"/>
        <v>-21.595000000000002</v>
      </c>
      <c r="AK124" s="4">
        <f t="shared" si="50"/>
        <v>-21.561499999999999</v>
      </c>
      <c r="AL124"/>
      <c r="AN124" s="4">
        <f t="shared" si="51"/>
        <v>1.74166666666693E-2</v>
      </c>
      <c r="AO124" s="4">
        <f t="shared" si="52"/>
        <v>-3.3166666666666345E-2</v>
      </c>
      <c r="AP124" s="4">
        <f t="shared" si="53"/>
        <v>-1.0499999999996845E-2</v>
      </c>
      <c r="AQ124" s="4">
        <f t="shared" si="54"/>
        <v>3.3833333333333826E-2</v>
      </c>
      <c r="AR124" s="4">
        <f t="shared" si="55"/>
        <v>-1.7416666666665748E-2</v>
      </c>
      <c r="AS124" s="4">
        <f t="shared" si="56"/>
        <v>-1.1833333333331808E-2</v>
      </c>
      <c r="AT124" s="4">
        <f t="shared" si="57"/>
        <v>3.7916666666667709E-2</v>
      </c>
      <c r="AU124" s="4">
        <f t="shared" si="58"/>
        <v>-2.5000000000002132E-2</v>
      </c>
      <c r="AV124" s="4">
        <f t="shared" si="59"/>
        <v>8.5000000000015064E-3</v>
      </c>
    </row>
    <row r="125" spans="1:48" x14ac:dyDescent="0.25">
      <c r="A125" s="18">
        <v>131</v>
      </c>
      <c r="B125" s="19">
        <v>43581</v>
      </c>
      <c r="C125" s="20">
        <v>0.49975694444444446</v>
      </c>
      <c r="D125" s="18">
        <v>-21.63</v>
      </c>
      <c r="E125" s="18">
        <v>-21.63</v>
      </c>
      <c r="F125" s="18">
        <v>-21.56</v>
      </c>
      <c r="G125" s="18">
        <v>-21.56</v>
      </c>
      <c r="H125" s="18">
        <v>-21.75</v>
      </c>
      <c r="I125" s="18">
        <v>-21.75</v>
      </c>
      <c r="J125" s="18">
        <v>-21.31</v>
      </c>
      <c r="K125" s="18">
        <v>-21.44</v>
      </c>
      <c r="L125" s="18">
        <v>-21.88</v>
      </c>
      <c r="M125" s="18">
        <v>25</v>
      </c>
      <c r="N125" s="29">
        <v>-21.56</v>
      </c>
      <c r="O125" s="4">
        <f>N125-'Sonde étalon'!$C$12</f>
        <v>-21.56</v>
      </c>
      <c r="R125" s="4">
        <f t="shared" si="33"/>
        <v>-7.0000000000000284E-2</v>
      </c>
      <c r="S125" s="4">
        <f t="shared" si="34"/>
        <v>-7.0000000000000284E-2</v>
      </c>
      <c r="T125" s="4">
        <f t="shared" si="35"/>
        <v>0</v>
      </c>
      <c r="U125" s="4">
        <f t="shared" si="36"/>
        <v>0</v>
      </c>
      <c r="V125" s="4">
        <f t="shared" si="37"/>
        <v>-0.19000000000000128</v>
      </c>
      <c r="W125" s="4">
        <f t="shared" si="38"/>
        <v>-0.19000000000000128</v>
      </c>
      <c r="X125" s="4">
        <f t="shared" si="39"/>
        <v>0.25</v>
      </c>
      <c r="Y125" s="4">
        <f t="shared" si="40"/>
        <v>0.11999999999999744</v>
      </c>
      <c r="Z125" s="4">
        <f t="shared" si="41"/>
        <v>-0.32000000000000028</v>
      </c>
      <c r="AC125" s="4">
        <f t="shared" si="42"/>
        <v>-21.552583333333331</v>
      </c>
      <c r="AD125" s="4">
        <f t="shared" si="43"/>
        <v>-21.543166666666664</v>
      </c>
      <c r="AE125" s="4">
        <f t="shared" si="44"/>
        <v>-21.580499999999997</v>
      </c>
      <c r="AF125" s="4">
        <f t="shared" si="45"/>
        <v>-21.536166666666666</v>
      </c>
      <c r="AG125" s="4">
        <f t="shared" si="46"/>
        <v>-21.587416666666666</v>
      </c>
      <c r="AH125" s="4">
        <f t="shared" si="47"/>
        <v>-21.581833333333332</v>
      </c>
      <c r="AI125" s="4">
        <f t="shared" si="48"/>
        <v>-21.532083333333333</v>
      </c>
      <c r="AJ125" s="4">
        <f t="shared" si="49"/>
        <v>-21.595000000000002</v>
      </c>
      <c r="AK125" s="4">
        <f t="shared" si="50"/>
        <v>-21.561499999999999</v>
      </c>
      <c r="AL125"/>
      <c r="AN125" s="4">
        <f t="shared" si="51"/>
        <v>7.4166666666677372E-3</v>
      </c>
      <c r="AO125" s="4">
        <f t="shared" si="52"/>
        <v>1.6833333333334366E-2</v>
      </c>
      <c r="AP125" s="4">
        <f t="shared" si="53"/>
        <v>-2.0499999999998408E-2</v>
      </c>
      <c r="AQ125" s="4">
        <f t="shared" si="54"/>
        <v>2.3833333333332263E-2</v>
      </c>
      <c r="AR125" s="4">
        <f t="shared" si="55"/>
        <v>-2.7416666666667311E-2</v>
      </c>
      <c r="AS125" s="4">
        <f t="shared" si="56"/>
        <v>-2.1833333333333371E-2</v>
      </c>
      <c r="AT125" s="4">
        <f t="shared" si="57"/>
        <v>2.7916666666666146E-2</v>
      </c>
      <c r="AU125" s="4">
        <f t="shared" si="58"/>
        <v>-3.5000000000003695E-2</v>
      </c>
      <c r="AV125" s="4">
        <f t="shared" si="59"/>
        <v>-1.5000000000000568E-3</v>
      </c>
    </row>
    <row r="126" spans="1:48" x14ac:dyDescent="0.25">
      <c r="A126" s="18"/>
      <c r="B126" s="19"/>
      <c r="C126" s="20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S126" s="4"/>
      <c r="T126" s="4"/>
      <c r="U126" s="4"/>
      <c r="AF126" s="4"/>
      <c r="AL126"/>
      <c r="AP126" s="4"/>
      <c r="AQ126" s="4"/>
      <c r="AR126" s="4"/>
      <c r="AS126" s="4"/>
      <c r="AT126" s="4"/>
      <c r="AU126" s="4"/>
      <c r="AV126" s="4"/>
    </row>
    <row r="127" spans="1:48" x14ac:dyDescent="0.25">
      <c r="A127" s="18"/>
      <c r="B127" s="19"/>
      <c r="C127" s="20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S127" s="4"/>
      <c r="T127" s="4"/>
      <c r="U127" s="4"/>
      <c r="AF127" s="4"/>
      <c r="AL127"/>
      <c r="AP127" s="4"/>
      <c r="AQ127" s="4"/>
      <c r="AR127" s="4"/>
      <c r="AS127" s="4"/>
      <c r="AT127" s="4"/>
      <c r="AU127" s="4"/>
      <c r="AV127" s="4"/>
    </row>
    <row r="128" spans="1:48" x14ac:dyDescent="0.25">
      <c r="A128" s="18"/>
      <c r="B128" s="19"/>
      <c r="C128" s="20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S128" s="4"/>
      <c r="T128" s="4"/>
      <c r="U128" s="4"/>
      <c r="AF128" s="4"/>
      <c r="AL128"/>
      <c r="AP128" s="4"/>
      <c r="AQ128" s="4"/>
      <c r="AR128" s="4"/>
      <c r="AS128" s="4"/>
      <c r="AT128" s="4"/>
      <c r="AU128" s="4"/>
      <c r="AV128" s="4"/>
    </row>
    <row r="129" spans="1:48" x14ac:dyDescent="0.25">
      <c r="A129" s="18"/>
      <c r="B129" s="19"/>
      <c r="C129" s="20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S129" s="4"/>
      <c r="T129" s="4"/>
      <c r="U129" s="4"/>
      <c r="AF129" s="4"/>
      <c r="AL129"/>
      <c r="AP129" s="4"/>
      <c r="AQ129" s="4"/>
      <c r="AR129" s="4"/>
      <c r="AS129" s="4"/>
      <c r="AT129" s="4"/>
      <c r="AU129" s="4"/>
      <c r="AV129" s="4"/>
    </row>
    <row r="130" spans="1:48" x14ac:dyDescent="0.25">
      <c r="A130" s="18"/>
      <c r="B130" s="19"/>
      <c r="C130" s="20"/>
      <c r="D130" s="18"/>
      <c r="E130" s="18"/>
      <c r="F130" s="18"/>
      <c r="G130" s="18"/>
      <c r="H130" s="18"/>
      <c r="I130" s="18"/>
      <c r="J130" s="18"/>
      <c r="K130" s="18"/>
      <c r="L130" s="18"/>
      <c r="N130"/>
      <c r="S130" s="4"/>
      <c r="T130" s="4"/>
      <c r="U130" s="4"/>
      <c r="AF130" s="4"/>
      <c r="AL130"/>
      <c r="AP130" s="4"/>
      <c r="AQ130" s="4"/>
      <c r="AR130" s="4"/>
      <c r="AS130" s="4"/>
      <c r="AT130" s="4"/>
      <c r="AU130" s="4"/>
      <c r="AV130" s="4"/>
    </row>
    <row r="131" spans="1:48" x14ac:dyDescent="0.25">
      <c r="A131" s="18"/>
      <c r="B131" s="19"/>
      <c r="C131" s="20"/>
      <c r="D131" s="18"/>
      <c r="E131" s="18"/>
      <c r="F131" s="18"/>
      <c r="G131" s="18"/>
      <c r="H131" s="18"/>
      <c r="I131" s="18"/>
      <c r="J131" s="18"/>
      <c r="K131" s="18"/>
      <c r="L131" s="18"/>
      <c r="N131"/>
      <c r="S131" s="4"/>
      <c r="T131" s="4"/>
      <c r="U131" s="4"/>
      <c r="AF131" s="4"/>
      <c r="AL131"/>
      <c r="AP131" s="4"/>
      <c r="AQ131" s="4"/>
      <c r="AR131" s="4"/>
      <c r="AS131" s="4"/>
      <c r="AT131" s="4"/>
      <c r="AU131" s="4"/>
      <c r="AV131" s="4"/>
    </row>
    <row r="132" spans="1:48" x14ac:dyDescent="0.25">
      <c r="A132" s="18"/>
      <c r="B132" s="19"/>
      <c r="C132" s="20"/>
      <c r="D132" s="18"/>
      <c r="E132" s="18"/>
      <c r="F132" s="18"/>
      <c r="G132" s="18"/>
      <c r="H132" s="18"/>
      <c r="I132" s="18"/>
      <c r="J132" s="18"/>
      <c r="K132" s="18"/>
      <c r="L132" s="18"/>
      <c r="N132"/>
      <c r="S132" s="4"/>
      <c r="T132" s="4"/>
      <c r="U132" s="4"/>
      <c r="AF132" s="4"/>
      <c r="AL132"/>
      <c r="AP132" s="4"/>
      <c r="AQ132" s="4"/>
      <c r="AR132" s="4"/>
      <c r="AS132" s="4"/>
      <c r="AT132" s="4"/>
      <c r="AU132" s="4"/>
      <c r="AV132" s="4"/>
    </row>
    <row r="133" spans="1:48" x14ac:dyDescent="0.25">
      <c r="A133" s="18"/>
      <c r="B133" s="19"/>
      <c r="C133" s="20"/>
      <c r="D133" s="18"/>
      <c r="E133" s="18"/>
      <c r="F133" s="18"/>
      <c r="G133" s="18"/>
      <c r="H133" s="18"/>
      <c r="I133" s="18"/>
      <c r="J133" s="18"/>
      <c r="K133" s="18"/>
      <c r="L133" s="18"/>
      <c r="N133"/>
      <c r="S133" s="4"/>
      <c r="T133" s="4"/>
      <c r="U133" s="4"/>
      <c r="AF133" s="4"/>
      <c r="AL133"/>
      <c r="AP133" s="4"/>
      <c r="AQ133" s="4"/>
      <c r="AR133" s="4"/>
      <c r="AS133" s="4"/>
      <c r="AT133" s="4"/>
      <c r="AU133" s="4"/>
      <c r="AV133" s="4"/>
    </row>
    <row r="134" spans="1:48" x14ac:dyDescent="0.25">
      <c r="A134" s="18"/>
      <c r="B134" s="19"/>
      <c r="C134" s="20"/>
      <c r="D134" s="18"/>
      <c r="E134" s="18"/>
      <c r="F134" s="18"/>
      <c r="G134" s="18"/>
      <c r="H134" s="18"/>
      <c r="I134" s="18"/>
      <c r="J134" s="18"/>
      <c r="K134" s="18"/>
      <c r="L134" s="18"/>
      <c r="N134"/>
      <c r="S134" s="4"/>
      <c r="T134" s="4"/>
      <c r="U134" s="4"/>
      <c r="AF134" s="4"/>
      <c r="AL134"/>
      <c r="AP134" s="4"/>
      <c r="AQ134" s="4"/>
      <c r="AR134" s="4"/>
      <c r="AS134" s="4"/>
      <c r="AT134" s="4"/>
      <c r="AU134" s="4"/>
      <c r="AV134" s="4"/>
    </row>
    <row r="135" spans="1:48" x14ac:dyDescent="0.25">
      <c r="A135" s="18"/>
      <c r="B135" s="19"/>
      <c r="C135" s="20"/>
      <c r="D135" s="18"/>
      <c r="E135" s="18"/>
      <c r="F135" s="18"/>
      <c r="G135" s="18"/>
      <c r="H135" s="18"/>
      <c r="I135" s="18"/>
      <c r="J135" s="18"/>
      <c r="K135" s="18"/>
      <c r="L135" s="18"/>
      <c r="N135"/>
      <c r="S135" s="4"/>
      <c r="T135" s="4"/>
      <c r="U135" s="4"/>
      <c r="AF135" s="4"/>
      <c r="AL135"/>
      <c r="AP135" s="4"/>
      <c r="AQ135" s="4"/>
      <c r="AR135" s="4"/>
      <c r="AS135" s="4"/>
      <c r="AT135" s="4"/>
      <c r="AU135" s="4"/>
      <c r="AV135" s="4"/>
    </row>
    <row r="136" spans="1:48" x14ac:dyDescent="0.25">
      <c r="A136" s="18"/>
      <c r="B136" s="19"/>
      <c r="C136" s="20"/>
      <c r="D136" s="18"/>
      <c r="E136" s="18"/>
      <c r="F136" s="18"/>
      <c r="G136" s="18"/>
      <c r="H136" s="18"/>
      <c r="I136" s="18"/>
      <c r="J136" s="18"/>
      <c r="K136" s="18"/>
      <c r="L136" s="18"/>
      <c r="N136"/>
      <c r="S136" s="4"/>
      <c r="T136" s="4"/>
      <c r="U136" s="4"/>
      <c r="AF136" s="4"/>
      <c r="AL136"/>
      <c r="AP136" s="4"/>
      <c r="AQ136" s="4"/>
      <c r="AR136" s="4"/>
      <c r="AS136" s="4"/>
      <c r="AT136" s="4"/>
      <c r="AU136" s="4"/>
      <c r="AV136" s="4"/>
    </row>
    <row r="137" spans="1:48" x14ac:dyDescent="0.25">
      <c r="A137" s="18"/>
      <c r="B137" s="19"/>
      <c r="C137" s="20"/>
      <c r="D137" s="18"/>
      <c r="E137" s="18"/>
      <c r="F137" s="18"/>
      <c r="G137" s="18"/>
      <c r="H137" s="18"/>
      <c r="I137" s="18"/>
      <c r="J137" s="18"/>
      <c r="K137" s="18"/>
      <c r="L137" s="18"/>
      <c r="N137"/>
      <c r="S137" s="4"/>
      <c r="T137" s="4"/>
      <c r="U137" s="4"/>
      <c r="AF137" s="4"/>
      <c r="AL137"/>
      <c r="AP137" s="4"/>
      <c r="AQ137" s="4"/>
      <c r="AR137" s="4"/>
      <c r="AS137" s="4"/>
      <c r="AT137" s="4"/>
      <c r="AU137" s="4"/>
      <c r="AV137" s="4"/>
    </row>
    <row r="138" spans="1:48" x14ac:dyDescent="0.25">
      <c r="A138" s="18"/>
      <c r="B138" s="19"/>
      <c r="C138" s="20"/>
      <c r="D138" s="18"/>
      <c r="E138" s="18"/>
      <c r="F138" s="18"/>
      <c r="G138" s="18"/>
      <c r="H138" s="18"/>
      <c r="I138" s="18"/>
      <c r="J138" s="18"/>
      <c r="K138" s="18"/>
      <c r="L138" s="18"/>
      <c r="N138"/>
      <c r="S138" s="4"/>
      <c r="T138" s="4"/>
      <c r="U138" s="4"/>
      <c r="AF138" s="4"/>
      <c r="AL138"/>
      <c r="AP138" s="4"/>
      <c r="AQ138" s="4"/>
      <c r="AR138" s="4"/>
      <c r="AS138" s="4"/>
      <c r="AT138" s="4"/>
      <c r="AU138" s="4"/>
      <c r="AV138" s="4"/>
    </row>
    <row r="139" spans="1:48" x14ac:dyDescent="0.25">
      <c r="A139" s="18"/>
      <c r="B139" s="19"/>
      <c r="C139" s="20"/>
      <c r="D139" s="18"/>
      <c r="E139" s="18"/>
      <c r="F139" s="18"/>
      <c r="G139" s="18"/>
      <c r="H139" s="18"/>
      <c r="I139" s="18"/>
      <c r="J139" s="18"/>
      <c r="K139" s="18"/>
      <c r="L139" s="18"/>
      <c r="N139"/>
      <c r="S139" s="4"/>
      <c r="T139" s="4"/>
      <c r="U139" s="4"/>
      <c r="AF139" s="4"/>
      <c r="AL139"/>
      <c r="AP139" s="4"/>
      <c r="AQ139" s="4"/>
      <c r="AR139" s="4"/>
      <c r="AS139" s="4"/>
      <c r="AT139" s="4"/>
      <c r="AU139" s="4"/>
      <c r="AV139" s="4"/>
    </row>
    <row r="140" spans="1:48" x14ac:dyDescent="0.25">
      <c r="A140" s="18"/>
      <c r="B140" s="19"/>
      <c r="C140" s="20"/>
      <c r="D140" s="18"/>
      <c r="E140" s="18"/>
      <c r="F140" s="18"/>
      <c r="G140" s="18"/>
      <c r="H140" s="18"/>
      <c r="I140" s="18"/>
      <c r="J140" s="18"/>
      <c r="K140" s="18"/>
      <c r="L140" s="18"/>
      <c r="N140"/>
      <c r="S140" s="4"/>
      <c r="T140" s="4"/>
      <c r="U140" s="4"/>
      <c r="AF140" s="4"/>
      <c r="AL140"/>
      <c r="AP140" s="4"/>
      <c r="AQ140" s="4"/>
      <c r="AR140" s="4"/>
      <c r="AS140" s="4"/>
      <c r="AT140" s="4"/>
      <c r="AU140" s="4"/>
      <c r="AV140" s="4"/>
    </row>
    <row r="141" spans="1:48" x14ac:dyDescent="0.25">
      <c r="A141" s="18"/>
      <c r="B141" s="19"/>
      <c r="C141" s="20"/>
      <c r="D141" s="18"/>
      <c r="E141" s="18"/>
      <c r="F141" s="18"/>
      <c r="G141" s="18"/>
      <c r="H141" s="18"/>
      <c r="I141" s="18"/>
      <c r="J141" s="18"/>
      <c r="K141" s="18"/>
      <c r="L141" s="18"/>
      <c r="N141"/>
      <c r="S141" s="4"/>
      <c r="T141" s="4"/>
      <c r="U141" s="4"/>
      <c r="AF141" s="4"/>
      <c r="AL141"/>
      <c r="AP141" s="4"/>
      <c r="AQ141" s="4"/>
      <c r="AR141" s="4"/>
      <c r="AS141" s="4"/>
      <c r="AT141" s="4"/>
      <c r="AU141" s="4"/>
      <c r="AV141" s="4"/>
    </row>
    <row r="142" spans="1:48" x14ac:dyDescent="0.25">
      <c r="A142" s="18"/>
      <c r="B142" s="19"/>
      <c r="C142" s="20"/>
      <c r="D142" s="18"/>
      <c r="E142" s="18"/>
      <c r="F142" s="18"/>
      <c r="G142" s="18"/>
      <c r="H142" s="18"/>
      <c r="I142" s="18"/>
      <c r="J142" s="18"/>
      <c r="K142" s="18"/>
      <c r="L142" s="18"/>
      <c r="N142"/>
      <c r="S142" s="4"/>
      <c r="T142" s="4"/>
      <c r="U142" s="4"/>
      <c r="AF142" s="4"/>
      <c r="AL142"/>
      <c r="AP142" s="4"/>
      <c r="AQ142" s="4"/>
      <c r="AR142" s="4"/>
      <c r="AS142" s="4"/>
      <c r="AT142" s="4"/>
      <c r="AU142" s="4"/>
      <c r="AV142" s="4"/>
    </row>
    <row r="143" spans="1:48" x14ac:dyDescent="0.25">
      <c r="A143" s="18"/>
      <c r="B143" s="19"/>
      <c r="C143" s="20"/>
      <c r="D143" s="18"/>
      <c r="E143" s="18"/>
      <c r="F143" s="18"/>
      <c r="G143" s="18"/>
      <c r="H143" s="18"/>
      <c r="I143" s="18"/>
      <c r="J143" s="18"/>
      <c r="K143" s="18"/>
      <c r="L143" s="18"/>
      <c r="N143"/>
      <c r="S143" s="4"/>
      <c r="T143" s="4"/>
      <c r="U143" s="4"/>
      <c r="AF143" s="4"/>
      <c r="AL143"/>
      <c r="AP143" s="4"/>
      <c r="AQ143" s="4"/>
      <c r="AR143" s="4"/>
      <c r="AS143" s="4"/>
      <c r="AT143" s="4"/>
      <c r="AU143" s="4"/>
      <c r="AV143" s="4"/>
    </row>
    <row r="144" spans="1:48" x14ac:dyDescent="0.25">
      <c r="A144" s="18"/>
      <c r="B144" s="19"/>
      <c r="C144" s="20"/>
      <c r="D144" s="18"/>
      <c r="E144" s="18"/>
      <c r="F144" s="18"/>
      <c r="G144" s="18"/>
      <c r="H144" s="18"/>
      <c r="I144" s="18"/>
      <c r="J144" s="18"/>
      <c r="K144" s="18"/>
      <c r="L144" s="18"/>
      <c r="N144"/>
      <c r="S144" s="4"/>
      <c r="T144" s="4"/>
      <c r="U144" s="4"/>
      <c r="AF144" s="4"/>
      <c r="AL144"/>
      <c r="AP144" s="4"/>
      <c r="AQ144" s="4"/>
      <c r="AR144" s="4"/>
      <c r="AS144" s="4"/>
      <c r="AT144" s="4"/>
      <c r="AU144" s="4"/>
      <c r="AV144" s="4"/>
    </row>
    <row r="145" spans="1:48" x14ac:dyDescent="0.25">
      <c r="A145" s="18"/>
      <c r="B145" s="19"/>
      <c r="C145" s="20"/>
      <c r="D145" s="18"/>
      <c r="E145" s="18"/>
      <c r="F145" s="18"/>
      <c r="G145" s="18"/>
      <c r="H145" s="18"/>
      <c r="I145" s="18"/>
      <c r="J145" s="18"/>
      <c r="K145" s="18"/>
      <c r="L145" s="18"/>
      <c r="N145"/>
      <c r="S145" s="4"/>
      <c r="T145" s="4"/>
      <c r="U145" s="4"/>
      <c r="AF145" s="4"/>
      <c r="AL145"/>
      <c r="AP145" s="4"/>
      <c r="AQ145" s="4"/>
      <c r="AR145" s="4"/>
      <c r="AS145" s="4"/>
      <c r="AT145" s="4"/>
      <c r="AU145" s="4"/>
      <c r="AV145" s="4"/>
    </row>
    <row r="146" spans="1:48" x14ac:dyDescent="0.25">
      <c r="A146" s="18"/>
      <c r="B146" s="19"/>
      <c r="C146" s="20"/>
      <c r="D146" s="18"/>
      <c r="E146" s="18"/>
      <c r="F146" s="18"/>
      <c r="G146" s="18"/>
      <c r="H146" s="18"/>
      <c r="I146" s="18"/>
      <c r="J146" s="18"/>
      <c r="K146" s="18"/>
      <c r="L146" s="18"/>
      <c r="N146"/>
      <c r="S146" s="4"/>
      <c r="T146" s="4"/>
      <c r="U146" s="4"/>
      <c r="AF146" s="4"/>
      <c r="AL146"/>
      <c r="AP146" s="4"/>
      <c r="AQ146" s="4"/>
      <c r="AR146" s="4"/>
      <c r="AS146" s="4"/>
      <c r="AT146" s="4"/>
      <c r="AU146" s="4"/>
      <c r="AV146" s="4"/>
    </row>
    <row r="147" spans="1:48" x14ac:dyDescent="0.25">
      <c r="A147" s="18"/>
      <c r="B147" s="19"/>
      <c r="C147" s="20"/>
      <c r="D147" s="18"/>
      <c r="E147" s="18"/>
      <c r="F147" s="18"/>
      <c r="G147" s="18"/>
      <c r="H147" s="18"/>
      <c r="I147" s="18"/>
      <c r="J147" s="18"/>
      <c r="K147" s="18"/>
      <c r="L147" s="18"/>
      <c r="N147"/>
      <c r="S147" s="4"/>
      <c r="T147" s="4"/>
      <c r="U147" s="4"/>
      <c r="AF147" s="4"/>
      <c r="AL147"/>
      <c r="AP147" s="4"/>
      <c r="AQ147" s="4"/>
      <c r="AR147" s="4"/>
      <c r="AS147" s="4"/>
      <c r="AT147" s="4"/>
      <c r="AU147" s="4"/>
      <c r="AV147" s="4"/>
    </row>
    <row r="148" spans="1:48" x14ac:dyDescent="0.25">
      <c r="A148" s="18"/>
      <c r="B148" s="19"/>
      <c r="C148" s="20"/>
      <c r="D148" s="18"/>
      <c r="E148" s="18"/>
      <c r="F148" s="18"/>
      <c r="G148" s="18"/>
      <c r="H148" s="18"/>
      <c r="I148" s="18"/>
      <c r="J148" s="18"/>
      <c r="K148" s="18"/>
      <c r="L148" s="18"/>
      <c r="N148"/>
      <c r="S148" s="4"/>
      <c r="T148" s="4"/>
      <c r="U148" s="4"/>
      <c r="AF148" s="4"/>
      <c r="AL148"/>
      <c r="AP148" s="4"/>
      <c r="AQ148" s="4"/>
      <c r="AR148" s="4"/>
      <c r="AS148" s="4"/>
      <c r="AT148" s="4"/>
      <c r="AU148" s="4"/>
      <c r="AV148" s="4"/>
    </row>
    <row r="149" spans="1:48" x14ac:dyDescent="0.25">
      <c r="A149" s="18"/>
      <c r="B149" s="19"/>
      <c r="C149" s="20"/>
      <c r="D149" s="18"/>
      <c r="E149" s="18"/>
      <c r="F149" s="18"/>
      <c r="G149" s="18"/>
      <c r="H149" s="18"/>
      <c r="I149" s="18"/>
      <c r="J149" s="18"/>
      <c r="K149" s="18"/>
      <c r="L149" s="18"/>
      <c r="N149"/>
      <c r="S149" s="4"/>
      <c r="T149" s="4"/>
      <c r="U149" s="4"/>
      <c r="AF149" s="4"/>
      <c r="AL149"/>
      <c r="AP149" s="4"/>
      <c r="AQ149" s="4"/>
      <c r="AR149" s="4"/>
      <c r="AS149" s="4"/>
      <c r="AT149" s="4"/>
      <c r="AU149" s="4"/>
      <c r="AV149" s="4"/>
    </row>
    <row r="150" spans="1:48" x14ac:dyDescent="0.25">
      <c r="A150" s="18"/>
      <c r="B150" s="19"/>
      <c r="C150" s="20"/>
      <c r="D150" s="18"/>
      <c r="E150" s="18"/>
      <c r="F150" s="18"/>
      <c r="G150" s="18"/>
      <c r="H150" s="18"/>
      <c r="I150" s="18"/>
      <c r="J150" s="18"/>
      <c r="K150" s="18"/>
      <c r="L150" s="18"/>
      <c r="N150"/>
      <c r="S150" s="4"/>
      <c r="T150" s="4"/>
      <c r="U150" s="4"/>
      <c r="AF150" s="4"/>
      <c r="AL150"/>
      <c r="AP150" s="4"/>
      <c r="AQ150" s="4"/>
      <c r="AR150" s="4"/>
      <c r="AS150" s="4"/>
      <c r="AT150" s="4"/>
      <c r="AU150" s="4"/>
      <c r="AV150" s="4"/>
    </row>
    <row r="151" spans="1:48" x14ac:dyDescent="0.25">
      <c r="A151" s="18"/>
      <c r="B151" s="19"/>
      <c r="C151" s="20"/>
      <c r="D151" s="18"/>
      <c r="E151" s="18"/>
      <c r="F151" s="18"/>
      <c r="G151" s="18"/>
      <c r="H151" s="18"/>
      <c r="I151" s="18"/>
      <c r="J151" s="18"/>
      <c r="K151" s="18"/>
      <c r="L151" s="18"/>
      <c r="N151"/>
      <c r="S151" s="4"/>
      <c r="T151" s="4"/>
      <c r="U151" s="4"/>
      <c r="AF151" s="4"/>
      <c r="AL151"/>
      <c r="AP151" s="4"/>
      <c r="AQ151" s="4"/>
      <c r="AR151" s="4"/>
      <c r="AS151" s="4"/>
      <c r="AT151" s="4"/>
      <c r="AU151" s="4"/>
      <c r="AV151" s="4"/>
    </row>
    <row r="152" spans="1:48" x14ac:dyDescent="0.25">
      <c r="A152" s="18"/>
      <c r="B152" s="19"/>
      <c r="C152" s="20"/>
      <c r="D152" s="18"/>
      <c r="E152" s="18"/>
      <c r="F152" s="18"/>
      <c r="G152" s="18"/>
      <c r="H152" s="18"/>
      <c r="I152" s="18"/>
      <c r="J152" s="18"/>
      <c r="K152" s="18"/>
      <c r="L152" s="18"/>
      <c r="N152"/>
      <c r="S152" s="4"/>
      <c r="T152" s="4"/>
      <c r="U152" s="4"/>
      <c r="AF152" s="4"/>
      <c r="AL152"/>
      <c r="AP152" s="4"/>
      <c r="AQ152" s="4"/>
      <c r="AR152" s="4"/>
      <c r="AS152" s="4"/>
      <c r="AT152" s="4"/>
      <c r="AU152" s="4"/>
      <c r="AV152" s="4"/>
    </row>
    <row r="153" spans="1:48" x14ac:dyDescent="0.25">
      <c r="A153" s="18"/>
      <c r="B153" s="19"/>
      <c r="C153" s="20"/>
      <c r="D153" s="18"/>
      <c r="E153" s="18"/>
      <c r="F153" s="18"/>
      <c r="G153" s="18"/>
      <c r="H153" s="18"/>
      <c r="I153" s="18"/>
      <c r="J153" s="18"/>
      <c r="K153" s="18"/>
      <c r="L153" s="18"/>
      <c r="N153"/>
      <c r="S153" s="4"/>
      <c r="T153" s="4"/>
      <c r="U153" s="4"/>
      <c r="AF153" s="4"/>
      <c r="AL153"/>
      <c r="AP153" s="4"/>
      <c r="AQ153" s="4"/>
      <c r="AR153" s="4"/>
      <c r="AS153" s="4"/>
      <c r="AT153" s="4"/>
      <c r="AU153" s="4"/>
      <c r="AV153" s="4"/>
    </row>
    <row r="154" spans="1:48" x14ac:dyDescent="0.25">
      <c r="A154" s="18"/>
      <c r="B154" s="19"/>
      <c r="C154" s="20"/>
      <c r="D154" s="18"/>
      <c r="E154" s="18"/>
      <c r="F154" s="18"/>
      <c r="G154" s="18"/>
      <c r="H154" s="18"/>
      <c r="I154" s="18"/>
      <c r="J154" s="18"/>
      <c r="K154" s="18"/>
      <c r="L154" s="18"/>
      <c r="N154"/>
      <c r="S154" s="4"/>
      <c r="T154" s="4"/>
      <c r="U154" s="4"/>
      <c r="AF154" s="4"/>
      <c r="AL154"/>
      <c r="AP154" s="4"/>
      <c r="AQ154" s="4"/>
      <c r="AR154" s="4"/>
      <c r="AS154" s="4"/>
      <c r="AT154" s="4"/>
      <c r="AU154" s="4"/>
      <c r="AV154" s="4"/>
    </row>
    <row r="155" spans="1:48" x14ac:dyDescent="0.25">
      <c r="A155" s="18"/>
      <c r="B155" s="19"/>
      <c r="C155" s="20"/>
      <c r="D155" s="18"/>
      <c r="E155" s="18"/>
      <c r="F155" s="18"/>
      <c r="G155" s="18"/>
      <c r="H155" s="18"/>
      <c r="I155" s="18"/>
      <c r="J155" s="18"/>
      <c r="K155" s="18"/>
      <c r="L155" s="18"/>
      <c r="N155"/>
      <c r="S155" s="4"/>
      <c r="T155" s="4"/>
      <c r="U155" s="4"/>
      <c r="AF155" s="4"/>
      <c r="AL155"/>
      <c r="AP155" s="4"/>
      <c r="AQ155" s="4"/>
      <c r="AR155" s="4"/>
      <c r="AS155" s="4"/>
      <c r="AT155" s="4"/>
      <c r="AU155" s="4"/>
      <c r="AV155" s="4"/>
    </row>
    <row r="156" spans="1:48" x14ac:dyDescent="0.25">
      <c r="A156" s="18"/>
      <c r="B156" s="19"/>
      <c r="C156" s="20"/>
      <c r="D156" s="18"/>
      <c r="E156" s="18"/>
      <c r="F156" s="18"/>
      <c r="G156" s="18"/>
      <c r="H156" s="18"/>
      <c r="I156" s="18"/>
      <c r="J156" s="18"/>
      <c r="K156" s="18"/>
      <c r="L156" s="18"/>
      <c r="N156"/>
      <c r="S156" s="4"/>
      <c r="T156" s="4"/>
      <c r="U156" s="4"/>
      <c r="AF156" s="4"/>
      <c r="AL156"/>
      <c r="AP156" s="4"/>
      <c r="AQ156" s="4"/>
      <c r="AR156" s="4"/>
      <c r="AS156" s="4"/>
      <c r="AT156" s="4"/>
      <c r="AU156" s="4"/>
      <c r="AV156" s="4"/>
    </row>
    <row r="157" spans="1:48" x14ac:dyDescent="0.25">
      <c r="A157" s="18"/>
      <c r="B157" s="19"/>
      <c r="C157" s="20"/>
      <c r="D157" s="18"/>
      <c r="E157" s="18"/>
      <c r="F157" s="18"/>
      <c r="G157" s="18"/>
      <c r="H157" s="18"/>
      <c r="I157" s="18"/>
      <c r="J157" s="18"/>
      <c r="K157" s="18"/>
      <c r="L157" s="18"/>
      <c r="N157"/>
      <c r="S157" s="4"/>
      <c r="T157" s="4"/>
      <c r="U157" s="4"/>
      <c r="AF157" s="4"/>
      <c r="AL157"/>
      <c r="AP157" s="4"/>
      <c r="AQ157" s="4"/>
      <c r="AR157" s="4"/>
      <c r="AS157" s="4"/>
      <c r="AT157" s="4"/>
      <c r="AU157" s="4"/>
      <c r="AV157" s="4"/>
    </row>
    <row r="158" spans="1:48" x14ac:dyDescent="0.25">
      <c r="A158" s="18"/>
      <c r="B158" s="19"/>
      <c r="C158" s="20"/>
      <c r="D158" s="18"/>
      <c r="E158" s="18"/>
      <c r="F158" s="18"/>
      <c r="G158" s="18"/>
      <c r="H158" s="18"/>
      <c r="I158" s="18"/>
      <c r="J158" s="18"/>
      <c r="K158" s="18"/>
      <c r="L158" s="18"/>
      <c r="N158"/>
      <c r="S158" s="4"/>
      <c r="T158" s="4"/>
      <c r="U158" s="4"/>
      <c r="AF158" s="4"/>
      <c r="AL158"/>
      <c r="AP158" s="4"/>
      <c r="AQ158" s="4"/>
      <c r="AR158" s="4"/>
      <c r="AS158" s="4"/>
      <c r="AT158" s="4"/>
      <c r="AU158" s="4"/>
      <c r="AV158" s="4"/>
    </row>
    <row r="159" spans="1:48" x14ac:dyDescent="0.25">
      <c r="A159" s="18"/>
      <c r="B159" s="19"/>
      <c r="C159" s="20"/>
      <c r="D159" s="18"/>
      <c r="E159" s="18"/>
      <c r="F159" s="18"/>
      <c r="G159" s="18"/>
      <c r="H159" s="18"/>
      <c r="I159" s="18"/>
      <c r="J159" s="18"/>
      <c r="K159" s="18"/>
      <c r="L159" s="18"/>
      <c r="N159"/>
      <c r="S159" s="4"/>
      <c r="T159" s="4"/>
      <c r="U159" s="4"/>
      <c r="AF159" s="4"/>
      <c r="AL159"/>
      <c r="AP159" s="4"/>
      <c r="AQ159" s="4"/>
      <c r="AR159" s="4"/>
      <c r="AS159" s="4"/>
      <c r="AT159" s="4"/>
      <c r="AU159" s="4"/>
      <c r="AV159" s="4"/>
    </row>
    <row r="160" spans="1:48" x14ac:dyDescent="0.25">
      <c r="A160" s="18"/>
      <c r="B160" s="19"/>
      <c r="C160" s="20"/>
      <c r="D160" s="18"/>
      <c r="E160" s="18"/>
      <c r="F160" s="18"/>
      <c r="G160" s="18"/>
      <c r="H160" s="18"/>
      <c r="I160" s="18"/>
      <c r="J160" s="18"/>
      <c r="K160" s="18"/>
      <c r="L160" s="18"/>
      <c r="N160"/>
      <c r="S160" s="4"/>
      <c r="T160" s="4"/>
      <c r="U160" s="4"/>
      <c r="AF160" s="4"/>
      <c r="AL160"/>
      <c r="AP160" s="4"/>
      <c r="AQ160" s="4"/>
      <c r="AR160" s="4"/>
      <c r="AS160" s="4"/>
      <c r="AT160" s="4"/>
      <c r="AU160" s="4"/>
      <c r="AV160" s="4"/>
    </row>
    <row r="161" spans="1:48" x14ac:dyDescent="0.25">
      <c r="A161" s="18"/>
      <c r="B161" s="19"/>
      <c r="C161" s="20"/>
      <c r="D161" s="18"/>
      <c r="E161" s="18"/>
      <c r="F161" s="18"/>
      <c r="G161" s="18"/>
      <c r="H161" s="18"/>
      <c r="I161" s="18"/>
      <c r="J161" s="18"/>
      <c r="K161" s="18"/>
      <c r="L161" s="18"/>
      <c r="N161"/>
      <c r="S161" s="4"/>
      <c r="T161" s="4"/>
      <c r="U161" s="4"/>
      <c r="AF161" s="4"/>
      <c r="AL161"/>
      <c r="AP161" s="4"/>
      <c r="AQ161" s="4"/>
      <c r="AR161" s="4"/>
      <c r="AS161" s="4"/>
      <c r="AT161" s="4"/>
      <c r="AU161" s="4"/>
      <c r="AV161" s="4"/>
    </row>
    <row r="162" spans="1:48" x14ac:dyDescent="0.25">
      <c r="A162" s="18"/>
      <c r="B162" s="19"/>
      <c r="C162" s="20"/>
      <c r="D162" s="18"/>
      <c r="E162" s="18"/>
      <c r="F162" s="18"/>
      <c r="G162" s="18"/>
      <c r="H162" s="18"/>
      <c r="I162" s="18"/>
      <c r="J162" s="18"/>
      <c r="K162" s="18"/>
      <c r="L162" s="18"/>
      <c r="N162"/>
      <c r="S162" s="4"/>
      <c r="T162" s="4"/>
      <c r="U162" s="4"/>
      <c r="AF162" s="4"/>
      <c r="AL162"/>
      <c r="AP162" s="4"/>
      <c r="AQ162" s="4"/>
      <c r="AR162" s="4"/>
      <c r="AS162" s="4"/>
      <c r="AT162" s="4"/>
      <c r="AU162" s="4"/>
      <c r="AV162" s="4"/>
    </row>
    <row r="163" spans="1:48" x14ac:dyDescent="0.25">
      <c r="A163" s="18"/>
      <c r="B163" s="19"/>
      <c r="C163" s="20"/>
      <c r="D163" s="18"/>
      <c r="E163" s="18"/>
      <c r="F163" s="18"/>
      <c r="G163" s="18"/>
      <c r="H163" s="18"/>
      <c r="I163" s="18"/>
      <c r="J163" s="18"/>
      <c r="K163" s="18"/>
      <c r="L163" s="18"/>
      <c r="N163"/>
      <c r="S163" s="4"/>
      <c r="T163" s="4"/>
      <c r="U163" s="4"/>
      <c r="AF163" s="4"/>
      <c r="AL163"/>
      <c r="AP163" s="4"/>
      <c r="AQ163" s="4"/>
      <c r="AR163" s="4"/>
      <c r="AS163" s="4"/>
      <c r="AT163" s="4"/>
      <c r="AU163" s="4"/>
      <c r="AV163" s="4"/>
    </row>
    <row r="164" spans="1:48" x14ac:dyDescent="0.25">
      <c r="A164" s="18"/>
      <c r="B164" s="19"/>
      <c r="C164" s="20"/>
      <c r="D164" s="18"/>
      <c r="E164" s="18"/>
      <c r="F164" s="18"/>
      <c r="G164" s="18"/>
      <c r="H164" s="18"/>
      <c r="I164" s="18"/>
      <c r="J164" s="18"/>
      <c r="K164" s="18"/>
      <c r="L164" s="18"/>
      <c r="N164"/>
      <c r="S164" s="4"/>
      <c r="T164" s="4"/>
      <c r="U164" s="4"/>
      <c r="AF164" s="4"/>
      <c r="AL164"/>
      <c r="AP164" s="4"/>
      <c r="AQ164" s="4"/>
      <c r="AR164" s="4"/>
      <c r="AS164" s="4"/>
      <c r="AT164" s="4"/>
      <c r="AU164" s="4"/>
      <c r="AV164" s="4"/>
    </row>
    <row r="165" spans="1:48" x14ac:dyDescent="0.25">
      <c r="A165" s="18"/>
      <c r="B165" s="19"/>
      <c r="C165" s="20"/>
      <c r="D165" s="18"/>
      <c r="E165" s="18"/>
      <c r="F165" s="18"/>
      <c r="G165" s="18"/>
      <c r="H165" s="18"/>
      <c r="I165" s="18"/>
      <c r="J165" s="18"/>
      <c r="K165" s="18"/>
      <c r="L165" s="18"/>
      <c r="N165"/>
      <c r="S165" s="4"/>
      <c r="T165" s="4"/>
      <c r="U165" s="4"/>
      <c r="AF165" s="4"/>
      <c r="AL165"/>
      <c r="AP165" s="4"/>
      <c r="AQ165" s="4"/>
      <c r="AR165" s="4"/>
      <c r="AS165" s="4"/>
      <c r="AT165" s="4"/>
      <c r="AU165" s="4"/>
      <c r="AV165" s="4"/>
    </row>
    <row r="166" spans="1:48" x14ac:dyDescent="0.25">
      <c r="A166" s="18"/>
      <c r="B166" s="19"/>
      <c r="C166" s="20"/>
      <c r="D166" s="18"/>
      <c r="E166" s="18"/>
      <c r="F166" s="18"/>
      <c r="G166" s="18"/>
      <c r="H166" s="18"/>
      <c r="I166" s="18"/>
      <c r="J166" s="18"/>
      <c r="K166" s="18"/>
      <c r="L166" s="18"/>
      <c r="N166"/>
      <c r="S166" s="4"/>
      <c r="T166" s="4"/>
      <c r="U166" s="4"/>
      <c r="AF166" s="4"/>
      <c r="AL166"/>
      <c r="AP166" s="4"/>
      <c r="AQ166" s="4"/>
      <c r="AR166" s="4"/>
      <c r="AS166" s="4"/>
      <c r="AT166" s="4"/>
      <c r="AU166" s="4"/>
      <c r="AV166" s="4"/>
    </row>
    <row r="167" spans="1:48" x14ac:dyDescent="0.25">
      <c r="A167" s="18"/>
      <c r="B167" s="19"/>
      <c r="C167" s="20"/>
      <c r="D167" s="18"/>
      <c r="E167" s="18"/>
      <c r="F167" s="18"/>
      <c r="G167" s="18"/>
      <c r="H167" s="18"/>
      <c r="I167" s="18"/>
      <c r="J167" s="18"/>
      <c r="K167" s="18"/>
      <c r="L167" s="18"/>
      <c r="N167"/>
      <c r="S167" s="4"/>
      <c r="T167" s="4"/>
      <c r="U167" s="4"/>
      <c r="AF167" s="4"/>
      <c r="AL167"/>
      <c r="AP167" s="4"/>
      <c r="AQ167" s="4"/>
      <c r="AR167" s="4"/>
      <c r="AS167" s="4"/>
      <c r="AT167" s="4"/>
      <c r="AU167" s="4"/>
      <c r="AV167" s="4"/>
    </row>
    <row r="168" spans="1:48" x14ac:dyDescent="0.25">
      <c r="A168" s="18"/>
      <c r="B168" s="19"/>
      <c r="C168" s="20"/>
      <c r="D168" s="18"/>
      <c r="E168" s="18"/>
      <c r="F168" s="18"/>
      <c r="G168" s="18"/>
      <c r="H168" s="18"/>
      <c r="I168" s="18"/>
      <c r="J168" s="18"/>
      <c r="K168" s="18"/>
      <c r="L168" s="18"/>
      <c r="N168"/>
      <c r="S168" s="4"/>
      <c r="T168" s="4"/>
      <c r="U168" s="4"/>
      <c r="AF168" s="4"/>
      <c r="AL168"/>
      <c r="AP168" s="4"/>
      <c r="AQ168" s="4"/>
      <c r="AR168" s="4"/>
      <c r="AS168" s="4"/>
      <c r="AT168" s="4"/>
      <c r="AU168" s="4"/>
      <c r="AV168" s="4"/>
    </row>
    <row r="169" spans="1:48" x14ac:dyDescent="0.25">
      <c r="A169" s="18"/>
      <c r="B169" s="19"/>
      <c r="C169" s="20"/>
      <c r="D169" s="18"/>
      <c r="E169" s="18"/>
      <c r="F169" s="18"/>
      <c r="G169" s="18"/>
      <c r="H169" s="18"/>
      <c r="I169" s="18"/>
      <c r="J169" s="18"/>
      <c r="K169" s="18"/>
      <c r="L169" s="18"/>
      <c r="N169"/>
      <c r="S169" s="4"/>
      <c r="T169" s="4"/>
      <c r="U169" s="4"/>
      <c r="AF169" s="4"/>
      <c r="AL169"/>
      <c r="AP169" s="4"/>
      <c r="AQ169" s="4"/>
      <c r="AR169" s="4"/>
      <c r="AS169" s="4"/>
      <c r="AT169" s="4"/>
      <c r="AU169" s="4"/>
      <c r="AV169" s="4"/>
    </row>
    <row r="170" spans="1:48" x14ac:dyDescent="0.25">
      <c r="A170" s="18"/>
      <c r="B170" s="19"/>
      <c r="C170" s="20"/>
      <c r="D170" s="18"/>
      <c r="E170" s="18"/>
      <c r="F170" s="18"/>
      <c r="G170" s="18"/>
      <c r="H170" s="18"/>
      <c r="I170" s="18"/>
      <c r="J170" s="18"/>
      <c r="K170" s="18"/>
      <c r="L170" s="18"/>
      <c r="N170"/>
      <c r="S170" s="4"/>
      <c r="T170" s="4"/>
      <c r="U170" s="4"/>
      <c r="AF170" s="4"/>
      <c r="AL170"/>
      <c r="AP170" s="4"/>
      <c r="AQ170" s="4"/>
      <c r="AR170" s="4"/>
      <c r="AS170" s="4"/>
      <c r="AT170" s="4"/>
      <c r="AU170" s="4"/>
      <c r="AV170" s="4"/>
    </row>
    <row r="171" spans="1:48" x14ac:dyDescent="0.25">
      <c r="A171" s="18"/>
      <c r="B171" s="19"/>
      <c r="C171" s="20"/>
      <c r="D171" s="18"/>
      <c r="E171" s="18"/>
      <c r="F171" s="18"/>
      <c r="G171" s="18"/>
      <c r="H171" s="18"/>
      <c r="I171" s="18"/>
      <c r="J171" s="18"/>
      <c r="K171" s="18"/>
      <c r="L171" s="18"/>
      <c r="N171"/>
      <c r="S171" s="4"/>
      <c r="T171" s="4"/>
      <c r="U171" s="4"/>
      <c r="AF171" s="4"/>
      <c r="AL171"/>
      <c r="AP171" s="4"/>
      <c r="AQ171" s="4"/>
      <c r="AR171" s="4"/>
      <c r="AS171" s="4"/>
      <c r="AT171" s="4"/>
      <c r="AU171" s="4"/>
      <c r="AV171" s="4"/>
    </row>
    <row r="172" spans="1:48" x14ac:dyDescent="0.25">
      <c r="A172" s="18"/>
      <c r="B172" s="19"/>
      <c r="C172" s="20"/>
      <c r="D172" s="18"/>
      <c r="E172" s="18"/>
      <c r="F172" s="18"/>
      <c r="G172" s="18"/>
      <c r="H172" s="18"/>
      <c r="I172" s="18"/>
      <c r="J172" s="18"/>
      <c r="K172" s="18"/>
      <c r="L172" s="18"/>
      <c r="N172"/>
      <c r="S172" s="4"/>
      <c r="T172" s="4"/>
      <c r="U172" s="4"/>
      <c r="AF172" s="4"/>
      <c r="AL172"/>
      <c r="AP172" s="4"/>
      <c r="AQ172" s="4"/>
      <c r="AR172" s="4"/>
      <c r="AS172" s="4"/>
      <c r="AT172" s="4"/>
      <c r="AU172" s="4"/>
      <c r="AV172" s="4"/>
    </row>
    <row r="173" spans="1:48" x14ac:dyDescent="0.25">
      <c r="A173" s="18"/>
      <c r="B173" s="19"/>
      <c r="C173" s="20"/>
      <c r="D173" s="18"/>
      <c r="E173" s="18"/>
      <c r="F173" s="18"/>
      <c r="G173" s="18"/>
      <c r="H173" s="18"/>
      <c r="I173" s="18"/>
      <c r="J173" s="18"/>
      <c r="K173" s="18"/>
      <c r="L173" s="18"/>
      <c r="N173"/>
      <c r="S173" s="4"/>
      <c r="T173" s="4"/>
      <c r="U173" s="4"/>
      <c r="AF173" s="4"/>
      <c r="AL173"/>
      <c r="AP173" s="4"/>
      <c r="AQ173" s="4"/>
      <c r="AR173" s="4"/>
      <c r="AS173" s="4"/>
      <c r="AT173" s="4"/>
      <c r="AU173" s="4"/>
      <c r="AV173" s="4"/>
    </row>
    <row r="174" spans="1:48" x14ac:dyDescent="0.25">
      <c r="A174" s="18"/>
      <c r="B174" s="19"/>
      <c r="C174" s="20"/>
      <c r="D174" s="18"/>
      <c r="E174" s="18"/>
      <c r="F174" s="18"/>
      <c r="G174" s="18"/>
      <c r="H174" s="18"/>
      <c r="I174" s="18"/>
      <c r="J174" s="18"/>
      <c r="K174" s="18"/>
      <c r="L174" s="18"/>
      <c r="N174"/>
      <c r="S174" s="4"/>
      <c r="T174" s="4"/>
      <c r="U174" s="4"/>
      <c r="AF174" s="4"/>
      <c r="AL174"/>
      <c r="AP174" s="4"/>
      <c r="AQ174" s="4"/>
      <c r="AR174" s="4"/>
      <c r="AS174" s="4"/>
      <c r="AT174" s="4"/>
      <c r="AU174" s="4"/>
      <c r="AV174" s="4"/>
    </row>
    <row r="175" spans="1:48" x14ac:dyDescent="0.25">
      <c r="A175" s="18"/>
      <c r="B175" s="19"/>
      <c r="C175" s="20"/>
      <c r="D175" s="18"/>
      <c r="E175" s="18"/>
      <c r="F175" s="18"/>
      <c r="G175" s="18"/>
      <c r="H175" s="18"/>
      <c r="I175" s="18"/>
      <c r="J175" s="18"/>
      <c r="K175" s="18"/>
      <c r="L175" s="18"/>
      <c r="N175"/>
      <c r="S175" s="4"/>
      <c r="T175" s="4"/>
      <c r="U175" s="4"/>
      <c r="AF175" s="4"/>
      <c r="AL175"/>
      <c r="AP175" s="4"/>
      <c r="AQ175" s="4"/>
      <c r="AR175" s="4"/>
      <c r="AS175" s="4"/>
      <c r="AT175" s="4"/>
      <c r="AU175" s="4"/>
      <c r="AV175" s="4"/>
    </row>
    <row r="176" spans="1:48" x14ac:dyDescent="0.25">
      <c r="A176" s="18"/>
      <c r="B176" s="19"/>
      <c r="C176" s="20"/>
      <c r="D176" s="18"/>
      <c r="E176" s="18"/>
      <c r="F176" s="18"/>
      <c r="G176" s="18"/>
      <c r="H176" s="18"/>
      <c r="I176" s="18"/>
      <c r="J176" s="18"/>
      <c r="K176" s="18"/>
      <c r="L176" s="18"/>
      <c r="N176"/>
      <c r="S176" s="4"/>
      <c r="T176" s="4"/>
      <c r="U176" s="4"/>
      <c r="AF176" s="4"/>
      <c r="AL176"/>
      <c r="AP176" s="4"/>
      <c r="AQ176" s="4"/>
      <c r="AR176" s="4"/>
      <c r="AS176" s="4"/>
      <c r="AT176" s="4"/>
      <c r="AU176" s="4"/>
      <c r="AV176" s="4"/>
    </row>
    <row r="177" spans="1:48" x14ac:dyDescent="0.25">
      <c r="A177" s="18"/>
      <c r="B177" s="19"/>
      <c r="C177" s="20"/>
      <c r="D177" s="18"/>
      <c r="E177" s="18"/>
      <c r="F177" s="18"/>
      <c r="G177" s="18"/>
      <c r="H177" s="18"/>
      <c r="I177" s="18"/>
      <c r="J177" s="18"/>
      <c r="K177" s="18"/>
      <c r="L177" s="18"/>
      <c r="N177"/>
      <c r="S177" s="4"/>
      <c r="T177" s="4"/>
      <c r="U177" s="4"/>
      <c r="AF177" s="4"/>
      <c r="AL177"/>
      <c r="AP177" s="4"/>
      <c r="AQ177" s="4"/>
      <c r="AR177" s="4"/>
      <c r="AS177" s="4"/>
      <c r="AT177" s="4"/>
      <c r="AU177" s="4"/>
      <c r="AV177" s="4"/>
    </row>
    <row r="178" spans="1:48" x14ac:dyDescent="0.25">
      <c r="A178" s="18"/>
      <c r="B178" s="19"/>
      <c r="C178" s="20"/>
      <c r="D178" s="18"/>
      <c r="E178" s="18"/>
      <c r="F178" s="18"/>
      <c r="G178" s="18"/>
      <c r="H178" s="18"/>
      <c r="I178" s="18"/>
      <c r="J178" s="18"/>
      <c r="K178" s="18"/>
      <c r="L178" s="18"/>
      <c r="N178"/>
      <c r="S178" s="4"/>
      <c r="T178" s="4"/>
      <c r="U178" s="4"/>
      <c r="AF178" s="4"/>
      <c r="AL178"/>
      <c r="AP178" s="4"/>
      <c r="AQ178" s="4"/>
      <c r="AR178" s="4"/>
      <c r="AS178" s="4"/>
      <c r="AT178" s="4"/>
      <c r="AU178" s="4"/>
      <c r="AV178" s="4"/>
    </row>
    <row r="179" spans="1:48" x14ac:dyDescent="0.25">
      <c r="A179" s="18"/>
      <c r="B179" s="19"/>
      <c r="C179" s="20"/>
      <c r="D179" s="18"/>
      <c r="E179" s="18"/>
      <c r="F179" s="18"/>
      <c r="G179" s="18"/>
      <c r="H179" s="18"/>
      <c r="I179" s="18"/>
      <c r="J179" s="18"/>
      <c r="K179" s="18"/>
      <c r="L179" s="18"/>
      <c r="N179"/>
      <c r="S179" s="4"/>
      <c r="T179" s="4"/>
      <c r="U179" s="4"/>
      <c r="AF179" s="4"/>
      <c r="AL179"/>
      <c r="AP179" s="4"/>
      <c r="AQ179" s="4"/>
      <c r="AR179" s="4"/>
      <c r="AS179" s="4"/>
      <c r="AT179" s="4"/>
      <c r="AU179" s="4"/>
      <c r="AV179" s="4"/>
    </row>
    <row r="180" spans="1:48" x14ac:dyDescent="0.25">
      <c r="A180" s="18"/>
      <c r="B180" s="19"/>
      <c r="C180" s="20"/>
      <c r="D180" s="18"/>
      <c r="E180" s="18"/>
      <c r="F180" s="18"/>
      <c r="G180" s="18"/>
      <c r="H180" s="18"/>
      <c r="I180" s="18"/>
      <c r="J180" s="18"/>
      <c r="K180" s="18"/>
      <c r="L180" s="18"/>
      <c r="N180"/>
      <c r="S180" s="4"/>
      <c r="T180" s="4"/>
      <c r="U180" s="4"/>
      <c r="AF180" s="4"/>
      <c r="AL180"/>
      <c r="AP180" s="4"/>
      <c r="AQ180" s="4"/>
      <c r="AR180" s="4"/>
      <c r="AS180" s="4"/>
      <c r="AT180" s="4"/>
      <c r="AU180" s="4"/>
      <c r="AV180" s="4"/>
    </row>
    <row r="181" spans="1:48" x14ac:dyDescent="0.25">
      <c r="A181" s="18"/>
      <c r="B181" s="19"/>
      <c r="C181" s="20"/>
      <c r="D181" s="18"/>
      <c r="E181" s="18"/>
      <c r="F181" s="18"/>
      <c r="G181" s="18"/>
      <c r="H181" s="18"/>
      <c r="I181" s="18"/>
      <c r="J181" s="18"/>
      <c r="K181" s="18"/>
      <c r="L181" s="18"/>
      <c r="N181"/>
      <c r="S181" s="4"/>
      <c r="T181" s="4"/>
      <c r="U181" s="4"/>
      <c r="AF181" s="4"/>
      <c r="AL181"/>
      <c r="AP181" s="4"/>
      <c r="AQ181" s="4"/>
      <c r="AR181" s="4"/>
      <c r="AS181" s="4"/>
      <c r="AT181" s="4"/>
      <c r="AU181" s="4"/>
      <c r="AV181" s="4"/>
    </row>
    <row r="182" spans="1:48" x14ac:dyDescent="0.25">
      <c r="A182" s="18"/>
      <c r="B182" s="19"/>
      <c r="C182" s="20"/>
      <c r="D182" s="18"/>
      <c r="E182" s="18"/>
      <c r="F182" s="18"/>
      <c r="G182" s="18"/>
      <c r="H182" s="18"/>
      <c r="I182" s="18"/>
      <c r="J182" s="18"/>
      <c r="K182" s="18"/>
      <c r="L182" s="18"/>
      <c r="N182"/>
      <c r="S182" s="4"/>
      <c r="T182" s="4"/>
      <c r="U182" s="4"/>
      <c r="AF182" s="4"/>
      <c r="AL182"/>
      <c r="AP182" s="4"/>
      <c r="AQ182" s="4"/>
      <c r="AR182" s="4"/>
      <c r="AS182" s="4"/>
      <c r="AT182" s="4"/>
      <c r="AU182" s="4"/>
      <c r="AV182" s="4"/>
    </row>
    <row r="183" spans="1:48" x14ac:dyDescent="0.25">
      <c r="A183" s="18"/>
      <c r="B183" s="19"/>
      <c r="C183" s="20"/>
      <c r="D183" s="18"/>
      <c r="E183" s="18"/>
      <c r="F183" s="18"/>
      <c r="G183" s="18"/>
      <c r="H183" s="18"/>
      <c r="I183" s="18"/>
      <c r="J183" s="18"/>
      <c r="K183" s="18"/>
      <c r="L183" s="18"/>
      <c r="N183"/>
      <c r="S183" s="4"/>
      <c r="T183" s="4"/>
      <c r="U183" s="4"/>
      <c r="AF183" s="4"/>
      <c r="AL183"/>
      <c r="AP183" s="4"/>
      <c r="AQ183" s="4"/>
      <c r="AR183" s="4"/>
      <c r="AS183" s="4"/>
      <c r="AT183" s="4"/>
      <c r="AU183" s="4"/>
      <c r="AV183" s="4"/>
    </row>
    <row r="184" spans="1:48" x14ac:dyDescent="0.25">
      <c r="A184" s="18"/>
      <c r="B184" s="19"/>
      <c r="C184" s="20"/>
      <c r="D184" s="18"/>
      <c r="E184" s="18"/>
      <c r="F184" s="18"/>
      <c r="G184" s="18"/>
      <c r="H184" s="18"/>
      <c r="I184" s="18"/>
      <c r="J184" s="18"/>
      <c r="K184" s="18"/>
      <c r="L184" s="18"/>
      <c r="N184"/>
      <c r="S184" s="4"/>
      <c r="T184" s="4"/>
      <c r="U184" s="4"/>
      <c r="AF184" s="4"/>
      <c r="AL184"/>
      <c r="AP184" s="4"/>
      <c r="AQ184" s="4"/>
      <c r="AR184" s="4"/>
      <c r="AS184" s="4"/>
      <c r="AT184" s="4"/>
      <c r="AU184" s="4"/>
      <c r="AV184" s="4"/>
    </row>
    <row r="185" spans="1:48" x14ac:dyDescent="0.25">
      <c r="A185" s="18"/>
      <c r="B185" s="19"/>
      <c r="C185" s="20"/>
      <c r="D185" s="18"/>
      <c r="E185" s="18"/>
      <c r="F185" s="18"/>
      <c r="G185" s="18"/>
      <c r="H185" s="18"/>
      <c r="I185" s="18"/>
      <c r="J185" s="18"/>
      <c r="K185" s="18"/>
      <c r="L185" s="18"/>
      <c r="N185"/>
      <c r="S185" s="4"/>
      <c r="T185" s="4"/>
      <c r="U185" s="4"/>
      <c r="AF185" s="4"/>
      <c r="AL185"/>
      <c r="AP185" s="4"/>
      <c r="AQ185" s="4"/>
      <c r="AR185" s="4"/>
      <c r="AS185" s="4"/>
      <c r="AT185" s="4"/>
      <c r="AU185" s="4"/>
      <c r="AV185" s="4"/>
    </row>
    <row r="186" spans="1:48" x14ac:dyDescent="0.25">
      <c r="A186" s="18"/>
      <c r="B186" s="19"/>
      <c r="C186" s="20"/>
      <c r="D186" s="18"/>
      <c r="E186" s="18"/>
      <c r="F186" s="18"/>
      <c r="G186" s="18"/>
      <c r="H186" s="18"/>
      <c r="I186" s="18"/>
      <c r="J186" s="18"/>
      <c r="K186" s="18"/>
      <c r="L186" s="18"/>
      <c r="N186"/>
      <c r="S186" s="4"/>
      <c r="T186" s="4"/>
      <c r="U186" s="4"/>
      <c r="AF186" s="4"/>
      <c r="AL186"/>
      <c r="AP186" s="4"/>
      <c r="AQ186" s="4"/>
      <c r="AR186" s="4"/>
      <c r="AS186" s="4"/>
      <c r="AT186" s="4"/>
      <c r="AU186" s="4"/>
      <c r="AV186" s="4"/>
    </row>
    <row r="187" spans="1:48" x14ac:dyDescent="0.25">
      <c r="A187" s="18"/>
      <c r="B187" s="19"/>
      <c r="C187" s="20"/>
      <c r="D187" s="18"/>
      <c r="E187" s="18"/>
      <c r="F187" s="18"/>
      <c r="G187" s="18"/>
      <c r="H187" s="18"/>
      <c r="I187" s="18"/>
      <c r="J187" s="18"/>
      <c r="K187" s="18"/>
      <c r="L187" s="18"/>
      <c r="N187"/>
      <c r="S187" s="4"/>
      <c r="T187" s="4"/>
      <c r="U187" s="4"/>
      <c r="AF187" s="4"/>
      <c r="AL187"/>
      <c r="AP187" s="4"/>
      <c r="AQ187" s="4"/>
      <c r="AR187" s="4"/>
      <c r="AS187" s="4"/>
      <c r="AT187" s="4"/>
      <c r="AU187" s="4"/>
      <c r="AV187" s="4"/>
    </row>
    <row r="188" spans="1:48" x14ac:dyDescent="0.25">
      <c r="A188" s="18"/>
      <c r="B188" s="19"/>
      <c r="C188" s="20"/>
      <c r="D188" s="18"/>
      <c r="E188" s="18"/>
      <c r="F188" s="18"/>
      <c r="G188" s="18"/>
      <c r="H188" s="18"/>
      <c r="I188" s="18"/>
      <c r="J188" s="18"/>
      <c r="K188" s="18"/>
      <c r="L188" s="18"/>
      <c r="N188"/>
      <c r="S188" s="4"/>
      <c r="T188" s="4"/>
      <c r="U188" s="4"/>
      <c r="AF188" s="4"/>
      <c r="AL188"/>
      <c r="AP188" s="4"/>
      <c r="AQ188" s="4"/>
      <c r="AR188" s="4"/>
      <c r="AS188" s="4"/>
      <c r="AT188" s="4"/>
      <c r="AU188" s="4"/>
      <c r="AV188" s="4"/>
    </row>
    <row r="189" spans="1:48" x14ac:dyDescent="0.25">
      <c r="A189" s="18"/>
      <c r="B189" s="19"/>
      <c r="C189" s="20"/>
      <c r="D189" s="18"/>
      <c r="E189" s="18"/>
      <c r="F189" s="18"/>
      <c r="G189" s="18"/>
      <c r="H189" s="18"/>
      <c r="I189" s="18"/>
      <c r="J189" s="18"/>
      <c r="K189" s="18"/>
      <c r="L189" s="18"/>
      <c r="S189" s="4"/>
      <c r="T189" s="4"/>
      <c r="U189" s="4"/>
      <c r="AF189" s="4"/>
      <c r="AL189"/>
      <c r="AP189" s="4"/>
      <c r="AQ189" s="4"/>
      <c r="AR189" s="4"/>
      <c r="AS189" s="4"/>
      <c r="AT189" s="4"/>
      <c r="AU189" s="4"/>
      <c r="AV189" s="4"/>
    </row>
    <row r="190" spans="1:48" x14ac:dyDescent="0.25">
      <c r="A190" s="18"/>
      <c r="B190" s="19"/>
      <c r="C190" s="20"/>
      <c r="D190" s="18"/>
      <c r="E190" s="18"/>
      <c r="F190" s="18"/>
      <c r="G190" s="18"/>
      <c r="H190" s="18"/>
      <c r="I190" s="18"/>
      <c r="J190" s="18"/>
      <c r="K190" s="18"/>
      <c r="L190" s="18"/>
      <c r="S190" s="4"/>
      <c r="T190" s="4"/>
      <c r="U190" s="4"/>
      <c r="AF190" s="4"/>
      <c r="AL190"/>
      <c r="AP190" s="4"/>
      <c r="AQ190" s="4"/>
      <c r="AR190" s="4"/>
      <c r="AS190" s="4"/>
      <c r="AT190" s="4"/>
      <c r="AU190" s="4"/>
      <c r="AV190" s="4"/>
    </row>
    <row r="191" spans="1:48" x14ac:dyDescent="0.25">
      <c r="A191" s="18"/>
      <c r="B191" s="19"/>
      <c r="C191" s="20"/>
      <c r="D191" s="18"/>
      <c r="E191" s="18"/>
      <c r="F191" s="18"/>
      <c r="G191" s="18"/>
      <c r="H191" s="18"/>
      <c r="I191" s="18"/>
      <c r="J191" s="18"/>
      <c r="K191" s="18"/>
      <c r="L191" s="18"/>
      <c r="S191" s="4"/>
      <c r="T191" s="4"/>
      <c r="U191" s="4"/>
      <c r="AF191" s="4"/>
      <c r="AL191"/>
      <c r="AP191" s="4"/>
      <c r="AQ191" s="4"/>
      <c r="AR191" s="4"/>
      <c r="AS191" s="4"/>
      <c r="AT191" s="4"/>
      <c r="AU191" s="4"/>
      <c r="AV191" s="4"/>
    </row>
    <row r="192" spans="1:48" x14ac:dyDescent="0.25">
      <c r="A192" s="18"/>
      <c r="B192" s="19"/>
      <c r="C192" s="20"/>
      <c r="D192" s="18"/>
      <c r="E192" s="18"/>
      <c r="F192" s="18"/>
      <c r="G192" s="18"/>
      <c r="H192" s="18"/>
      <c r="I192" s="18"/>
      <c r="J192" s="18"/>
      <c r="K192" s="18"/>
      <c r="L192" s="18"/>
      <c r="S192" s="4"/>
      <c r="T192" s="4"/>
      <c r="U192" s="4"/>
      <c r="AF192" s="4"/>
      <c r="AL192"/>
      <c r="AP192" s="4"/>
      <c r="AQ192" s="4"/>
      <c r="AR192" s="4"/>
      <c r="AS192" s="4"/>
      <c r="AT192" s="4"/>
      <c r="AU192" s="4"/>
      <c r="AV192" s="4"/>
    </row>
    <row r="193" spans="1:48" x14ac:dyDescent="0.25">
      <c r="A193" s="18"/>
      <c r="B193" s="19"/>
      <c r="C193" s="20"/>
      <c r="D193" s="18"/>
      <c r="E193" s="18"/>
      <c r="F193" s="18"/>
      <c r="G193" s="18"/>
      <c r="H193" s="18"/>
      <c r="I193" s="18"/>
      <c r="J193" s="18"/>
      <c r="K193" s="18"/>
      <c r="L193" s="18"/>
      <c r="S193" s="4"/>
      <c r="T193" s="4"/>
      <c r="U193" s="4"/>
      <c r="AF193" s="4"/>
      <c r="AL193"/>
      <c r="AP193" s="4"/>
      <c r="AQ193" s="4"/>
      <c r="AR193" s="4"/>
      <c r="AS193" s="4"/>
      <c r="AT193" s="4"/>
      <c r="AU193" s="4"/>
      <c r="AV193" s="4"/>
    </row>
    <row r="194" spans="1:48" x14ac:dyDescent="0.25">
      <c r="A194" s="18"/>
      <c r="B194" s="19"/>
      <c r="C194" s="20"/>
      <c r="D194" s="18"/>
      <c r="E194" s="18"/>
      <c r="F194" s="18"/>
      <c r="G194" s="18"/>
      <c r="H194" s="18"/>
      <c r="I194" s="18"/>
      <c r="J194" s="18"/>
      <c r="K194" s="18"/>
      <c r="L194" s="18"/>
      <c r="S194" s="4"/>
      <c r="T194" s="4"/>
      <c r="U194" s="4"/>
      <c r="AF194" s="4"/>
      <c r="AL194"/>
      <c r="AP194" s="4"/>
      <c r="AQ194" s="4"/>
      <c r="AR194" s="4"/>
      <c r="AS194" s="4"/>
      <c r="AT194" s="4"/>
      <c r="AU194" s="4"/>
      <c r="AV194" s="4"/>
    </row>
    <row r="195" spans="1:48" x14ac:dyDescent="0.25">
      <c r="A195" s="18"/>
      <c r="B195" s="19"/>
      <c r="C195" s="20"/>
      <c r="D195" s="18"/>
      <c r="E195" s="18"/>
      <c r="F195" s="18"/>
      <c r="G195" s="18"/>
      <c r="H195" s="18"/>
      <c r="I195" s="18"/>
      <c r="J195" s="18"/>
      <c r="K195" s="18"/>
      <c r="L195" s="18"/>
      <c r="S195" s="4"/>
      <c r="T195" s="4"/>
      <c r="U195" s="4"/>
      <c r="AF195" s="4"/>
      <c r="AL195"/>
      <c r="AP195" s="4"/>
      <c r="AQ195" s="4"/>
      <c r="AR195" s="4"/>
      <c r="AS195" s="4"/>
      <c r="AT195" s="4"/>
      <c r="AU195" s="4"/>
      <c r="AV195" s="4"/>
    </row>
    <row r="196" spans="1:48" x14ac:dyDescent="0.25">
      <c r="A196" s="18"/>
      <c r="B196" s="19"/>
      <c r="C196" s="20"/>
      <c r="D196" s="18"/>
      <c r="E196" s="18"/>
      <c r="F196" s="18"/>
      <c r="G196" s="18"/>
      <c r="H196" s="18"/>
      <c r="I196" s="18"/>
      <c r="J196" s="18"/>
      <c r="K196" s="18"/>
      <c r="L196" s="18"/>
      <c r="S196" s="4"/>
      <c r="T196" s="4"/>
      <c r="U196" s="4"/>
      <c r="AF196" s="4"/>
      <c r="AL196"/>
      <c r="AP196" s="4"/>
      <c r="AQ196" s="4"/>
      <c r="AR196" s="4"/>
      <c r="AS196" s="4"/>
      <c r="AT196" s="4"/>
      <c r="AU196" s="4"/>
      <c r="AV196" s="4"/>
    </row>
    <row r="197" spans="1:48" x14ac:dyDescent="0.25">
      <c r="A197" s="18"/>
      <c r="B197" s="19"/>
      <c r="C197" s="20"/>
      <c r="D197" s="18"/>
      <c r="E197" s="18"/>
      <c r="F197" s="18"/>
      <c r="G197" s="18"/>
      <c r="H197" s="18"/>
      <c r="I197" s="18"/>
      <c r="J197" s="18"/>
      <c r="K197" s="18"/>
      <c r="L197" s="18"/>
      <c r="S197" s="4"/>
      <c r="T197" s="4"/>
      <c r="U197" s="4"/>
      <c r="AF197" s="4"/>
      <c r="AL197"/>
      <c r="AP197" s="4"/>
      <c r="AQ197" s="4"/>
      <c r="AR197" s="4"/>
      <c r="AS197" s="4"/>
      <c r="AT197" s="4"/>
      <c r="AU197" s="4"/>
      <c r="AV197" s="4"/>
    </row>
    <row r="198" spans="1:48" x14ac:dyDescent="0.25">
      <c r="A198" s="18"/>
      <c r="B198" s="19"/>
      <c r="C198" s="20"/>
      <c r="D198" s="18"/>
      <c r="E198" s="18"/>
      <c r="F198" s="18"/>
      <c r="G198" s="18"/>
      <c r="H198" s="18"/>
      <c r="I198" s="18"/>
      <c r="J198" s="18"/>
      <c r="K198" s="18"/>
      <c r="L198" s="18"/>
      <c r="S198" s="4"/>
      <c r="T198" s="4"/>
      <c r="U198" s="4"/>
      <c r="AF198" s="4"/>
      <c r="AL198"/>
      <c r="AP198" s="4"/>
      <c r="AQ198" s="4"/>
      <c r="AR198" s="4"/>
      <c r="AS198" s="4"/>
      <c r="AT198" s="4"/>
      <c r="AU198" s="4"/>
      <c r="AV198" s="4"/>
    </row>
    <row r="199" spans="1:48" x14ac:dyDescent="0.25">
      <c r="A199" s="18"/>
      <c r="B199" s="19"/>
      <c r="C199" s="20"/>
      <c r="D199" s="18"/>
      <c r="E199" s="18"/>
      <c r="F199" s="18"/>
      <c r="G199" s="18"/>
      <c r="H199" s="18"/>
      <c r="I199" s="18"/>
      <c r="J199" s="18"/>
      <c r="K199" s="18"/>
      <c r="L199" s="18"/>
      <c r="S199" s="4"/>
      <c r="T199" s="4"/>
      <c r="U199" s="4"/>
      <c r="AF199" s="4"/>
      <c r="AL199"/>
      <c r="AP199" s="4"/>
      <c r="AQ199" s="4"/>
      <c r="AR199" s="4"/>
      <c r="AS199" s="4"/>
      <c r="AT199" s="4"/>
      <c r="AU199" s="4"/>
      <c r="AV199" s="4"/>
    </row>
    <row r="200" spans="1:48" x14ac:dyDescent="0.25">
      <c r="A200" s="18"/>
      <c r="B200" s="19"/>
      <c r="C200" s="20"/>
      <c r="D200" s="18"/>
      <c r="E200" s="18"/>
      <c r="F200" s="18"/>
      <c r="G200" s="18"/>
      <c r="H200" s="18"/>
      <c r="I200" s="18"/>
      <c r="J200" s="18"/>
      <c r="K200" s="18"/>
      <c r="L200" s="18"/>
      <c r="S200" s="4"/>
      <c r="T200" s="4"/>
      <c r="U200" s="4"/>
      <c r="AF200" s="4"/>
      <c r="AL200"/>
      <c r="AP200" s="4"/>
      <c r="AQ200" s="4"/>
      <c r="AR200" s="4"/>
      <c r="AS200" s="4"/>
      <c r="AT200" s="4"/>
      <c r="AU200" s="4"/>
      <c r="AV200" s="4"/>
    </row>
    <row r="201" spans="1:48" x14ac:dyDescent="0.25">
      <c r="A201" s="18"/>
      <c r="B201" s="19"/>
      <c r="C201" s="20"/>
      <c r="D201" s="18"/>
      <c r="E201" s="18"/>
      <c r="F201" s="18"/>
      <c r="G201" s="18"/>
      <c r="H201" s="18"/>
      <c r="I201" s="18"/>
      <c r="J201" s="18"/>
      <c r="K201" s="18"/>
      <c r="L201" s="18"/>
      <c r="S201" s="4"/>
      <c r="T201" s="4"/>
      <c r="U201" s="4"/>
      <c r="AF201" s="4"/>
      <c r="AL201"/>
      <c r="AP201" s="4"/>
      <c r="AQ201" s="4"/>
      <c r="AR201" s="4"/>
      <c r="AS201" s="4"/>
      <c r="AT201" s="4"/>
      <c r="AU201" s="4"/>
      <c r="AV201" s="4"/>
    </row>
    <row r="202" spans="1:48" x14ac:dyDescent="0.25">
      <c r="A202" s="18"/>
      <c r="B202" s="19"/>
      <c r="C202" s="20"/>
      <c r="D202" s="18"/>
      <c r="E202" s="18"/>
      <c r="F202" s="18"/>
      <c r="G202" s="18"/>
      <c r="H202" s="18"/>
      <c r="I202" s="18"/>
      <c r="J202" s="18"/>
      <c r="K202" s="18"/>
      <c r="L202" s="18"/>
      <c r="S202" s="4"/>
      <c r="T202" s="4"/>
      <c r="U202" s="4"/>
      <c r="AF202" s="4"/>
      <c r="AL202"/>
      <c r="AP202" s="4"/>
      <c r="AQ202" s="4"/>
      <c r="AR202" s="4"/>
      <c r="AS202" s="4"/>
      <c r="AT202" s="4"/>
      <c r="AU202" s="4"/>
      <c r="AV202" s="4"/>
    </row>
    <row r="203" spans="1:48" x14ac:dyDescent="0.25">
      <c r="A203" s="18"/>
      <c r="B203" s="19"/>
      <c r="C203" s="20"/>
      <c r="D203" s="18"/>
      <c r="E203" s="18"/>
      <c r="F203" s="18"/>
      <c r="G203" s="18"/>
      <c r="H203" s="18"/>
      <c r="I203" s="18"/>
      <c r="J203" s="18"/>
      <c r="K203" s="18"/>
      <c r="L203" s="18"/>
      <c r="S203" s="4"/>
      <c r="T203" s="4"/>
      <c r="U203" s="4"/>
      <c r="AF203" s="4"/>
      <c r="AL203"/>
      <c r="AP203" s="4"/>
      <c r="AQ203" s="4"/>
      <c r="AR203" s="4"/>
      <c r="AS203" s="4"/>
      <c r="AT203" s="4"/>
      <c r="AU203" s="4"/>
      <c r="AV203" s="4"/>
    </row>
    <row r="204" spans="1:48" x14ac:dyDescent="0.25">
      <c r="A204" s="18"/>
      <c r="B204" s="19"/>
      <c r="C204" s="20"/>
      <c r="D204" s="18"/>
      <c r="E204" s="18"/>
      <c r="F204" s="18"/>
      <c r="G204" s="18"/>
      <c r="H204" s="18"/>
      <c r="I204" s="18"/>
      <c r="J204" s="18"/>
      <c r="K204" s="18"/>
      <c r="L204" s="18"/>
      <c r="S204" s="4"/>
      <c r="T204" s="4"/>
      <c r="U204" s="4"/>
      <c r="AF204" s="4"/>
      <c r="AL204"/>
      <c r="AP204" s="4"/>
      <c r="AQ204" s="4"/>
      <c r="AR204" s="4"/>
      <c r="AS204" s="4"/>
      <c r="AT204" s="4"/>
      <c r="AU204" s="4"/>
      <c r="AV204" s="4"/>
    </row>
    <row r="205" spans="1:48" x14ac:dyDescent="0.25">
      <c r="O205"/>
      <c r="R205"/>
      <c r="T205" s="4"/>
      <c r="U205" s="4"/>
      <c r="AC205"/>
      <c r="AF205" s="4"/>
      <c r="AL205"/>
      <c r="AN205"/>
      <c r="AP205" s="4"/>
      <c r="AQ205" s="4"/>
      <c r="AR205" s="4"/>
      <c r="AS205" s="4"/>
      <c r="AT205" s="4"/>
      <c r="AU205" s="4"/>
      <c r="AV205" s="4"/>
    </row>
    <row r="206" spans="1:48" x14ac:dyDescent="0.25">
      <c r="O206"/>
      <c r="R206"/>
      <c r="T206" s="4"/>
      <c r="U206" s="4"/>
      <c r="AC206"/>
      <c r="AF206" s="4"/>
      <c r="AL206"/>
      <c r="AN206"/>
      <c r="AP206" s="4"/>
      <c r="AQ206" s="4"/>
      <c r="AR206" s="4"/>
      <c r="AS206" s="4"/>
      <c r="AT206" s="4"/>
      <c r="AU206" s="4"/>
      <c r="AV206" s="4"/>
    </row>
  </sheetData>
  <mergeCells count="5">
    <mergeCell ref="B1:L1"/>
    <mergeCell ref="N1:O1"/>
    <mergeCell ref="R1:Z1"/>
    <mergeCell ref="AC1:AK1"/>
    <mergeCell ref="AN1:A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5"/>
  <sheetViews>
    <sheetView topLeftCell="S1" zoomScale="80" zoomScaleNormal="80" workbookViewId="0">
      <selection activeCell="AV4" sqref="AV4"/>
    </sheetView>
  </sheetViews>
  <sheetFormatPr baseColWidth="10" defaultRowHeight="15.75" x14ac:dyDescent="0.25"/>
  <cols>
    <col min="1" max="1" width="10.875" style="6" customWidth="1"/>
    <col min="2" max="2" width="9.625" style="8" customWidth="1"/>
    <col min="3" max="3" width="10.625" style="4" customWidth="1"/>
    <col min="4" max="14" width="8.375" style="4" customWidth="1"/>
    <col min="16" max="16" width="8.375" style="4" customWidth="1"/>
    <col min="20" max="28" width="8.375" style="4" customWidth="1"/>
    <col min="30" max="37" width="8.375" style="4" customWidth="1"/>
    <col min="39" max="39" width="8.375" style="4" customWidth="1"/>
    <col min="41" max="48" width="8.375" style="4" customWidth="1"/>
  </cols>
  <sheetData>
    <row r="1" spans="1:48" x14ac:dyDescent="0.25">
      <c r="A1"/>
      <c r="B1" s="42" t="s">
        <v>34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/>
      <c r="N1" s="43" t="s">
        <v>35</v>
      </c>
      <c r="O1" s="43"/>
      <c r="P1"/>
      <c r="R1" s="43" t="s">
        <v>36</v>
      </c>
      <c r="S1" s="43"/>
      <c r="T1" s="43"/>
      <c r="U1" s="43"/>
      <c r="V1" s="43"/>
      <c r="W1" s="43"/>
      <c r="X1" s="43"/>
      <c r="Y1" s="43"/>
      <c r="Z1" s="43"/>
      <c r="AB1"/>
      <c r="AC1" s="43" t="s">
        <v>37</v>
      </c>
      <c r="AD1" s="43"/>
      <c r="AE1" s="43"/>
      <c r="AF1" s="43"/>
      <c r="AG1" s="43"/>
      <c r="AH1" s="43"/>
      <c r="AI1" s="43"/>
      <c r="AJ1" s="43"/>
      <c r="AK1" s="43"/>
      <c r="AM1"/>
      <c r="AN1" s="43" t="s">
        <v>46</v>
      </c>
      <c r="AO1" s="43"/>
      <c r="AP1" s="43"/>
      <c r="AQ1" s="43"/>
      <c r="AR1" s="43"/>
      <c r="AS1" s="43"/>
      <c r="AT1" s="43"/>
      <c r="AU1" s="43"/>
      <c r="AV1" s="43"/>
    </row>
    <row r="2" spans="1:48" x14ac:dyDescent="0.25">
      <c r="A2" s="4"/>
      <c r="B2" s="6"/>
      <c r="C2" s="8"/>
      <c r="M2"/>
      <c r="O2" s="4"/>
      <c r="P2"/>
      <c r="R2" s="4"/>
      <c r="S2" s="4"/>
      <c r="AB2" s="4" t="s">
        <v>31</v>
      </c>
      <c r="AC2" s="4">
        <f t="shared" ref="AC2:AK2" si="0">COUNTA(AC6:AC4995)</f>
        <v>200</v>
      </c>
      <c r="AD2" s="4">
        <f t="shared" si="0"/>
        <v>200</v>
      </c>
      <c r="AE2" s="4">
        <f t="shared" si="0"/>
        <v>200</v>
      </c>
      <c r="AF2" s="4">
        <f t="shared" si="0"/>
        <v>200</v>
      </c>
      <c r="AG2" s="4">
        <f t="shared" si="0"/>
        <v>200</v>
      </c>
      <c r="AH2" s="4">
        <f t="shared" si="0"/>
        <v>200</v>
      </c>
      <c r="AI2" s="4">
        <f t="shared" si="0"/>
        <v>200</v>
      </c>
      <c r="AJ2" s="4">
        <f t="shared" si="0"/>
        <v>200</v>
      </c>
      <c r="AK2" s="4">
        <f t="shared" si="0"/>
        <v>200</v>
      </c>
      <c r="AM2" s="4" t="s">
        <v>31</v>
      </c>
      <c r="AN2" s="4">
        <f t="shared" ref="AN2:AV2" si="1">COUNTA(AN6:AN4995)</f>
        <v>200</v>
      </c>
      <c r="AO2" s="4">
        <f t="shared" si="1"/>
        <v>200</v>
      </c>
      <c r="AP2" s="4">
        <f t="shared" si="1"/>
        <v>200</v>
      </c>
      <c r="AQ2" s="4">
        <f t="shared" si="1"/>
        <v>200</v>
      </c>
      <c r="AR2" s="4">
        <f t="shared" si="1"/>
        <v>200</v>
      </c>
      <c r="AS2" s="4">
        <f t="shared" si="1"/>
        <v>200</v>
      </c>
      <c r="AT2" s="4">
        <f t="shared" si="1"/>
        <v>200</v>
      </c>
      <c r="AU2" s="4">
        <f t="shared" si="1"/>
        <v>200</v>
      </c>
      <c r="AV2" s="4">
        <f t="shared" si="1"/>
        <v>200</v>
      </c>
    </row>
    <row r="3" spans="1:48" x14ac:dyDescent="0.25">
      <c r="A3" s="4"/>
      <c r="B3" s="6"/>
      <c r="C3" s="8"/>
      <c r="M3"/>
      <c r="O3" s="4"/>
      <c r="P3"/>
      <c r="Q3" s="4" t="s">
        <v>30</v>
      </c>
      <c r="R3" s="4">
        <f t="shared" ref="R3:Z3" si="2">AVERAGE(R6:R4995)</f>
        <v>-0.10909999999999993</v>
      </c>
      <c r="S3" s="4">
        <f t="shared" si="2"/>
        <v>-0.2370499999999999</v>
      </c>
      <c r="T3" s="4">
        <f t="shared" si="2"/>
        <v>-8.9899999999999911E-2</v>
      </c>
      <c r="U3" s="4">
        <f t="shared" si="2"/>
        <v>-0.34359999999999979</v>
      </c>
      <c r="V3" s="4">
        <f t="shared" si="2"/>
        <v>-0.38599999999999995</v>
      </c>
      <c r="W3" s="4">
        <f t="shared" si="2"/>
        <v>-0.36199999999999977</v>
      </c>
      <c r="X3" s="4">
        <f t="shared" si="2"/>
        <v>3.5550000000000123E-2</v>
      </c>
      <c r="Y3" s="4">
        <f t="shared" si="2"/>
        <v>-9.4799999999999898E-2</v>
      </c>
      <c r="Z3" s="4">
        <f t="shared" si="2"/>
        <v>-0.6351500000000001</v>
      </c>
      <c r="AB3" s="4" t="s">
        <v>32</v>
      </c>
      <c r="AC3" s="4">
        <f t="shared" ref="AC3:AK3" si="3">STDEV(AC6:AC4995)</f>
        <v>1.5308182329433082</v>
      </c>
      <c r="AD3" s="4">
        <f t="shared" si="3"/>
        <v>1.5003387548807539</v>
      </c>
      <c r="AE3" s="4">
        <f t="shared" si="3"/>
        <v>1.5398623706692349</v>
      </c>
      <c r="AF3" s="4">
        <f t="shared" si="3"/>
        <v>1.6298980422531459</v>
      </c>
      <c r="AG3" s="4">
        <f t="shared" si="3"/>
        <v>1.5608983851757383</v>
      </c>
      <c r="AH3" s="4">
        <f t="shared" si="3"/>
        <v>1.7020849614753237</v>
      </c>
      <c r="AI3" s="4">
        <f t="shared" si="3"/>
        <v>1.4780726270907267</v>
      </c>
      <c r="AJ3" s="4">
        <f t="shared" si="3"/>
        <v>1.5506470395309442</v>
      </c>
      <c r="AK3" s="4">
        <f t="shared" si="3"/>
        <v>1.6596560694446336</v>
      </c>
      <c r="AM3" s="4" t="s">
        <v>32</v>
      </c>
      <c r="AN3" s="4">
        <f t="shared" ref="AN3:AV3" si="4">STDEV(AN6:AN4995)</f>
        <v>8.9488720829939805E-2</v>
      </c>
      <c r="AO3" s="4">
        <f t="shared" si="4"/>
        <v>0.1135263788441582</v>
      </c>
      <c r="AP3" s="4">
        <f t="shared" si="4"/>
        <v>8.9093649560222948E-2</v>
      </c>
      <c r="AQ3" s="4">
        <f t="shared" si="4"/>
        <v>0.15905196521323167</v>
      </c>
      <c r="AR3" s="4">
        <f t="shared" si="4"/>
        <v>5.7028600776563736E-2</v>
      </c>
      <c r="AS3" s="4">
        <f t="shared" si="4"/>
        <v>0.30645976561320182</v>
      </c>
      <c r="AT3" s="4">
        <f t="shared" si="4"/>
        <v>0.13189266802744218</v>
      </c>
      <c r="AU3" s="4">
        <f t="shared" si="4"/>
        <v>0.1045880168390801</v>
      </c>
      <c r="AV3" s="4">
        <f t="shared" si="4"/>
        <v>0.21227406552490671</v>
      </c>
    </row>
    <row r="4" spans="1:48" ht="16.5" thickBot="1" x14ac:dyDescent="0.3">
      <c r="A4" s="4"/>
      <c r="B4" s="6"/>
      <c r="C4" s="8"/>
      <c r="M4"/>
      <c r="O4" s="4"/>
      <c r="P4"/>
      <c r="R4" s="4">
        <f>STDEV(R6:R4995)</f>
        <v>8.9488720829939777E-2</v>
      </c>
      <c r="S4" s="4">
        <f t="shared" ref="S4:Z4" si="5">STDEV(S6:S4995)</f>
        <v>0.11352637884415821</v>
      </c>
      <c r="T4" s="4">
        <f t="shared" si="5"/>
        <v>8.9093649560222934E-2</v>
      </c>
      <c r="U4" s="4">
        <f t="shared" si="5"/>
        <v>0.15905196521323134</v>
      </c>
      <c r="V4" s="4">
        <f t="shared" si="5"/>
        <v>5.7028600776564235E-2</v>
      </c>
      <c r="W4" s="4">
        <f t="shared" si="5"/>
        <v>0.30645976561320193</v>
      </c>
      <c r="X4" s="4">
        <f t="shared" si="5"/>
        <v>0.13189266802744187</v>
      </c>
      <c r="Y4" s="4">
        <f t="shared" si="5"/>
        <v>0.10458801683907995</v>
      </c>
      <c r="Z4" s="4">
        <f t="shared" si="5"/>
        <v>0.21227406552490391</v>
      </c>
      <c r="AB4" s="4" t="s">
        <v>33</v>
      </c>
      <c r="AC4" s="4">
        <f>SQRT((AC3/SQRT(AC2))^2+(('Sonde étalon'!$D$13)/2)^2+(0.0625/(2*SQRT(3)))^2+(0.001/(2*SQRT(3)))^2)</f>
        <v>0.11680165443273922</v>
      </c>
      <c r="AD4" s="4">
        <f>SQRT((AD3/SQRT(AD2))^2+(('Sonde étalon'!$D$13)/2)^2+(0.0625/(2*SQRT(3)))^2+(0.001/(2*SQRT(3)))^2)</f>
        <v>0.11480716904293181</v>
      </c>
      <c r="AE4" s="4">
        <f>SQRT((AE3/SQRT(AE2))^2+(('Sonde étalon'!$D$13)/2)^2+(0.0625/(2*SQRT(3)))^2+(0.001/(2*SQRT(3)))^2)</f>
        <v>0.117394568740134</v>
      </c>
      <c r="AF4" s="4">
        <f>SQRT((AF3/SQRT(AF2))^2+(('Sonde étalon'!$D$13)/2)^2+(0.0625/(2*SQRT(3)))^2+(0.001/(2*SQRT(3)))^2)</f>
        <v>0.12332251338409324</v>
      </c>
      <c r="AG4" s="4">
        <f>SQRT((AG3/SQRT(AG2))^2+(('Sonde étalon'!$D$13)/2)^2+(0.0625/(2*SQRT(3)))^2+(0.001/(2*SQRT(3)))^2)</f>
        <v>0.11877551519942064</v>
      </c>
      <c r="AH4" s="4">
        <f>SQRT((AH3/SQRT(AH2))^2+(('Sonde étalon'!$D$13)/2)^2+(0.0625/(2*SQRT(3)))^2+(0.001/(2*SQRT(3)))^2)</f>
        <v>0.1281056995104782</v>
      </c>
      <c r="AI4" s="4">
        <f>SQRT((AI3/SQRT(AI2))^2+(('Sonde étalon'!$D$13)/2)^2+(0.0625/(2*SQRT(3)))^2+(0.001/(2*SQRT(3)))^2)</f>
        <v>0.11335386019647094</v>
      </c>
      <c r="AJ4" s="4">
        <f>SQRT((AJ3/SQRT(AJ2))^2+(('Sonde étalon'!$D$13)/2)^2+(0.0625/(2*SQRT(3)))^2+(0.001/(2*SQRT(3)))^2)</f>
        <v>0.11810222424957574</v>
      </c>
      <c r="AK4" s="4">
        <f>SQRT((AK3/SQRT(AK2))^2+(('Sonde étalon'!$D$13)/2)^2+(0.0625/(2*SQRT(3)))^2+(0.001/(2*SQRT(3)))^2)</f>
        <v>0.1252912427541874</v>
      </c>
      <c r="AM4" s="4" t="s">
        <v>33</v>
      </c>
      <c r="AN4" s="4">
        <f>SQRT((AN3/SQRT(AN2))^2+(('Sonde étalon'!$D$13)/2)^2+(0.0625/(2*SQRT(3)))^2+(0.01/(2*SQRT(3)))^2)</f>
        <v>4.4428541754659934E-2</v>
      </c>
      <c r="AO4" s="4">
        <f>SQRT((AO3/SQRT(AO2))^2+(('Sonde étalon'!$D$13)/2)^2+(0.0625/(2*SQRT(3)))^2+(0.01/(2*SQRT(3)))^2)</f>
        <v>4.4702297034201761E-2</v>
      </c>
      <c r="AP4" s="4">
        <f>SQRT((AP3/SQRT(AP2))^2+(('Sonde étalon'!$D$13)/2)^2+(0.0625/(2*SQRT(3)))^2+(0.01/(2*SQRT(3)))^2)</f>
        <v>4.4424571563791877E-2</v>
      </c>
      <c r="AQ4" s="4">
        <f>SQRT((AQ3/SQRT(AQ2))^2+(('Sonde étalon'!$D$13)/2)^2+(0.0625/(2*SQRT(3)))^2+(0.01/(2*SQRT(3)))^2)</f>
        <v>4.5390988145860213E-2</v>
      </c>
      <c r="AR4" s="4">
        <f>SQRT((AR3/SQRT(AR2))^2+(('Sonde étalon'!$D$13)/2)^2+(0.0625/(2*SQRT(3)))^2+(0.01/(2*SQRT(3)))^2)</f>
        <v>4.4160111788800201E-2</v>
      </c>
      <c r="AS4" s="4">
        <f>SQRT((AS3/SQRT(AS2))^2+(('Sonde étalon'!$D$13)/2)^2+(0.0625/(2*SQRT(3)))^2+(0.01/(2*SQRT(3)))^2)</f>
        <v>4.9024913119404503E-2</v>
      </c>
      <c r="AT4" s="4">
        <f>SQRT((AT3/SQRT(AT2))^2+(('Sonde étalon'!$D$13)/2)^2+(0.0625/(2*SQRT(3)))^2+(0.01/(2*SQRT(3)))^2)</f>
        <v>4.4953671107748831E-2</v>
      </c>
      <c r="AU4" s="4">
        <f>SQRT((AU3/SQRT(AU2))^2+(('Sonde étalon'!$D$13)/2)^2+(0.0625/(2*SQRT(3)))^2+(0.01/(2*SQRT(3)))^2)</f>
        <v>4.4593132128146432E-2</v>
      </c>
      <c r="AV4" s="4">
        <f>SQRT((AV3/SQRT(AV2))^2+(('Sonde étalon'!$D$13)/2)^2+(0.0625/(2*SQRT(3)))^2+(0.01/(2*SQRT(3)))^2)</f>
        <v>4.6466714550730058E-2</v>
      </c>
    </row>
    <row r="5" spans="1:48" ht="17.25" thickTop="1" thickBot="1" x14ac:dyDescent="0.3">
      <c r="A5" s="3" t="s">
        <v>27</v>
      </c>
      <c r="B5" s="5" t="s">
        <v>0</v>
      </c>
      <c r="C5" s="7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/>
      <c r="N5" s="3" t="s">
        <v>28</v>
      </c>
      <c r="O5" s="3" t="s">
        <v>29</v>
      </c>
      <c r="P5"/>
      <c r="R5" s="3" t="s">
        <v>15</v>
      </c>
      <c r="S5" s="3" t="s">
        <v>16</v>
      </c>
      <c r="T5" s="3" t="s">
        <v>17</v>
      </c>
      <c r="U5" s="3" t="s">
        <v>18</v>
      </c>
      <c r="V5" s="3" t="s">
        <v>19</v>
      </c>
      <c r="W5" s="3" t="s">
        <v>20</v>
      </c>
      <c r="X5" s="3" t="s">
        <v>21</v>
      </c>
      <c r="Y5" s="3" t="s">
        <v>22</v>
      </c>
      <c r="Z5" s="3" t="s">
        <v>23</v>
      </c>
      <c r="AA5"/>
      <c r="AB5"/>
      <c r="AC5" s="3" t="s">
        <v>15</v>
      </c>
      <c r="AD5" s="3" t="s">
        <v>16</v>
      </c>
      <c r="AE5" s="3" t="s">
        <v>17</v>
      </c>
      <c r="AF5" s="3" t="s">
        <v>18</v>
      </c>
      <c r="AG5" s="3" t="s">
        <v>19</v>
      </c>
      <c r="AH5" s="3" t="s">
        <v>20</v>
      </c>
      <c r="AI5" s="3" t="s">
        <v>21</v>
      </c>
      <c r="AJ5" s="3" t="s">
        <v>22</v>
      </c>
      <c r="AK5" s="3" t="s">
        <v>23</v>
      </c>
      <c r="AM5"/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20</v>
      </c>
      <c r="AT5" s="3" t="s">
        <v>21</v>
      </c>
      <c r="AU5" s="3" t="s">
        <v>22</v>
      </c>
      <c r="AV5" s="3" t="s">
        <v>23</v>
      </c>
    </row>
    <row r="6" spans="1:48" ht="16.5" thickTop="1" x14ac:dyDescent="0.25">
      <c r="A6" s="18">
        <v>6</v>
      </c>
      <c r="B6" s="19">
        <v>43552</v>
      </c>
      <c r="C6" s="20">
        <v>0.41901620370370374</v>
      </c>
      <c r="D6" s="18">
        <v>7.19</v>
      </c>
      <c r="E6" s="18">
        <v>7.06</v>
      </c>
      <c r="F6" s="18">
        <v>7.25</v>
      </c>
      <c r="G6" s="18">
        <v>6.94</v>
      </c>
      <c r="H6" s="18">
        <v>6.94</v>
      </c>
      <c r="I6" s="18">
        <v>6.69</v>
      </c>
      <c r="J6" s="18">
        <v>7.25</v>
      </c>
      <c r="K6" s="18">
        <v>7.19</v>
      </c>
      <c r="L6" s="18">
        <v>6.5</v>
      </c>
      <c r="M6"/>
      <c r="N6" s="4">
        <v>7.22</v>
      </c>
      <c r="O6" s="4">
        <f>N6-'Sonde étalon'!$C$13</f>
        <v>7.39</v>
      </c>
      <c r="P6"/>
      <c r="R6" s="4">
        <f t="shared" ref="R6:R37" si="6">D6-O6</f>
        <v>-0.19999999999999929</v>
      </c>
      <c r="S6" s="4">
        <f t="shared" ref="S6:S37" si="7">E6-O6</f>
        <v>-0.33000000000000007</v>
      </c>
      <c r="T6" s="4">
        <f t="shared" ref="T6:T37" si="8">F6-O6</f>
        <v>-0.13999999999999968</v>
      </c>
      <c r="U6" s="4">
        <f t="shared" ref="U6:U37" si="9">G6-O6</f>
        <v>-0.44999999999999929</v>
      </c>
      <c r="V6" s="4">
        <f t="shared" ref="V6:V37" si="10">H6-O6</f>
        <v>-0.44999999999999929</v>
      </c>
      <c r="W6" s="4">
        <f t="shared" ref="W6:W37" si="11">I6-O6</f>
        <v>-0.69999999999999929</v>
      </c>
      <c r="X6" s="4">
        <f t="shared" ref="X6:X37" si="12">J6-O6</f>
        <v>-0.13999999999999968</v>
      </c>
      <c r="Y6" s="4">
        <f t="shared" ref="Y6:Y37" si="13">K6-O6</f>
        <v>-0.19999999999999929</v>
      </c>
      <c r="Z6" s="4">
        <f t="shared" ref="Z6:Z37" si="14">L6-O6</f>
        <v>-0.88999999999999968</v>
      </c>
      <c r="AB6"/>
      <c r="AC6" s="4">
        <f>D6-$R$3</f>
        <v>7.2991000000000001</v>
      </c>
      <c r="AD6" s="4">
        <f>E6-$S$3</f>
        <v>7.2970499999999996</v>
      </c>
      <c r="AE6" s="4">
        <f>F6-$T$3</f>
        <v>7.3399000000000001</v>
      </c>
      <c r="AF6" s="4">
        <f>G6-$U$3</f>
        <v>7.2835999999999999</v>
      </c>
      <c r="AG6" s="4">
        <f>H6-$V$3</f>
        <v>7.3260000000000005</v>
      </c>
      <c r="AH6" s="4">
        <f>I6-$W$3</f>
        <v>7.0520000000000005</v>
      </c>
      <c r="AI6" s="4">
        <f>J6-$X$3</f>
        <v>7.2144500000000003</v>
      </c>
      <c r="AJ6" s="4">
        <f>K6-$Y$3</f>
        <v>7.2848000000000006</v>
      </c>
      <c r="AK6" s="4">
        <f>L6-$Z$3</f>
        <v>7.1351500000000003</v>
      </c>
      <c r="AM6"/>
      <c r="AN6" s="4">
        <f>AC6-O6</f>
        <v>-9.0899999999999537E-2</v>
      </c>
      <c r="AO6" s="4">
        <f>AD6-O6</f>
        <v>-9.2950000000000088E-2</v>
      </c>
      <c r="AP6" s="4">
        <f>AE6-O6</f>
        <v>-5.0099999999999589E-2</v>
      </c>
      <c r="AQ6" s="4">
        <f>AF6-O6</f>
        <v>-0.10639999999999983</v>
      </c>
      <c r="AR6" s="4">
        <f>AG6-O6</f>
        <v>-6.3999999999999169E-2</v>
      </c>
      <c r="AS6" s="4">
        <f>AH6-O6</f>
        <v>-0.33799999999999919</v>
      </c>
      <c r="AT6" s="4">
        <f>AI6-O6</f>
        <v>-0.17554999999999943</v>
      </c>
      <c r="AU6" s="4">
        <f>AJ6-O6</f>
        <v>-0.10519999999999907</v>
      </c>
      <c r="AV6" s="4">
        <f>AK6-O6</f>
        <v>-0.25484999999999935</v>
      </c>
    </row>
    <row r="7" spans="1:48" x14ac:dyDescent="0.25">
      <c r="A7" s="18">
        <v>7</v>
      </c>
      <c r="B7" s="19">
        <v>43552</v>
      </c>
      <c r="C7" s="21">
        <v>0.41971064814814812</v>
      </c>
      <c r="D7" s="18">
        <v>6.94</v>
      </c>
      <c r="E7" s="18">
        <v>6.88</v>
      </c>
      <c r="F7" s="18">
        <v>7</v>
      </c>
      <c r="G7" s="18">
        <v>6.69</v>
      </c>
      <c r="H7" s="18">
        <v>6.75</v>
      </c>
      <c r="I7" s="18">
        <v>6.5</v>
      </c>
      <c r="J7" s="18">
        <v>7.06</v>
      </c>
      <c r="K7" s="18">
        <v>7</v>
      </c>
      <c r="L7" s="18">
        <v>6.31</v>
      </c>
      <c r="M7"/>
      <c r="N7" s="4">
        <v>6.96</v>
      </c>
      <c r="O7" s="4">
        <f>N7-'Sonde étalon'!$C$13</f>
        <v>7.13</v>
      </c>
      <c r="P7"/>
      <c r="R7" s="4">
        <f t="shared" si="6"/>
        <v>-0.1899999999999995</v>
      </c>
      <c r="S7" s="4">
        <f t="shared" si="7"/>
        <v>-0.25</v>
      </c>
      <c r="T7" s="4">
        <f t="shared" si="8"/>
        <v>-0.12999999999999989</v>
      </c>
      <c r="U7" s="4">
        <f t="shared" si="9"/>
        <v>-0.4399999999999995</v>
      </c>
      <c r="V7" s="4">
        <f t="shared" si="10"/>
        <v>-0.37999999999999989</v>
      </c>
      <c r="W7" s="4">
        <f t="shared" si="11"/>
        <v>-0.62999999999999989</v>
      </c>
      <c r="X7" s="4">
        <f t="shared" si="12"/>
        <v>-7.0000000000000284E-2</v>
      </c>
      <c r="Y7" s="4">
        <f t="shared" si="13"/>
        <v>-0.12999999999999989</v>
      </c>
      <c r="Z7" s="4">
        <f t="shared" si="14"/>
        <v>-0.82000000000000028</v>
      </c>
      <c r="AB7"/>
      <c r="AC7" s="4">
        <f t="shared" ref="AC7:AC70" si="15">D7-$R$3</f>
        <v>7.0491000000000001</v>
      </c>
      <c r="AD7" s="4">
        <f t="shared" ref="AD7:AD70" si="16">E7-$S$3</f>
        <v>7.1170499999999999</v>
      </c>
      <c r="AE7" s="4">
        <f t="shared" ref="AE7:AE70" si="17">F7-$T$3</f>
        <v>7.0899000000000001</v>
      </c>
      <c r="AF7" s="4">
        <f t="shared" ref="AF7:AF70" si="18">G7-$U$3</f>
        <v>7.0335999999999999</v>
      </c>
      <c r="AG7" s="4">
        <f t="shared" ref="AG7:AG70" si="19">H7-$V$3</f>
        <v>7.1360000000000001</v>
      </c>
      <c r="AH7" s="4">
        <f t="shared" ref="AH7:AH70" si="20">I7-$W$3</f>
        <v>6.8620000000000001</v>
      </c>
      <c r="AI7" s="4">
        <f t="shared" ref="AI7:AI70" si="21">J7-$X$3</f>
        <v>7.0244499999999999</v>
      </c>
      <c r="AJ7" s="4">
        <f t="shared" ref="AJ7:AJ70" si="22">K7-$Y$3</f>
        <v>7.0948000000000002</v>
      </c>
      <c r="AK7" s="4">
        <f t="shared" ref="AK7:AK70" si="23">L7-$Z$3</f>
        <v>6.9451499999999999</v>
      </c>
      <c r="AM7"/>
      <c r="AN7" s="4">
        <f t="shared" ref="AN7:AN70" si="24">AC7-O7</f>
        <v>-8.089999999999975E-2</v>
      </c>
      <c r="AO7" s="4">
        <f t="shared" ref="AO7:AO70" si="25">AD7-O7</f>
        <v>-1.2950000000000017E-2</v>
      </c>
      <c r="AP7" s="4">
        <f t="shared" ref="AP7:AP70" si="26">AE7-O7</f>
        <v>-4.0099999999999802E-2</v>
      </c>
      <c r="AQ7" s="4">
        <f t="shared" ref="AQ7:AQ70" si="27">AF7-O7</f>
        <v>-9.6400000000000041E-2</v>
      </c>
      <c r="AR7" s="4">
        <f t="shared" ref="AR7:AR70" si="28">AG7-O7</f>
        <v>6.0000000000002274E-3</v>
      </c>
      <c r="AS7" s="4">
        <f t="shared" ref="AS7:AS70" si="29">AH7-O7</f>
        <v>-0.26799999999999979</v>
      </c>
      <c r="AT7" s="4">
        <f t="shared" ref="AT7:AT70" si="30">AI7-O7</f>
        <v>-0.10555000000000003</v>
      </c>
      <c r="AU7" s="4">
        <f t="shared" ref="AU7:AU70" si="31">AJ7-O7</f>
        <v>-3.5199999999999676E-2</v>
      </c>
      <c r="AV7" s="4">
        <f t="shared" ref="AV7:AV70" si="32">AK7-O7</f>
        <v>-0.18484999999999996</v>
      </c>
    </row>
    <row r="8" spans="1:48" x14ac:dyDescent="0.25">
      <c r="A8" s="18">
        <v>8</v>
      </c>
      <c r="B8" s="19">
        <v>43552</v>
      </c>
      <c r="C8" s="20">
        <v>0.42040509259259262</v>
      </c>
      <c r="D8" s="18">
        <v>6.81</v>
      </c>
      <c r="E8" s="18">
        <v>6.69</v>
      </c>
      <c r="F8" s="18">
        <v>6.81</v>
      </c>
      <c r="G8" s="18">
        <v>6.56</v>
      </c>
      <c r="H8" s="18">
        <v>6.56</v>
      </c>
      <c r="I8" s="18">
        <v>6.38</v>
      </c>
      <c r="J8" s="18">
        <v>6.94</v>
      </c>
      <c r="K8" s="18">
        <v>6.81</v>
      </c>
      <c r="L8" s="18">
        <v>6.19</v>
      </c>
      <c r="M8"/>
      <c r="N8" s="4">
        <v>6.78</v>
      </c>
      <c r="O8" s="4">
        <f>N8-'Sonde étalon'!$C$13</f>
        <v>6.95</v>
      </c>
      <c r="P8"/>
      <c r="R8" s="4">
        <f t="shared" si="6"/>
        <v>-0.14000000000000057</v>
      </c>
      <c r="S8" s="4">
        <f t="shared" si="7"/>
        <v>-0.25999999999999979</v>
      </c>
      <c r="T8" s="4">
        <f t="shared" si="8"/>
        <v>-0.14000000000000057</v>
      </c>
      <c r="U8" s="4">
        <f t="shared" si="9"/>
        <v>-0.39000000000000057</v>
      </c>
      <c r="V8" s="4">
        <f t="shared" si="10"/>
        <v>-0.39000000000000057</v>
      </c>
      <c r="W8" s="4">
        <f t="shared" si="11"/>
        <v>-0.57000000000000028</v>
      </c>
      <c r="X8" s="4">
        <f t="shared" si="12"/>
        <v>-9.9999999999997868E-3</v>
      </c>
      <c r="Y8" s="4">
        <f t="shared" si="13"/>
        <v>-0.14000000000000057</v>
      </c>
      <c r="Z8" s="4">
        <f t="shared" si="14"/>
        <v>-0.75999999999999979</v>
      </c>
      <c r="AB8"/>
      <c r="AC8" s="4">
        <f t="shared" si="15"/>
        <v>6.9190999999999994</v>
      </c>
      <c r="AD8" s="4">
        <f t="shared" si="16"/>
        <v>6.9270500000000004</v>
      </c>
      <c r="AE8" s="4">
        <f t="shared" si="17"/>
        <v>6.8998999999999997</v>
      </c>
      <c r="AF8" s="4">
        <f t="shared" si="18"/>
        <v>6.9035999999999991</v>
      </c>
      <c r="AG8" s="4">
        <f t="shared" si="19"/>
        <v>6.9459999999999997</v>
      </c>
      <c r="AH8" s="4">
        <f t="shared" si="20"/>
        <v>6.742</v>
      </c>
      <c r="AI8" s="4">
        <f t="shared" si="21"/>
        <v>6.9044500000000006</v>
      </c>
      <c r="AJ8" s="4">
        <f t="shared" si="22"/>
        <v>6.9047999999999998</v>
      </c>
      <c r="AK8" s="4">
        <f t="shared" si="23"/>
        <v>6.8251500000000007</v>
      </c>
      <c r="AM8"/>
      <c r="AN8" s="4">
        <f t="shared" si="24"/>
        <v>-3.0900000000000816E-2</v>
      </c>
      <c r="AO8" s="4">
        <f t="shared" si="25"/>
        <v>-2.2949999999999804E-2</v>
      </c>
      <c r="AP8" s="4">
        <f t="shared" si="26"/>
        <v>-5.0100000000000477E-2</v>
      </c>
      <c r="AQ8" s="4">
        <f t="shared" si="27"/>
        <v>-4.6400000000001107E-2</v>
      </c>
      <c r="AR8" s="4">
        <f t="shared" si="28"/>
        <v>-4.0000000000004476E-3</v>
      </c>
      <c r="AS8" s="4">
        <f t="shared" si="29"/>
        <v>-0.20800000000000018</v>
      </c>
      <c r="AT8" s="4">
        <f t="shared" si="30"/>
        <v>-4.5549999999999535E-2</v>
      </c>
      <c r="AU8" s="4">
        <f t="shared" si="31"/>
        <v>-4.5200000000000351E-2</v>
      </c>
      <c r="AV8" s="4">
        <f t="shared" si="32"/>
        <v>-0.12484999999999946</v>
      </c>
    </row>
    <row r="9" spans="1:48" x14ac:dyDescent="0.25">
      <c r="A9" s="18">
        <v>9</v>
      </c>
      <c r="B9" s="19">
        <v>43552</v>
      </c>
      <c r="C9" s="22">
        <v>0.42109953703703701</v>
      </c>
      <c r="D9" s="18">
        <v>6.69</v>
      </c>
      <c r="E9" s="18">
        <v>6.56</v>
      </c>
      <c r="F9" s="18">
        <v>6.75</v>
      </c>
      <c r="G9" s="18">
        <v>6.44</v>
      </c>
      <c r="H9" s="18">
        <v>6.44</v>
      </c>
      <c r="I9" s="18">
        <v>6.31</v>
      </c>
      <c r="J9" s="18">
        <v>6.81</v>
      </c>
      <c r="K9" s="18">
        <v>6.69</v>
      </c>
      <c r="L9" s="18">
        <v>6.13</v>
      </c>
      <c r="M9"/>
      <c r="N9" s="4">
        <v>6.64</v>
      </c>
      <c r="O9" s="4">
        <f>N9-'Sonde étalon'!$C$13</f>
        <v>6.81</v>
      </c>
      <c r="P9"/>
      <c r="R9" s="4">
        <f t="shared" si="6"/>
        <v>-0.11999999999999922</v>
      </c>
      <c r="S9" s="4">
        <f t="shared" si="7"/>
        <v>-0.25</v>
      </c>
      <c r="T9" s="4">
        <f t="shared" si="8"/>
        <v>-5.9999999999999609E-2</v>
      </c>
      <c r="U9" s="4">
        <f t="shared" si="9"/>
        <v>-0.36999999999999922</v>
      </c>
      <c r="V9" s="4">
        <f t="shared" si="10"/>
        <v>-0.36999999999999922</v>
      </c>
      <c r="W9" s="4">
        <f t="shared" si="11"/>
        <v>-0.5</v>
      </c>
      <c r="X9" s="4">
        <f t="shared" si="12"/>
        <v>0</v>
      </c>
      <c r="Y9" s="4">
        <f t="shared" si="13"/>
        <v>-0.11999999999999922</v>
      </c>
      <c r="Z9" s="4">
        <f t="shared" si="14"/>
        <v>-0.67999999999999972</v>
      </c>
      <c r="AB9"/>
      <c r="AC9" s="4">
        <f t="shared" si="15"/>
        <v>6.7991000000000001</v>
      </c>
      <c r="AD9" s="4">
        <f t="shared" si="16"/>
        <v>6.7970499999999996</v>
      </c>
      <c r="AE9" s="4">
        <f t="shared" si="17"/>
        <v>6.8399000000000001</v>
      </c>
      <c r="AF9" s="4">
        <f t="shared" si="18"/>
        <v>6.7835999999999999</v>
      </c>
      <c r="AG9" s="4">
        <f t="shared" si="19"/>
        <v>6.8260000000000005</v>
      </c>
      <c r="AH9" s="4">
        <f t="shared" si="20"/>
        <v>6.6719999999999997</v>
      </c>
      <c r="AI9" s="4">
        <f t="shared" si="21"/>
        <v>6.7744499999999999</v>
      </c>
      <c r="AJ9" s="4">
        <f t="shared" si="22"/>
        <v>6.7848000000000006</v>
      </c>
      <c r="AK9" s="4">
        <f t="shared" si="23"/>
        <v>6.7651500000000002</v>
      </c>
      <c r="AM9"/>
      <c r="AN9" s="4">
        <f t="shared" si="24"/>
        <v>-1.0899999999999466E-2</v>
      </c>
      <c r="AO9" s="4">
        <f t="shared" si="25"/>
        <v>-1.2950000000000017E-2</v>
      </c>
      <c r="AP9" s="4">
        <f t="shared" si="26"/>
        <v>2.9900000000000482E-2</v>
      </c>
      <c r="AQ9" s="4">
        <f t="shared" si="27"/>
        <v>-2.6399999999999757E-2</v>
      </c>
      <c r="AR9" s="4">
        <f t="shared" si="28"/>
        <v>1.6000000000000902E-2</v>
      </c>
      <c r="AS9" s="4">
        <f t="shared" si="29"/>
        <v>-0.1379999999999999</v>
      </c>
      <c r="AT9" s="4">
        <f t="shared" si="30"/>
        <v>-3.5549999999999748E-2</v>
      </c>
      <c r="AU9" s="4">
        <f t="shared" si="31"/>
        <v>-2.5199999999999001E-2</v>
      </c>
      <c r="AV9" s="4">
        <f t="shared" si="32"/>
        <v>-4.484999999999939E-2</v>
      </c>
    </row>
    <row r="10" spans="1:48" x14ac:dyDescent="0.25">
      <c r="A10" s="18">
        <v>10</v>
      </c>
      <c r="B10" s="19">
        <v>43552</v>
      </c>
      <c r="C10" s="20">
        <v>0.42179398148148151</v>
      </c>
      <c r="D10" s="18">
        <v>6.63</v>
      </c>
      <c r="E10" s="18">
        <v>6.5</v>
      </c>
      <c r="F10" s="18">
        <v>6.63</v>
      </c>
      <c r="G10" s="18">
        <v>6.38</v>
      </c>
      <c r="H10" s="18">
        <v>6.38</v>
      </c>
      <c r="I10" s="18">
        <v>6.25</v>
      </c>
      <c r="J10" s="18">
        <v>6.75</v>
      </c>
      <c r="K10" s="18">
        <v>6.63</v>
      </c>
      <c r="L10" s="18">
        <v>6.06</v>
      </c>
      <c r="M10"/>
      <c r="N10" s="4">
        <v>6.55</v>
      </c>
      <c r="O10" s="4">
        <f>N10-'Sonde étalon'!$C$13</f>
        <v>6.72</v>
      </c>
      <c r="P10"/>
      <c r="R10" s="4">
        <f t="shared" si="6"/>
        <v>-8.9999999999999858E-2</v>
      </c>
      <c r="S10" s="4">
        <f t="shared" si="7"/>
        <v>-0.21999999999999975</v>
      </c>
      <c r="T10" s="4">
        <f t="shared" si="8"/>
        <v>-8.9999999999999858E-2</v>
      </c>
      <c r="U10" s="4">
        <f t="shared" si="9"/>
        <v>-0.33999999999999986</v>
      </c>
      <c r="V10" s="4">
        <f t="shared" si="10"/>
        <v>-0.33999999999999986</v>
      </c>
      <c r="W10" s="4">
        <f t="shared" si="11"/>
        <v>-0.46999999999999975</v>
      </c>
      <c r="X10" s="4">
        <f t="shared" si="12"/>
        <v>3.0000000000000249E-2</v>
      </c>
      <c r="Y10" s="4">
        <f t="shared" si="13"/>
        <v>-8.9999999999999858E-2</v>
      </c>
      <c r="Z10" s="4">
        <f t="shared" si="14"/>
        <v>-0.66000000000000014</v>
      </c>
      <c r="AB10"/>
      <c r="AC10" s="4">
        <f t="shared" si="15"/>
        <v>6.7390999999999996</v>
      </c>
      <c r="AD10" s="4">
        <f t="shared" si="16"/>
        <v>6.73705</v>
      </c>
      <c r="AE10" s="4">
        <f t="shared" si="17"/>
        <v>6.7199</v>
      </c>
      <c r="AF10" s="4">
        <f t="shared" si="18"/>
        <v>6.7235999999999994</v>
      </c>
      <c r="AG10" s="4">
        <f t="shared" si="19"/>
        <v>6.766</v>
      </c>
      <c r="AH10" s="4">
        <f t="shared" si="20"/>
        <v>6.6120000000000001</v>
      </c>
      <c r="AI10" s="4">
        <f t="shared" si="21"/>
        <v>6.7144500000000003</v>
      </c>
      <c r="AJ10" s="4">
        <f t="shared" si="22"/>
        <v>6.7248000000000001</v>
      </c>
      <c r="AK10" s="4">
        <f t="shared" si="23"/>
        <v>6.6951499999999999</v>
      </c>
      <c r="AM10"/>
      <c r="AN10" s="4">
        <f t="shared" si="24"/>
        <v>1.9099999999999895E-2</v>
      </c>
      <c r="AO10" s="4">
        <f t="shared" si="25"/>
        <v>1.7050000000000232E-2</v>
      </c>
      <c r="AP10" s="4">
        <f t="shared" si="26"/>
        <v>-9.9999999999766942E-5</v>
      </c>
      <c r="AQ10" s="4">
        <f t="shared" si="27"/>
        <v>3.5999999999996035E-3</v>
      </c>
      <c r="AR10" s="4">
        <f t="shared" si="28"/>
        <v>4.6000000000000263E-2</v>
      </c>
      <c r="AS10" s="4">
        <f t="shared" si="29"/>
        <v>-0.10799999999999965</v>
      </c>
      <c r="AT10" s="4">
        <f t="shared" si="30"/>
        <v>-5.5499999999994998E-3</v>
      </c>
      <c r="AU10" s="4">
        <f t="shared" si="31"/>
        <v>4.8000000000003595E-3</v>
      </c>
      <c r="AV10" s="4">
        <f t="shared" si="32"/>
        <v>-2.4849999999999817E-2</v>
      </c>
    </row>
    <row r="11" spans="1:48" x14ac:dyDescent="0.25">
      <c r="A11" s="18">
        <v>11</v>
      </c>
      <c r="B11" s="23">
        <v>43552</v>
      </c>
      <c r="C11" s="20">
        <v>0.42248842592592589</v>
      </c>
      <c r="D11" s="18">
        <v>6.56</v>
      </c>
      <c r="E11" s="18">
        <v>6.44</v>
      </c>
      <c r="F11" s="18">
        <v>6.56</v>
      </c>
      <c r="G11" s="18">
        <v>6.31</v>
      </c>
      <c r="H11" s="18">
        <v>6.31</v>
      </c>
      <c r="I11" s="18">
        <v>6.25</v>
      </c>
      <c r="J11" s="18">
        <v>6.75</v>
      </c>
      <c r="K11" s="18">
        <v>6.56</v>
      </c>
      <c r="L11" s="18">
        <v>6</v>
      </c>
      <c r="M11"/>
      <c r="N11" s="4">
        <v>6.54</v>
      </c>
      <c r="O11" s="4">
        <f>N11-'Sonde étalon'!$C$13</f>
        <v>6.71</v>
      </c>
      <c r="P11"/>
      <c r="R11" s="4">
        <f t="shared" si="6"/>
        <v>-0.15000000000000036</v>
      </c>
      <c r="S11" s="4">
        <f t="shared" si="7"/>
        <v>-0.26999999999999957</v>
      </c>
      <c r="T11" s="4">
        <f t="shared" si="8"/>
        <v>-0.15000000000000036</v>
      </c>
      <c r="U11" s="4">
        <f t="shared" si="9"/>
        <v>-0.40000000000000036</v>
      </c>
      <c r="V11" s="4">
        <f t="shared" si="10"/>
        <v>-0.40000000000000036</v>
      </c>
      <c r="W11" s="4">
        <f t="shared" si="11"/>
        <v>-0.45999999999999996</v>
      </c>
      <c r="X11" s="4">
        <f t="shared" si="12"/>
        <v>4.0000000000000036E-2</v>
      </c>
      <c r="Y11" s="4">
        <f t="shared" si="13"/>
        <v>-0.15000000000000036</v>
      </c>
      <c r="Z11" s="4">
        <f t="shared" si="14"/>
        <v>-0.71</v>
      </c>
      <c r="AB11"/>
      <c r="AC11" s="4">
        <f t="shared" si="15"/>
        <v>6.6690999999999994</v>
      </c>
      <c r="AD11" s="4">
        <f t="shared" si="16"/>
        <v>6.6770500000000004</v>
      </c>
      <c r="AE11" s="4">
        <f t="shared" si="17"/>
        <v>6.6498999999999997</v>
      </c>
      <c r="AF11" s="4">
        <f t="shared" si="18"/>
        <v>6.6535999999999991</v>
      </c>
      <c r="AG11" s="4">
        <f t="shared" si="19"/>
        <v>6.6959999999999997</v>
      </c>
      <c r="AH11" s="4">
        <f t="shared" si="20"/>
        <v>6.6120000000000001</v>
      </c>
      <c r="AI11" s="4">
        <f t="shared" si="21"/>
        <v>6.7144500000000003</v>
      </c>
      <c r="AJ11" s="4">
        <f t="shared" si="22"/>
        <v>6.6547999999999998</v>
      </c>
      <c r="AK11" s="4">
        <f t="shared" si="23"/>
        <v>6.6351500000000003</v>
      </c>
      <c r="AM11"/>
      <c r="AN11" s="4">
        <f t="shared" si="24"/>
        <v>-4.0900000000000603E-2</v>
      </c>
      <c r="AO11" s="4">
        <f t="shared" si="25"/>
        <v>-3.2949999999999591E-2</v>
      </c>
      <c r="AP11" s="4">
        <f t="shared" si="26"/>
        <v>-6.0100000000000264E-2</v>
      </c>
      <c r="AQ11" s="4">
        <f t="shared" si="27"/>
        <v>-5.6400000000000894E-2</v>
      </c>
      <c r="AR11" s="4">
        <f t="shared" si="28"/>
        <v>-1.4000000000000234E-2</v>
      </c>
      <c r="AS11" s="4">
        <f t="shared" si="29"/>
        <v>-9.7999999999999865E-2</v>
      </c>
      <c r="AT11" s="4">
        <f t="shared" si="30"/>
        <v>4.4500000000002871E-3</v>
      </c>
      <c r="AU11" s="4">
        <f t="shared" si="31"/>
        <v>-5.5200000000000138E-2</v>
      </c>
      <c r="AV11" s="4">
        <f t="shared" si="32"/>
        <v>-7.4849999999999639E-2</v>
      </c>
    </row>
    <row r="12" spans="1:48" x14ac:dyDescent="0.25">
      <c r="A12" s="18">
        <v>12</v>
      </c>
      <c r="B12" s="19">
        <v>43552</v>
      </c>
      <c r="C12" s="20">
        <v>0.42318287037037039</v>
      </c>
      <c r="D12" s="18">
        <v>6.56</v>
      </c>
      <c r="E12" s="18">
        <v>6.44</v>
      </c>
      <c r="F12" s="18">
        <v>6.56</v>
      </c>
      <c r="G12" s="18">
        <v>6.31</v>
      </c>
      <c r="H12" s="18">
        <v>6.25</v>
      </c>
      <c r="I12" s="18">
        <v>6.25</v>
      </c>
      <c r="J12" s="18">
        <v>6.69</v>
      </c>
      <c r="K12" s="18">
        <v>6.56</v>
      </c>
      <c r="L12" s="18">
        <v>6</v>
      </c>
      <c r="M12"/>
      <c r="N12" s="4">
        <v>6.48</v>
      </c>
      <c r="O12" s="4">
        <f>N12-'Sonde étalon'!$C$13</f>
        <v>6.65</v>
      </c>
      <c r="P12"/>
      <c r="R12" s="4">
        <f t="shared" si="6"/>
        <v>-9.0000000000000746E-2</v>
      </c>
      <c r="S12" s="4">
        <f t="shared" si="7"/>
        <v>-0.20999999999999996</v>
      </c>
      <c r="T12" s="4">
        <f t="shared" si="8"/>
        <v>-9.0000000000000746E-2</v>
      </c>
      <c r="U12" s="4">
        <f t="shared" si="9"/>
        <v>-0.34000000000000075</v>
      </c>
      <c r="V12" s="4">
        <f t="shared" si="10"/>
        <v>-0.40000000000000036</v>
      </c>
      <c r="W12" s="4">
        <f t="shared" si="11"/>
        <v>-0.40000000000000036</v>
      </c>
      <c r="X12" s="4">
        <f t="shared" si="12"/>
        <v>4.0000000000000036E-2</v>
      </c>
      <c r="Y12" s="4">
        <f t="shared" si="13"/>
        <v>-9.0000000000000746E-2</v>
      </c>
      <c r="Z12" s="4">
        <f t="shared" si="14"/>
        <v>-0.65000000000000036</v>
      </c>
      <c r="AB12"/>
      <c r="AC12" s="4">
        <f t="shared" si="15"/>
        <v>6.6690999999999994</v>
      </c>
      <c r="AD12" s="4">
        <f t="shared" si="16"/>
        <v>6.6770500000000004</v>
      </c>
      <c r="AE12" s="4">
        <f t="shared" si="17"/>
        <v>6.6498999999999997</v>
      </c>
      <c r="AF12" s="4">
        <f t="shared" si="18"/>
        <v>6.6535999999999991</v>
      </c>
      <c r="AG12" s="4">
        <f t="shared" si="19"/>
        <v>6.6360000000000001</v>
      </c>
      <c r="AH12" s="4">
        <f t="shared" si="20"/>
        <v>6.6120000000000001</v>
      </c>
      <c r="AI12" s="4">
        <f t="shared" si="21"/>
        <v>6.6544500000000006</v>
      </c>
      <c r="AJ12" s="4">
        <f t="shared" si="22"/>
        <v>6.6547999999999998</v>
      </c>
      <c r="AK12" s="4">
        <f t="shared" si="23"/>
        <v>6.6351500000000003</v>
      </c>
      <c r="AM12"/>
      <c r="AN12" s="4">
        <f t="shared" si="24"/>
        <v>1.9099999999999007E-2</v>
      </c>
      <c r="AO12" s="4">
        <f t="shared" si="25"/>
        <v>2.7050000000000018E-2</v>
      </c>
      <c r="AP12" s="4">
        <f t="shared" si="26"/>
        <v>-1.0000000000065512E-4</v>
      </c>
      <c r="AQ12" s="4">
        <f t="shared" si="27"/>
        <v>3.5999999999987153E-3</v>
      </c>
      <c r="AR12" s="4">
        <f t="shared" si="28"/>
        <v>-1.4000000000000234E-2</v>
      </c>
      <c r="AS12" s="4">
        <f t="shared" si="29"/>
        <v>-3.8000000000000256E-2</v>
      </c>
      <c r="AT12" s="4">
        <f t="shared" si="30"/>
        <v>4.4500000000002871E-3</v>
      </c>
      <c r="AU12" s="4">
        <f t="shared" si="31"/>
        <v>4.7999999999994714E-3</v>
      </c>
      <c r="AV12" s="4">
        <f t="shared" si="32"/>
        <v>-1.485000000000003E-2</v>
      </c>
    </row>
    <row r="13" spans="1:48" x14ac:dyDescent="0.25">
      <c r="A13" s="18">
        <v>13</v>
      </c>
      <c r="B13" s="19">
        <v>43552</v>
      </c>
      <c r="C13" s="20">
        <v>0.42387731481481478</v>
      </c>
      <c r="D13" s="18">
        <v>6.56</v>
      </c>
      <c r="E13" s="18">
        <v>6.44</v>
      </c>
      <c r="F13" s="18">
        <v>6.56</v>
      </c>
      <c r="G13" s="18">
        <v>6.31</v>
      </c>
      <c r="H13" s="18">
        <v>6.25</v>
      </c>
      <c r="I13" s="18">
        <v>6.25</v>
      </c>
      <c r="J13" s="18">
        <v>6.69</v>
      </c>
      <c r="K13" s="18">
        <v>6.56</v>
      </c>
      <c r="L13" s="18">
        <v>6</v>
      </c>
      <c r="M13"/>
      <c r="N13" s="4">
        <v>6.46</v>
      </c>
      <c r="O13" s="4">
        <f>N13-'Sonde étalon'!$C$13</f>
        <v>6.63</v>
      </c>
      <c r="P13"/>
      <c r="R13" s="4">
        <f t="shared" si="6"/>
        <v>-7.0000000000000284E-2</v>
      </c>
      <c r="S13" s="4">
        <f t="shared" si="7"/>
        <v>-0.1899999999999995</v>
      </c>
      <c r="T13" s="4">
        <f t="shared" si="8"/>
        <v>-7.0000000000000284E-2</v>
      </c>
      <c r="U13" s="4">
        <f t="shared" si="9"/>
        <v>-0.32000000000000028</v>
      </c>
      <c r="V13" s="4">
        <f t="shared" si="10"/>
        <v>-0.37999999999999989</v>
      </c>
      <c r="W13" s="4">
        <f t="shared" si="11"/>
        <v>-0.37999999999999989</v>
      </c>
      <c r="X13" s="4">
        <f t="shared" si="12"/>
        <v>6.0000000000000497E-2</v>
      </c>
      <c r="Y13" s="4">
        <f t="shared" si="13"/>
        <v>-7.0000000000000284E-2</v>
      </c>
      <c r="Z13" s="4">
        <f t="shared" si="14"/>
        <v>-0.62999999999999989</v>
      </c>
      <c r="AB13"/>
      <c r="AC13" s="4">
        <f t="shared" si="15"/>
        <v>6.6690999999999994</v>
      </c>
      <c r="AD13" s="4">
        <f t="shared" si="16"/>
        <v>6.6770500000000004</v>
      </c>
      <c r="AE13" s="4">
        <f t="shared" si="17"/>
        <v>6.6498999999999997</v>
      </c>
      <c r="AF13" s="4">
        <f t="shared" si="18"/>
        <v>6.6535999999999991</v>
      </c>
      <c r="AG13" s="4">
        <f t="shared" si="19"/>
        <v>6.6360000000000001</v>
      </c>
      <c r="AH13" s="4">
        <f t="shared" si="20"/>
        <v>6.6120000000000001</v>
      </c>
      <c r="AI13" s="4">
        <f t="shared" si="21"/>
        <v>6.6544500000000006</v>
      </c>
      <c r="AJ13" s="4">
        <f t="shared" si="22"/>
        <v>6.6547999999999998</v>
      </c>
      <c r="AK13" s="4">
        <f t="shared" si="23"/>
        <v>6.6351500000000003</v>
      </c>
      <c r="AM13"/>
      <c r="AN13" s="4">
        <f t="shared" si="24"/>
        <v>3.9099999999999469E-2</v>
      </c>
      <c r="AO13" s="4">
        <f t="shared" si="25"/>
        <v>4.705000000000048E-2</v>
      </c>
      <c r="AP13" s="4">
        <f t="shared" si="26"/>
        <v>1.9899999999999807E-2</v>
      </c>
      <c r="AQ13" s="4">
        <f t="shared" si="27"/>
        <v>2.3599999999999177E-2</v>
      </c>
      <c r="AR13" s="4">
        <f t="shared" si="28"/>
        <v>6.0000000000002274E-3</v>
      </c>
      <c r="AS13" s="4">
        <f t="shared" si="29"/>
        <v>-1.7999999999999794E-2</v>
      </c>
      <c r="AT13" s="4">
        <f t="shared" si="30"/>
        <v>2.4450000000000749E-2</v>
      </c>
      <c r="AU13" s="4">
        <f t="shared" si="31"/>
        <v>2.4799999999999933E-2</v>
      </c>
      <c r="AV13" s="4">
        <f t="shared" si="32"/>
        <v>5.150000000000432E-3</v>
      </c>
    </row>
    <row r="14" spans="1:48" x14ac:dyDescent="0.25">
      <c r="A14" s="18">
        <v>14</v>
      </c>
      <c r="B14" s="19">
        <v>43552</v>
      </c>
      <c r="C14" s="20">
        <v>0.42457175925925927</v>
      </c>
      <c r="D14" s="18">
        <v>6.56</v>
      </c>
      <c r="E14" s="18">
        <v>6.44</v>
      </c>
      <c r="F14" s="18">
        <v>6.56</v>
      </c>
      <c r="G14" s="18">
        <v>6.31</v>
      </c>
      <c r="H14" s="18">
        <v>6.25</v>
      </c>
      <c r="I14" s="18">
        <v>6.25</v>
      </c>
      <c r="J14" s="18">
        <v>6.69</v>
      </c>
      <c r="K14" s="18">
        <v>6.56</v>
      </c>
      <c r="L14" s="18">
        <v>6</v>
      </c>
      <c r="M14"/>
      <c r="N14" s="4">
        <v>6.45</v>
      </c>
      <c r="O14" s="4">
        <f>N14-'Sonde étalon'!$C$13</f>
        <v>6.62</v>
      </c>
      <c r="P14"/>
      <c r="R14" s="4">
        <f t="shared" si="6"/>
        <v>-6.0000000000000497E-2</v>
      </c>
      <c r="S14" s="4">
        <f t="shared" si="7"/>
        <v>-0.17999999999999972</v>
      </c>
      <c r="T14" s="4">
        <f t="shared" si="8"/>
        <v>-6.0000000000000497E-2</v>
      </c>
      <c r="U14" s="4">
        <f t="shared" si="9"/>
        <v>-0.3100000000000005</v>
      </c>
      <c r="V14" s="4">
        <f t="shared" si="10"/>
        <v>-0.37000000000000011</v>
      </c>
      <c r="W14" s="4">
        <f t="shared" si="11"/>
        <v>-0.37000000000000011</v>
      </c>
      <c r="X14" s="4">
        <f t="shared" si="12"/>
        <v>7.0000000000000284E-2</v>
      </c>
      <c r="Y14" s="4">
        <f t="shared" si="13"/>
        <v>-6.0000000000000497E-2</v>
      </c>
      <c r="Z14" s="4">
        <f t="shared" si="14"/>
        <v>-0.62000000000000011</v>
      </c>
      <c r="AB14"/>
      <c r="AC14" s="4">
        <f t="shared" si="15"/>
        <v>6.6690999999999994</v>
      </c>
      <c r="AD14" s="4">
        <f t="shared" si="16"/>
        <v>6.6770500000000004</v>
      </c>
      <c r="AE14" s="4">
        <f t="shared" si="17"/>
        <v>6.6498999999999997</v>
      </c>
      <c r="AF14" s="4">
        <f t="shared" si="18"/>
        <v>6.6535999999999991</v>
      </c>
      <c r="AG14" s="4">
        <f t="shared" si="19"/>
        <v>6.6360000000000001</v>
      </c>
      <c r="AH14" s="4">
        <f t="shared" si="20"/>
        <v>6.6120000000000001</v>
      </c>
      <c r="AI14" s="4">
        <f t="shared" si="21"/>
        <v>6.6544500000000006</v>
      </c>
      <c r="AJ14" s="4">
        <f t="shared" si="22"/>
        <v>6.6547999999999998</v>
      </c>
      <c r="AK14" s="4">
        <f t="shared" si="23"/>
        <v>6.6351500000000003</v>
      </c>
      <c r="AM14"/>
      <c r="AN14" s="4">
        <f t="shared" si="24"/>
        <v>4.9099999999999255E-2</v>
      </c>
      <c r="AO14" s="4">
        <f t="shared" si="25"/>
        <v>5.7050000000000267E-2</v>
      </c>
      <c r="AP14" s="4">
        <f t="shared" si="26"/>
        <v>2.9899999999999594E-2</v>
      </c>
      <c r="AQ14" s="4">
        <f t="shared" si="27"/>
        <v>3.3599999999998964E-2</v>
      </c>
      <c r="AR14" s="4">
        <f t="shared" si="28"/>
        <v>1.6000000000000014E-2</v>
      </c>
      <c r="AS14" s="4">
        <f t="shared" si="29"/>
        <v>-8.0000000000000071E-3</v>
      </c>
      <c r="AT14" s="4">
        <f t="shared" si="30"/>
        <v>3.4450000000000536E-2</v>
      </c>
      <c r="AU14" s="4">
        <f t="shared" si="31"/>
        <v>3.479999999999972E-2</v>
      </c>
      <c r="AV14" s="4">
        <f t="shared" si="32"/>
        <v>1.5150000000000219E-2</v>
      </c>
    </row>
    <row r="15" spans="1:48" x14ac:dyDescent="0.25">
      <c r="A15" s="18">
        <v>15</v>
      </c>
      <c r="B15" s="19">
        <v>43552</v>
      </c>
      <c r="C15" s="20">
        <v>0.42526620370370366</v>
      </c>
      <c r="D15" s="18">
        <v>6.56</v>
      </c>
      <c r="E15" s="18">
        <v>6.44</v>
      </c>
      <c r="F15" s="18">
        <v>6.56</v>
      </c>
      <c r="G15" s="18">
        <v>6.31</v>
      </c>
      <c r="H15" s="18">
        <v>6.25</v>
      </c>
      <c r="I15" s="18">
        <v>6.31</v>
      </c>
      <c r="J15" s="18">
        <v>6.69</v>
      </c>
      <c r="K15" s="18">
        <v>6.56</v>
      </c>
      <c r="L15" s="18">
        <v>6</v>
      </c>
      <c r="M15"/>
      <c r="N15" s="4">
        <v>6.46</v>
      </c>
      <c r="O15" s="4">
        <f>N15-'Sonde étalon'!$C$13</f>
        <v>6.63</v>
      </c>
      <c r="P15"/>
      <c r="R15" s="4">
        <f t="shared" si="6"/>
        <v>-7.0000000000000284E-2</v>
      </c>
      <c r="S15" s="4">
        <f t="shared" si="7"/>
        <v>-0.1899999999999995</v>
      </c>
      <c r="T15" s="4">
        <f t="shared" si="8"/>
        <v>-7.0000000000000284E-2</v>
      </c>
      <c r="U15" s="4">
        <f t="shared" si="9"/>
        <v>-0.32000000000000028</v>
      </c>
      <c r="V15" s="4">
        <f t="shared" si="10"/>
        <v>-0.37999999999999989</v>
      </c>
      <c r="W15" s="4">
        <f t="shared" si="11"/>
        <v>-0.32000000000000028</v>
      </c>
      <c r="X15" s="4">
        <f t="shared" si="12"/>
        <v>6.0000000000000497E-2</v>
      </c>
      <c r="Y15" s="4">
        <f t="shared" si="13"/>
        <v>-7.0000000000000284E-2</v>
      </c>
      <c r="Z15" s="4">
        <f t="shared" si="14"/>
        <v>-0.62999999999999989</v>
      </c>
      <c r="AB15"/>
      <c r="AC15" s="4">
        <f t="shared" si="15"/>
        <v>6.6690999999999994</v>
      </c>
      <c r="AD15" s="4">
        <f t="shared" si="16"/>
        <v>6.6770500000000004</v>
      </c>
      <c r="AE15" s="4">
        <f t="shared" si="17"/>
        <v>6.6498999999999997</v>
      </c>
      <c r="AF15" s="4">
        <f t="shared" si="18"/>
        <v>6.6535999999999991</v>
      </c>
      <c r="AG15" s="4">
        <f t="shared" si="19"/>
        <v>6.6360000000000001</v>
      </c>
      <c r="AH15" s="4">
        <f t="shared" si="20"/>
        <v>6.6719999999999997</v>
      </c>
      <c r="AI15" s="4">
        <f t="shared" si="21"/>
        <v>6.6544500000000006</v>
      </c>
      <c r="AJ15" s="4">
        <f t="shared" si="22"/>
        <v>6.6547999999999998</v>
      </c>
      <c r="AK15" s="4">
        <f t="shared" si="23"/>
        <v>6.6351500000000003</v>
      </c>
      <c r="AM15"/>
      <c r="AN15" s="4">
        <f t="shared" si="24"/>
        <v>3.9099999999999469E-2</v>
      </c>
      <c r="AO15" s="4">
        <f t="shared" si="25"/>
        <v>4.705000000000048E-2</v>
      </c>
      <c r="AP15" s="4">
        <f t="shared" si="26"/>
        <v>1.9899999999999807E-2</v>
      </c>
      <c r="AQ15" s="4">
        <f t="shared" si="27"/>
        <v>2.3599999999999177E-2</v>
      </c>
      <c r="AR15" s="4">
        <f t="shared" si="28"/>
        <v>6.0000000000002274E-3</v>
      </c>
      <c r="AS15" s="4">
        <f t="shared" si="29"/>
        <v>4.1999999999999815E-2</v>
      </c>
      <c r="AT15" s="4">
        <f t="shared" si="30"/>
        <v>2.4450000000000749E-2</v>
      </c>
      <c r="AU15" s="4">
        <f t="shared" si="31"/>
        <v>2.4799999999999933E-2</v>
      </c>
      <c r="AV15" s="4">
        <f t="shared" si="32"/>
        <v>5.150000000000432E-3</v>
      </c>
    </row>
    <row r="16" spans="1:48" x14ac:dyDescent="0.25">
      <c r="A16" s="18">
        <v>16</v>
      </c>
      <c r="B16" s="19">
        <v>43552</v>
      </c>
      <c r="C16" s="20">
        <v>0.42596064814814816</v>
      </c>
      <c r="D16" s="18">
        <v>6.56</v>
      </c>
      <c r="E16" s="18">
        <v>6.44</v>
      </c>
      <c r="F16" s="18">
        <v>6.56</v>
      </c>
      <c r="G16" s="18">
        <v>6.31</v>
      </c>
      <c r="H16" s="18">
        <v>6.31</v>
      </c>
      <c r="I16" s="18">
        <v>6.31</v>
      </c>
      <c r="J16" s="18">
        <v>6.75</v>
      </c>
      <c r="K16" s="18">
        <v>6.56</v>
      </c>
      <c r="L16" s="18">
        <v>6.06</v>
      </c>
      <c r="M16"/>
      <c r="N16" s="4">
        <v>6.46</v>
      </c>
      <c r="O16" s="4">
        <f>N16-'Sonde étalon'!$C$13</f>
        <v>6.63</v>
      </c>
      <c r="P16"/>
      <c r="R16" s="4">
        <f t="shared" si="6"/>
        <v>-7.0000000000000284E-2</v>
      </c>
      <c r="S16" s="4">
        <f t="shared" si="7"/>
        <v>-0.1899999999999995</v>
      </c>
      <c r="T16" s="4">
        <f t="shared" si="8"/>
        <v>-7.0000000000000284E-2</v>
      </c>
      <c r="U16" s="4">
        <f t="shared" si="9"/>
        <v>-0.32000000000000028</v>
      </c>
      <c r="V16" s="4">
        <f t="shared" si="10"/>
        <v>-0.32000000000000028</v>
      </c>
      <c r="W16" s="4">
        <f t="shared" si="11"/>
        <v>-0.32000000000000028</v>
      </c>
      <c r="X16" s="4">
        <f t="shared" si="12"/>
        <v>0.12000000000000011</v>
      </c>
      <c r="Y16" s="4">
        <f t="shared" si="13"/>
        <v>-7.0000000000000284E-2</v>
      </c>
      <c r="Z16" s="4">
        <f t="shared" si="14"/>
        <v>-0.57000000000000028</v>
      </c>
      <c r="AB16"/>
      <c r="AC16" s="4">
        <f t="shared" si="15"/>
        <v>6.6690999999999994</v>
      </c>
      <c r="AD16" s="4">
        <f t="shared" si="16"/>
        <v>6.6770500000000004</v>
      </c>
      <c r="AE16" s="4">
        <f t="shared" si="17"/>
        <v>6.6498999999999997</v>
      </c>
      <c r="AF16" s="4">
        <f t="shared" si="18"/>
        <v>6.6535999999999991</v>
      </c>
      <c r="AG16" s="4">
        <f t="shared" si="19"/>
        <v>6.6959999999999997</v>
      </c>
      <c r="AH16" s="4">
        <f t="shared" si="20"/>
        <v>6.6719999999999997</v>
      </c>
      <c r="AI16" s="4">
        <f t="shared" si="21"/>
        <v>6.7144500000000003</v>
      </c>
      <c r="AJ16" s="4">
        <f t="shared" si="22"/>
        <v>6.6547999999999998</v>
      </c>
      <c r="AK16" s="4">
        <f t="shared" si="23"/>
        <v>6.6951499999999999</v>
      </c>
      <c r="AM16"/>
      <c r="AN16" s="4">
        <f t="shared" si="24"/>
        <v>3.9099999999999469E-2</v>
      </c>
      <c r="AO16" s="4">
        <f t="shared" si="25"/>
        <v>4.705000000000048E-2</v>
      </c>
      <c r="AP16" s="4">
        <f t="shared" si="26"/>
        <v>1.9899999999999807E-2</v>
      </c>
      <c r="AQ16" s="4">
        <f t="shared" si="27"/>
        <v>2.3599999999999177E-2</v>
      </c>
      <c r="AR16" s="4">
        <f t="shared" si="28"/>
        <v>6.5999999999999837E-2</v>
      </c>
      <c r="AS16" s="4">
        <f t="shared" si="29"/>
        <v>4.1999999999999815E-2</v>
      </c>
      <c r="AT16" s="4">
        <f t="shared" si="30"/>
        <v>8.4450000000000358E-2</v>
      </c>
      <c r="AU16" s="4">
        <f t="shared" si="31"/>
        <v>2.4799999999999933E-2</v>
      </c>
      <c r="AV16" s="4">
        <f t="shared" si="32"/>
        <v>6.5150000000000041E-2</v>
      </c>
    </row>
    <row r="17" spans="1:48" x14ac:dyDescent="0.25">
      <c r="A17" s="18">
        <v>17</v>
      </c>
      <c r="B17" s="19">
        <v>43552</v>
      </c>
      <c r="C17" s="20">
        <v>0.42665509259259254</v>
      </c>
      <c r="D17" s="18">
        <v>6.63</v>
      </c>
      <c r="E17" s="24">
        <v>6.44</v>
      </c>
      <c r="F17" s="18">
        <v>6.63</v>
      </c>
      <c r="G17" s="18">
        <v>6.38</v>
      </c>
      <c r="H17" s="18">
        <v>6.31</v>
      </c>
      <c r="I17" s="18">
        <v>6.31</v>
      </c>
      <c r="J17" s="18">
        <v>6.75</v>
      </c>
      <c r="K17" s="18">
        <v>6.63</v>
      </c>
      <c r="L17" s="18">
        <v>6.06</v>
      </c>
      <c r="M17"/>
      <c r="N17" s="4">
        <v>6.48</v>
      </c>
      <c r="O17" s="4">
        <f>N17-'Sonde étalon'!$C$13</f>
        <v>6.65</v>
      </c>
      <c r="P17"/>
      <c r="R17" s="4">
        <f t="shared" si="6"/>
        <v>-2.0000000000000462E-2</v>
      </c>
      <c r="S17" s="4">
        <f t="shared" si="7"/>
        <v>-0.20999999999999996</v>
      </c>
      <c r="T17" s="4">
        <f t="shared" si="8"/>
        <v>-2.0000000000000462E-2</v>
      </c>
      <c r="U17" s="4">
        <f t="shared" si="9"/>
        <v>-0.27000000000000046</v>
      </c>
      <c r="V17" s="4">
        <f t="shared" si="10"/>
        <v>-0.34000000000000075</v>
      </c>
      <c r="W17" s="4">
        <f t="shared" si="11"/>
        <v>-0.34000000000000075</v>
      </c>
      <c r="X17" s="4">
        <f t="shared" si="12"/>
        <v>9.9999999999999645E-2</v>
      </c>
      <c r="Y17" s="4">
        <f t="shared" si="13"/>
        <v>-2.0000000000000462E-2</v>
      </c>
      <c r="Z17" s="4">
        <f t="shared" si="14"/>
        <v>-0.59000000000000075</v>
      </c>
      <c r="AB17"/>
      <c r="AC17" s="4">
        <f t="shared" si="15"/>
        <v>6.7390999999999996</v>
      </c>
      <c r="AD17" s="4">
        <f t="shared" si="16"/>
        <v>6.6770500000000004</v>
      </c>
      <c r="AE17" s="4">
        <f t="shared" si="17"/>
        <v>6.7199</v>
      </c>
      <c r="AF17" s="4">
        <f t="shared" si="18"/>
        <v>6.7235999999999994</v>
      </c>
      <c r="AG17" s="4">
        <f t="shared" si="19"/>
        <v>6.6959999999999997</v>
      </c>
      <c r="AH17" s="4">
        <f t="shared" si="20"/>
        <v>6.6719999999999997</v>
      </c>
      <c r="AI17" s="4">
        <f t="shared" si="21"/>
        <v>6.7144500000000003</v>
      </c>
      <c r="AJ17" s="4">
        <f t="shared" si="22"/>
        <v>6.7248000000000001</v>
      </c>
      <c r="AK17" s="4">
        <f t="shared" si="23"/>
        <v>6.6951499999999999</v>
      </c>
      <c r="AM17"/>
      <c r="AN17" s="4">
        <f t="shared" si="24"/>
        <v>8.9099999999999291E-2</v>
      </c>
      <c r="AO17" s="4">
        <f t="shared" si="25"/>
        <v>2.7050000000000018E-2</v>
      </c>
      <c r="AP17" s="4">
        <f t="shared" si="26"/>
        <v>6.9899999999999629E-2</v>
      </c>
      <c r="AQ17" s="4">
        <f t="shared" si="27"/>
        <v>7.3599999999999E-2</v>
      </c>
      <c r="AR17" s="4">
        <f t="shared" si="28"/>
        <v>4.5999999999999375E-2</v>
      </c>
      <c r="AS17" s="4">
        <f t="shared" si="29"/>
        <v>2.1999999999999353E-2</v>
      </c>
      <c r="AT17" s="4">
        <f t="shared" si="30"/>
        <v>6.4449999999999896E-2</v>
      </c>
      <c r="AU17" s="4">
        <f t="shared" si="31"/>
        <v>7.4799999999999756E-2</v>
      </c>
      <c r="AV17" s="4">
        <f t="shared" si="32"/>
        <v>4.5149999999999579E-2</v>
      </c>
    </row>
    <row r="18" spans="1:48" x14ac:dyDescent="0.25">
      <c r="A18" s="18">
        <v>18</v>
      </c>
      <c r="B18" s="19">
        <v>43552</v>
      </c>
      <c r="C18" s="21">
        <v>0.42734953703703704</v>
      </c>
      <c r="D18" s="18">
        <v>6.63</v>
      </c>
      <c r="E18" s="18">
        <v>6.5</v>
      </c>
      <c r="F18" s="18">
        <v>6.63</v>
      </c>
      <c r="G18" s="18">
        <v>6.38</v>
      </c>
      <c r="H18" s="18">
        <v>6.31</v>
      </c>
      <c r="I18" s="18">
        <v>6.38</v>
      </c>
      <c r="J18" s="18">
        <v>6.75</v>
      </c>
      <c r="K18" s="18">
        <v>6.63</v>
      </c>
      <c r="L18" s="18">
        <v>6.13</v>
      </c>
      <c r="M18"/>
      <c r="N18" s="4">
        <v>6.52</v>
      </c>
      <c r="O18" s="4">
        <f>N18-'Sonde étalon'!$C$13</f>
        <v>6.6899999999999995</v>
      </c>
      <c r="P18"/>
      <c r="R18" s="4">
        <f t="shared" si="6"/>
        <v>-5.9999999999999609E-2</v>
      </c>
      <c r="S18" s="4">
        <f t="shared" si="7"/>
        <v>-0.1899999999999995</v>
      </c>
      <c r="T18" s="4">
        <f t="shared" si="8"/>
        <v>-5.9999999999999609E-2</v>
      </c>
      <c r="U18" s="4">
        <f t="shared" si="9"/>
        <v>-0.30999999999999961</v>
      </c>
      <c r="V18" s="4">
        <f t="shared" si="10"/>
        <v>-0.37999999999999989</v>
      </c>
      <c r="W18" s="4">
        <f t="shared" si="11"/>
        <v>-0.30999999999999961</v>
      </c>
      <c r="X18" s="4">
        <f t="shared" si="12"/>
        <v>6.0000000000000497E-2</v>
      </c>
      <c r="Y18" s="4">
        <f t="shared" si="13"/>
        <v>-5.9999999999999609E-2</v>
      </c>
      <c r="Z18" s="4">
        <f t="shared" si="14"/>
        <v>-0.55999999999999961</v>
      </c>
      <c r="AB18"/>
      <c r="AC18" s="4">
        <f t="shared" si="15"/>
        <v>6.7390999999999996</v>
      </c>
      <c r="AD18" s="4">
        <f t="shared" si="16"/>
        <v>6.73705</v>
      </c>
      <c r="AE18" s="4">
        <f t="shared" si="17"/>
        <v>6.7199</v>
      </c>
      <c r="AF18" s="4">
        <f t="shared" si="18"/>
        <v>6.7235999999999994</v>
      </c>
      <c r="AG18" s="4">
        <f t="shared" si="19"/>
        <v>6.6959999999999997</v>
      </c>
      <c r="AH18" s="4">
        <f t="shared" si="20"/>
        <v>6.742</v>
      </c>
      <c r="AI18" s="4">
        <f t="shared" si="21"/>
        <v>6.7144500000000003</v>
      </c>
      <c r="AJ18" s="4">
        <f t="shared" si="22"/>
        <v>6.7248000000000001</v>
      </c>
      <c r="AK18" s="4">
        <f t="shared" si="23"/>
        <v>6.7651500000000002</v>
      </c>
      <c r="AM18"/>
      <c r="AN18" s="4">
        <f t="shared" si="24"/>
        <v>4.9100000000000144E-2</v>
      </c>
      <c r="AO18" s="4">
        <f t="shared" si="25"/>
        <v>4.705000000000048E-2</v>
      </c>
      <c r="AP18" s="4">
        <f t="shared" si="26"/>
        <v>2.9900000000000482E-2</v>
      </c>
      <c r="AQ18" s="4">
        <f t="shared" si="27"/>
        <v>3.3599999999999852E-2</v>
      </c>
      <c r="AR18" s="4">
        <f t="shared" si="28"/>
        <v>6.0000000000002274E-3</v>
      </c>
      <c r="AS18" s="4">
        <f t="shared" si="29"/>
        <v>5.200000000000049E-2</v>
      </c>
      <c r="AT18" s="4">
        <f t="shared" si="30"/>
        <v>2.4450000000000749E-2</v>
      </c>
      <c r="AU18" s="4">
        <f t="shared" si="31"/>
        <v>3.4800000000000608E-2</v>
      </c>
      <c r="AV18" s="4">
        <f t="shared" si="32"/>
        <v>7.5150000000000716E-2</v>
      </c>
    </row>
    <row r="19" spans="1:48" x14ac:dyDescent="0.25">
      <c r="A19" s="18">
        <v>19</v>
      </c>
      <c r="B19" s="19">
        <v>43552</v>
      </c>
      <c r="C19" s="20">
        <v>0.42804398148148143</v>
      </c>
      <c r="D19" s="18">
        <v>6.69</v>
      </c>
      <c r="E19" s="18">
        <v>6.5</v>
      </c>
      <c r="F19" s="18">
        <v>6.69</v>
      </c>
      <c r="G19" s="18">
        <v>6.44</v>
      </c>
      <c r="H19" s="18">
        <v>6.38</v>
      </c>
      <c r="I19" s="18">
        <v>6.44</v>
      </c>
      <c r="J19" s="18">
        <v>6.81</v>
      </c>
      <c r="K19" s="18">
        <v>6.69</v>
      </c>
      <c r="L19" s="18">
        <v>6.13</v>
      </c>
      <c r="M19"/>
      <c r="N19" s="4">
        <v>6.54</v>
      </c>
      <c r="O19" s="4">
        <f>N19-'Sonde étalon'!$C$13</f>
        <v>6.71</v>
      </c>
      <c r="P19"/>
      <c r="R19" s="4">
        <f t="shared" si="6"/>
        <v>-1.9999999999999574E-2</v>
      </c>
      <c r="S19" s="4">
        <f t="shared" si="7"/>
        <v>-0.20999999999999996</v>
      </c>
      <c r="T19" s="4">
        <f t="shared" si="8"/>
        <v>-1.9999999999999574E-2</v>
      </c>
      <c r="U19" s="4">
        <f t="shared" si="9"/>
        <v>-0.26999999999999957</v>
      </c>
      <c r="V19" s="4">
        <f t="shared" si="10"/>
        <v>-0.33000000000000007</v>
      </c>
      <c r="W19" s="4">
        <f t="shared" si="11"/>
        <v>-0.26999999999999957</v>
      </c>
      <c r="X19" s="4">
        <f t="shared" si="12"/>
        <v>9.9999999999999645E-2</v>
      </c>
      <c r="Y19" s="4">
        <f t="shared" si="13"/>
        <v>-1.9999999999999574E-2</v>
      </c>
      <c r="Z19" s="4">
        <f t="shared" si="14"/>
        <v>-0.58000000000000007</v>
      </c>
      <c r="AB19"/>
      <c r="AC19" s="4">
        <f t="shared" si="15"/>
        <v>6.7991000000000001</v>
      </c>
      <c r="AD19" s="4">
        <f t="shared" si="16"/>
        <v>6.73705</v>
      </c>
      <c r="AE19" s="4">
        <f t="shared" si="17"/>
        <v>6.7799000000000005</v>
      </c>
      <c r="AF19" s="4">
        <f t="shared" si="18"/>
        <v>6.7835999999999999</v>
      </c>
      <c r="AG19" s="4">
        <f t="shared" si="19"/>
        <v>6.766</v>
      </c>
      <c r="AH19" s="4">
        <f t="shared" si="20"/>
        <v>6.8020000000000005</v>
      </c>
      <c r="AI19" s="4">
        <f t="shared" si="21"/>
        <v>6.7744499999999999</v>
      </c>
      <c r="AJ19" s="4">
        <f t="shared" si="22"/>
        <v>6.7848000000000006</v>
      </c>
      <c r="AK19" s="4">
        <f t="shared" si="23"/>
        <v>6.7651500000000002</v>
      </c>
      <c r="AM19"/>
      <c r="AN19" s="4">
        <f t="shared" si="24"/>
        <v>8.9100000000000179E-2</v>
      </c>
      <c r="AO19" s="4">
        <f t="shared" si="25"/>
        <v>2.7050000000000018E-2</v>
      </c>
      <c r="AP19" s="4">
        <f t="shared" si="26"/>
        <v>6.9900000000000517E-2</v>
      </c>
      <c r="AQ19" s="4">
        <f t="shared" si="27"/>
        <v>7.3599999999999888E-2</v>
      </c>
      <c r="AR19" s="4">
        <f t="shared" si="28"/>
        <v>5.600000000000005E-2</v>
      </c>
      <c r="AS19" s="4">
        <f t="shared" si="29"/>
        <v>9.2000000000000526E-2</v>
      </c>
      <c r="AT19" s="4">
        <f t="shared" si="30"/>
        <v>6.4449999999999896E-2</v>
      </c>
      <c r="AU19" s="4">
        <f t="shared" si="31"/>
        <v>7.4800000000000644E-2</v>
      </c>
      <c r="AV19" s="4">
        <f t="shared" si="32"/>
        <v>5.5150000000000254E-2</v>
      </c>
    </row>
    <row r="20" spans="1:48" x14ac:dyDescent="0.25">
      <c r="A20" s="18">
        <v>20</v>
      </c>
      <c r="B20" s="19">
        <v>43552</v>
      </c>
      <c r="C20" s="20">
        <v>0.42873842592592593</v>
      </c>
      <c r="D20" s="18">
        <v>6.69</v>
      </c>
      <c r="E20" s="18">
        <v>6.56</v>
      </c>
      <c r="F20" s="18">
        <v>6.69</v>
      </c>
      <c r="G20" s="18">
        <v>6.44</v>
      </c>
      <c r="H20" s="18">
        <v>6.38</v>
      </c>
      <c r="I20" s="18">
        <v>6.44</v>
      </c>
      <c r="J20" s="18">
        <v>6.81</v>
      </c>
      <c r="K20" s="18">
        <v>6.69</v>
      </c>
      <c r="L20" s="18">
        <v>6.19</v>
      </c>
      <c r="M20"/>
      <c r="N20" s="4">
        <v>6.59</v>
      </c>
      <c r="O20" s="4">
        <f>N20-'Sonde étalon'!$C$13</f>
        <v>6.76</v>
      </c>
      <c r="P20"/>
      <c r="R20" s="4">
        <f t="shared" si="6"/>
        <v>-6.9999999999999396E-2</v>
      </c>
      <c r="S20" s="4">
        <f t="shared" si="7"/>
        <v>-0.20000000000000018</v>
      </c>
      <c r="T20" s="4">
        <f t="shared" si="8"/>
        <v>-6.9999999999999396E-2</v>
      </c>
      <c r="U20" s="4">
        <f t="shared" si="9"/>
        <v>-0.3199999999999994</v>
      </c>
      <c r="V20" s="4">
        <f t="shared" si="10"/>
        <v>-0.37999999999999989</v>
      </c>
      <c r="W20" s="4">
        <f t="shared" si="11"/>
        <v>-0.3199999999999994</v>
      </c>
      <c r="X20" s="4">
        <f t="shared" si="12"/>
        <v>4.9999999999999822E-2</v>
      </c>
      <c r="Y20" s="4">
        <f t="shared" si="13"/>
        <v>-6.9999999999999396E-2</v>
      </c>
      <c r="Z20" s="4">
        <f t="shared" si="14"/>
        <v>-0.5699999999999994</v>
      </c>
      <c r="AB20"/>
      <c r="AC20" s="4">
        <f t="shared" si="15"/>
        <v>6.7991000000000001</v>
      </c>
      <c r="AD20" s="4">
        <f t="shared" si="16"/>
        <v>6.7970499999999996</v>
      </c>
      <c r="AE20" s="4">
        <f t="shared" si="17"/>
        <v>6.7799000000000005</v>
      </c>
      <c r="AF20" s="4">
        <f t="shared" si="18"/>
        <v>6.7835999999999999</v>
      </c>
      <c r="AG20" s="4">
        <f t="shared" si="19"/>
        <v>6.766</v>
      </c>
      <c r="AH20" s="4">
        <f t="shared" si="20"/>
        <v>6.8020000000000005</v>
      </c>
      <c r="AI20" s="4">
        <f t="shared" si="21"/>
        <v>6.7744499999999999</v>
      </c>
      <c r="AJ20" s="4">
        <f t="shared" si="22"/>
        <v>6.7848000000000006</v>
      </c>
      <c r="AK20" s="4">
        <f t="shared" si="23"/>
        <v>6.8251500000000007</v>
      </c>
      <c r="AM20"/>
      <c r="AN20" s="4">
        <f t="shared" si="24"/>
        <v>3.9100000000000357E-2</v>
      </c>
      <c r="AO20" s="4">
        <f t="shared" si="25"/>
        <v>3.7049999999999805E-2</v>
      </c>
      <c r="AP20" s="4">
        <f t="shared" si="26"/>
        <v>1.9900000000000695E-2</v>
      </c>
      <c r="AQ20" s="4">
        <f t="shared" si="27"/>
        <v>2.3600000000000065E-2</v>
      </c>
      <c r="AR20" s="4">
        <f t="shared" si="28"/>
        <v>6.0000000000002274E-3</v>
      </c>
      <c r="AS20" s="4">
        <f t="shared" si="29"/>
        <v>4.2000000000000703E-2</v>
      </c>
      <c r="AT20" s="4">
        <f t="shared" si="30"/>
        <v>1.4450000000000074E-2</v>
      </c>
      <c r="AU20" s="4">
        <f t="shared" si="31"/>
        <v>2.4800000000000821E-2</v>
      </c>
      <c r="AV20" s="4">
        <f t="shared" si="32"/>
        <v>6.5150000000000929E-2</v>
      </c>
    </row>
    <row r="21" spans="1:48" x14ac:dyDescent="0.25">
      <c r="A21" s="18">
        <v>21</v>
      </c>
      <c r="B21" s="19">
        <v>43552</v>
      </c>
      <c r="C21" s="20">
        <v>0.42943287037037042</v>
      </c>
      <c r="D21" s="18">
        <v>6.75</v>
      </c>
      <c r="E21" s="18">
        <v>6.56</v>
      </c>
      <c r="F21" s="18">
        <v>6.75</v>
      </c>
      <c r="G21" s="18">
        <v>6.5</v>
      </c>
      <c r="H21" s="18">
        <v>6.44</v>
      </c>
      <c r="I21" s="18">
        <v>6.5</v>
      </c>
      <c r="J21" s="18">
        <v>6.88</v>
      </c>
      <c r="K21" s="18">
        <v>6.75</v>
      </c>
      <c r="L21" s="18">
        <v>6.25</v>
      </c>
      <c r="M21"/>
      <c r="N21" s="4">
        <v>6.61</v>
      </c>
      <c r="O21" s="4">
        <f>N21-'Sonde étalon'!$C$13</f>
        <v>6.78</v>
      </c>
      <c r="P21"/>
      <c r="R21" s="4">
        <f t="shared" si="6"/>
        <v>-3.0000000000000249E-2</v>
      </c>
      <c r="S21" s="4">
        <f t="shared" si="7"/>
        <v>-0.22000000000000064</v>
      </c>
      <c r="T21" s="4">
        <f t="shared" si="8"/>
        <v>-3.0000000000000249E-2</v>
      </c>
      <c r="U21" s="4">
        <f t="shared" si="9"/>
        <v>-0.28000000000000025</v>
      </c>
      <c r="V21" s="4">
        <f t="shared" si="10"/>
        <v>-0.33999999999999986</v>
      </c>
      <c r="W21" s="4">
        <f t="shared" si="11"/>
        <v>-0.28000000000000025</v>
      </c>
      <c r="X21" s="4">
        <f t="shared" si="12"/>
        <v>9.9999999999999645E-2</v>
      </c>
      <c r="Y21" s="4">
        <f t="shared" si="13"/>
        <v>-3.0000000000000249E-2</v>
      </c>
      <c r="Z21" s="4">
        <f t="shared" si="14"/>
        <v>-0.53000000000000025</v>
      </c>
      <c r="AB21"/>
      <c r="AC21" s="4">
        <f t="shared" si="15"/>
        <v>6.8590999999999998</v>
      </c>
      <c r="AD21" s="4">
        <f t="shared" si="16"/>
        <v>6.7970499999999996</v>
      </c>
      <c r="AE21" s="4">
        <f t="shared" si="17"/>
        <v>6.8399000000000001</v>
      </c>
      <c r="AF21" s="4">
        <f t="shared" si="18"/>
        <v>6.8435999999999995</v>
      </c>
      <c r="AG21" s="4">
        <f t="shared" si="19"/>
        <v>6.8260000000000005</v>
      </c>
      <c r="AH21" s="4">
        <f t="shared" si="20"/>
        <v>6.8620000000000001</v>
      </c>
      <c r="AI21" s="4">
        <f t="shared" si="21"/>
        <v>6.8444500000000001</v>
      </c>
      <c r="AJ21" s="4">
        <f t="shared" si="22"/>
        <v>6.8448000000000002</v>
      </c>
      <c r="AK21" s="4">
        <f t="shared" si="23"/>
        <v>6.8851500000000003</v>
      </c>
      <c r="AM21"/>
      <c r="AN21" s="4">
        <f t="shared" si="24"/>
        <v>7.9099999999999504E-2</v>
      </c>
      <c r="AO21" s="4">
        <f t="shared" si="25"/>
        <v>1.7049999999999343E-2</v>
      </c>
      <c r="AP21" s="4">
        <f t="shared" si="26"/>
        <v>5.9899999999999842E-2</v>
      </c>
      <c r="AQ21" s="4">
        <f t="shared" si="27"/>
        <v>6.3599999999999213E-2</v>
      </c>
      <c r="AR21" s="4">
        <f t="shared" si="28"/>
        <v>4.6000000000000263E-2</v>
      </c>
      <c r="AS21" s="4">
        <f t="shared" si="29"/>
        <v>8.1999999999999851E-2</v>
      </c>
      <c r="AT21" s="4">
        <f t="shared" si="30"/>
        <v>6.4449999999999896E-2</v>
      </c>
      <c r="AU21" s="4">
        <f t="shared" si="31"/>
        <v>6.4799999999999969E-2</v>
      </c>
      <c r="AV21" s="4">
        <f t="shared" si="32"/>
        <v>0.10515000000000008</v>
      </c>
    </row>
    <row r="22" spans="1:48" x14ac:dyDescent="0.25">
      <c r="A22" s="18">
        <v>22</v>
      </c>
      <c r="B22" s="19">
        <v>43552</v>
      </c>
      <c r="C22" s="20">
        <v>0.43012731481481481</v>
      </c>
      <c r="D22" s="18">
        <v>6.75</v>
      </c>
      <c r="E22" s="18">
        <v>6.63</v>
      </c>
      <c r="F22" s="18">
        <v>6.81</v>
      </c>
      <c r="G22" s="18">
        <v>6.56</v>
      </c>
      <c r="H22" s="18">
        <v>6.5</v>
      </c>
      <c r="I22" s="18">
        <v>6.56</v>
      </c>
      <c r="J22" s="18">
        <v>6.88</v>
      </c>
      <c r="K22" s="18">
        <v>6.81</v>
      </c>
      <c r="L22" s="18">
        <v>6.25</v>
      </c>
      <c r="M22"/>
      <c r="N22" s="4">
        <v>6.65</v>
      </c>
      <c r="O22" s="4">
        <f>N22-'Sonde étalon'!$C$13</f>
        <v>6.82</v>
      </c>
      <c r="P22"/>
      <c r="R22" s="4">
        <f t="shared" si="6"/>
        <v>-7.0000000000000284E-2</v>
      </c>
      <c r="S22" s="4">
        <f t="shared" si="7"/>
        <v>-0.19000000000000039</v>
      </c>
      <c r="T22" s="4">
        <f t="shared" si="8"/>
        <v>-1.0000000000000675E-2</v>
      </c>
      <c r="U22" s="4">
        <f t="shared" si="9"/>
        <v>-0.26000000000000068</v>
      </c>
      <c r="V22" s="4">
        <f t="shared" si="10"/>
        <v>-0.32000000000000028</v>
      </c>
      <c r="W22" s="4">
        <f t="shared" si="11"/>
        <v>-0.26000000000000068</v>
      </c>
      <c r="X22" s="4">
        <f t="shared" si="12"/>
        <v>5.9999999999999609E-2</v>
      </c>
      <c r="Y22" s="4">
        <f t="shared" si="13"/>
        <v>-1.0000000000000675E-2</v>
      </c>
      <c r="Z22" s="4">
        <f t="shared" si="14"/>
        <v>-0.57000000000000028</v>
      </c>
      <c r="AB22"/>
      <c r="AC22" s="4">
        <f t="shared" si="15"/>
        <v>6.8590999999999998</v>
      </c>
      <c r="AD22" s="4">
        <f t="shared" si="16"/>
        <v>6.8670499999999999</v>
      </c>
      <c r="AE22" s="4">
        <f t="shared" si="17"/>
        <v>6.8998999999999997</v>
      </c>
      <c r="AF22" s="4">
        <f t="shared" si="18"/>
        <v>6.9035999999999991</v>
      </c>
      <c r="AG22" s="4">
        <f t="shared" si="19"/>
        <v>6.8860000000000001</v>
      </c>
      <c r="AH22" s="4">
        <f t="shared" si="20"/>
        <v>6.9219999999999997</v>
      </c>
      <c r="AI22" s="4">
        <f t="shared" si="21"/>
        <v>6.8444500000000001</v>
      </c>
      <c r="AJ22" s="4">
        <f t="shared" si="22"/>
        <v>6.9047999999999998</v>
      </c>
      <c r="AK22" s="4">
        <f t="shared" si="23"/>
        <v>6.8851500000000003</v>
      </c>
      <c r="AM22"/>
      <c r="AN22" s="4">
        <f t="shared" si="24"/>
        <v>3.9099999999999469E-2</v>
      </c>
      <c r="AO22" s="4">
        <f t="shared" si="25"/>
        <v>4.7049999999999592E-2</v>
      </c>
      <c r="AP22" s="4">
        <f t="shared" si="26"/>
        <v>7.9899999999999416E-2</v>
      </c>
      <c r="AQ22" s="4">
        <f t="shared" si="27"/>
        <v>8.3599999999998786E-2</v>
      </c>
      <c r="AR22" s="4">
        <f t="shared" si="28"/>
        <v>6.5999999999999837E-2</v>
      </c>
      <c r="AS22" s="4">
        <f t="shared" si="29"/>
        <v>0.10199999999999942</v>
      </c>
      <c r="AT22" s="4">
        <f t="shared" si="30"/>
        <v>2.4449999999999861E-2</v>
      </c>
      <c r="AU22" s="4">
        <f t="shared" si="31"/>
        <v>8.4799999999999542E-2</v>
      </c>
      <c r="AV22" s="4">
        <f t="shared" si="32"/>
        <v>6.5150000000000041E-2</v>
      </c>
    </row>
    <row r="23" spans="1:48" x14ac:dyDescent="0.25">
      <c r="A23" s="18">
        <v>23</v>
      </c>
      <c r="B23" s="19">
        <v>43552</v>
      </c>
      <c r="C23" s="20">
        <v>0.43082175925925931</v>
      </c>
      <c r="D23" s="18">
        <v>6.81</v>
      </c>
      <c r="E23" s="18">
        <v>6.69</v>
      </c>
      <c r="F23" s="18">
        <v>6.81</v>
      </c>
      <c r="G23" s="18">
        <v>6.56</v>
      </c>
      <c r="H23" s="18">
        <v>6.5</v>
      </c>
      <c r="I23" s="18">
        <v>6.56</v>
      </c>
      <c r="J23" s="18">
        <v>6.94</v>
      </c>
      <c r="K23" s="18">
        <v>6.81</v>
      </c>
      <c r="L23" s="18">
        <v>6.31</v>
      </c>
      <c r="M23"/>
      <c r="N23" s="4">
        <v>6.7</v>
      </c>
      <c r="O23" s="4">
        <f>N23-'Sonde étalon'!$C$13</f>
        <v>6.87</v>
      </c>
      <c r="P23"/>
      <c r="R23" s="4">
        <f t="shared" si="6"/>
        <v>-6.0000000000000497E-2</v>
      </c>
      <c r="S23" s="4">
        <f t="shared" si="7"/>
        <v>-0.17999999999999972</v>
      </c>
      <c r="T23" s="4">
        <f t="shared" si="8"/>
        <v>-6.0000000000000497E-2</v>
      </c>
      <c r="U23" s="4">
        <f t="shared" si="9"/>
        <v>-0.3100000000000005</v>
      </c>
      <c r="V23" s="4">
        <f t="shared" si="10"/>
        <v>-0.37000000000000011</v>
      </c>
      <c r="W23" s="4">
        <f t="shared" si="11"/>
        <v>-0.3100000000000005</v>
      </c>
      <c r="X23" s="4">
        <f t="shared" si="12"/>
        <v>7.0000000000000284E-2</v>
      </c>
      <c r="Y23" s="4">
        <f t="shared" si="13"/>
        <v>-6.0000000000000497E-2</v>
      </c>
      <c r="Z23" s="4">
        <f t="shared" si="14"/>
        <v>-0.5600000000000005</v>
      </c>
      <c r="AB23"/>
      <c r="AC23" s="4">
        <f t="shared" si="15"/>
        <v>6.9190999999999994</v>
      </c>
      <c r="AD23" s="4">
        <f t="shared" si="16"/>
        <v>6.9270500000000004</v>
      </c>
      <c r="AE23" s="4">
        <f t="shared" si="17"/>
        <v>6.8998999999999997</v>
      </c>
      <c r="AF23" s="4">
        <f t="shared" si="18"/>
        <v>6.9035999999999991</v>
      </c>
      <c r="AG23" s="4">
        <f t="shared" si="19"/>
        <v>6.8860000000000001</v>
      </c>
      <c r="AH23" s="4">
        <f t="shared" si="20"/>
        <v>6.9219999999999997</v>
      </c>
      <c r="AI23" s="4">
        <f t="shared" si="21"/>
        <v>6.9044500000000006</v>
      </c>
      <c r="AJ23" s="4">
        <f t="shared" si="22"/>
        <v>6.9047999999999998</v>
      </c>
      <c r="AK23" s="4">
        <f t="shared" si="23"/>
        <v>6.9451499999999999</v>
      </c>
      <c r="AM23"/>
      <c r="AN23" s="4">
        <f t="shared" si="24"/>
        <v>4.9099999999999255E-2</v>
      </c>
      <c r="AO23" s="4">
        <f t="shared" si="25"/>
        <v>5.7050000000000267E-2</v>
      </c>
      <c r="AP23" s="4">
        <f t="shared" si="26"/>
        <v>2.9899999999999594E-2</v>
      </c>
      <c r="AQ23" s="4">
        <f t="shared" si="27"/>
        <v>3.3599999999998964E-2</v>
      </c>
      <c r="AR23" s="4">
        <f t="shared" si="28"/>
        <v>1.6000000000000014E-2</v>
      </c>
      <c r="AS23" s="4">
        <f t="shared" si="29"/>
        <v>5.1999999999999602E-2</v>
      </c>
      <c r="AT23" s="4">
        <f t="shared" si="30"/>
        <v>3.4450000000000536E-2</v>
      </c>
      <c r="AU23" s="4">
        <f t="shared" si="31"/>
        <v>3.479999999999972E-2</v>
      </c>
      <c r="AV23" s="4">
        <f t="shared" si="32"/>
        <v>7.5149999999999828E-2</v>
      </c>
    </row>
    <row r="24" spans="1:48" x14ac:dyDescent="0.25">
      <c r="A24" s="18">
        <v>24</v>
      </c>
      <c r="B24" s="19">
        <v>43552</v>
      </c>
      <c r="C24" s="20">
        <v>0.43151620370370369</v>
      </c>
      <c r="D24" s="18">
        <v>6.88</v>
      </c>
      <c r="E24" s="18">
        <v>6.69</v>
      </c>
      <c r="F24" s="18">
        <v>6.88</v>
      </c>
      <c r="G24" s="18">
        <v>6.63</v>
      </c>
      <c r="H24" s="18">
        <v>6.56</v>
      </c>
      <c r="I24" s="18">
        <v>6.63</v>
      </c>
      <c r="J24" s="18">
        <v>7</v>
      </c>
      <c r="K24" s="18">
        <v>6.88</v>
      </c>
      <c r="L24" s="18">
        <v>6.38</v>
      </c>
      <c r="M24"/>
      <c r="N24" s="4">
        <v>6.74</v>
      </c>
      <c r="O24" s="4">
        <f>N24-'Sonde étalon'!$C$13</f>
        <v>6.91</v>
      </c>
      <c r="P24"/>
      <c r="R24" s="4">
        <f t="shared" si="6"/>
        <v>-3.0000000000000249E-2</v>
      </c>
      <c r="S24" s="4">
        <f t="shared" si="7"/>
        <v>-0.21999999999999975</v>
      </c>
      <c r="T24" s="4">
        <f t="shared" si="8"/>
        <v>-3.0000000000000249E-2</v>
      </c>
      <c r="U24" s="4">
        <f t="shared" si="9"/>
        <v>-0.28000000000000025</v>
      </c>
      <c r="V24" s="4">
        <f t="shared" si="10"/>
        <v>-0.35000000000000053</v>
      </c>
      <c r="W24" s="4">
        <f t="shared" si="11"/>
        <v>-0.28000000000000025</v>
      </c>
      <c r="X24" s="4">
        <f t="shared" si="12"/>
        <v>8.9999999999999858E-2</v>
      </c>
      <c r="Y24" s="4">
        <f t="shared" si="13"/>
        <v>-3.0000000000000249E-2</v>
      </c>
      <c r="Z24" s="4">
        <f t="shared" si="14"/>
        <v>-0.53000000000000025</v>
      </c>
      <c r="AB24"/>
      <c r="AC24" s="4">
        <f t="shared" si="15"/>
        <v>6.9890999999999996</v>
      </c>
      <c r="AD24" s="4">
        <f t="shared" si="16"/>
        <v>6.9270500000000004</v>
      </c>
      <c r="AE24" s="4">
        <f t="shared" si="17"/>
        <v>6.9699</v>
      </c>
      <c r="AF24" s="4">
        <f t="shared" si="18"/>
        <v>6.9735999999999994</v>
      </c>
      <c r="AG24" s="4">
        <f t="shared" si="19"/>
        <v>6.9459999999999997</v>
      </c>
      <c r="AH24" s="4">
        <f t="shared" si="20"/>
        <v>6.992</v>
      </c>
      <c r="AI24" s="4">
        <f t="shared" si="21"/>
        <v>6.9644500000000003</v>
      </c>
      <c r="AJ24" s="4">
        <f t="shared" si="22"/>
        <v>6.9748000000000001</v>
      </c>
      <c r="AK24" s="4">
        <f t="shared" si="23"/>
        <v>7.0151500000000002</v>
      </c>
      <c r="AM24"/>
      <c r="AN24" s="4">
        <f t="shared" si="24"/>
        <v>7.9099999999999504E-2</v>
      </c>
      <c r="AO24" s="4">
        <f t="shared" si="25"/>
        <v>1.7050000000000232E-2</v>
      </c>
      <c r="AP24" s="4">
        <f t="shared" si="26"/>
        <v>5.9899999999999842E-2</v>
      </c>
      <c r="AQ24" s="4">
        <f t="shared" si="27"/>
        <v>6.3599999999999213E-2</v>
      </c>
      <c r="AR24" s="4">
        <f t="shared" si="28"/>
        <v>3.5999999999999588E-2</v>
      </c>
      <c r="AS24" s="4">
        <f t="shared" si="29"/>
        <v>8.1999999999999851E-2</v>
      </c>
      <c r="AT24" s="4">
        <f t="shared" si="30"/>
        <v>5.4450000000000109E-2</v>
      </c>
      <c r="AU24" s="4">
        <f t="shared" si="31"/>
        <v>6.4799999999999969E-2</v>
      </c>
      <c r="AV24" s="4">
        <f t="shared" si="32"/>
        <v>0.10515000000000008</v>
      </c>
    </row>
    <row r="25" spans="1:48" x14ac:dyDescent="0.25">
      <c r="A25" s="18">
        <v>25</v>
      </c>
      <c r="B25" s="19">
        <v>43552</v>
      </c>
      <c r="C25" s="21">
        <v>0.43221064814814819</v>
      </c>
      <c r="D25" s="18">
        <v>6.88</v>
      </c>
      <c r="E25" s="18">
        <v>6.75</v>
      </c>
      <c r="F25" s="18">
        <v>6.94</v>
      </c>
      <c r="G25" s="18">
        <v>6.69</v>
      </c>
      <c r="H25" s="18">
        <v>6.63</v>
      </c>
      <c r="I25" s="18">
        <v>6.69</v>
      </c>
      <c r="J25" s="18">
        <v>7</v>
      </c>
      <c r="K25" s="18">
        <v>6.94</v>
      </c>
      <c r="L25" s="18">
        <v>6.44</v>
      </c>
      <c r="M25"/>
      <c r="N25" s="4">
        <v>6.8</v>
      </c>
      <c r="O25" s="4">
        <f>N25-'Sonde étalon'!$C$13</f>
        <v>6.97</v>
      </c>
      <c r="P25"/>
      <c r="R25" s="4">
        <f t="shared" si="6"/>
        <v>-8.9999999999999858E-2</v>
      </c>
      <c r="S25" s="4">
        <f t="shared" si="7"/>
        <v>-0.21999999999999975</v>
      </c>
      <c r="T25" s="4">
        <f t="shared" si="8"/>
        <v>-2.9999999999999361E-2</v>
      </c>
      <c r="U25" s="4">
        <f t="shared" si="9"/>
        <v>-0.27999999999999936</v>
      </c>
      <c r="V25" s="4">
        <f t="shared" si="10"/>
        <v>-0.33999999999999986</v>
      </c>
      <c r="W25" s="4">
        <f t="shared" si="11"/>
        <v>-0.27999999999999936</v>
      </c>
      <c r="X25" s="4">
        <f t="shared" si="12"/>
        <v>3.0000000000000249E-2</v>
      </c>
      <c r="Y25" s="4">
        <f t="shared" si="13"/>
        <v>-2.9999999999999361E-2</v>
      </c>
      <c r="Z25" s="4">
        <f t="shared" si="14"/>
        <v>-0.52999999999999936</v>
      </c>
      <c r="AB25"/>
      <c r="AC25" s="4">
        <f t="shared" si="15"/>
        <v>6.9890999999999996</v>
      </c>
      <c r="AD25" s="4">
        <f t="shared" si="16"/>
        <v>6.98705</v>
      </c>
      <c r="AE25" s="4">
        <f t="shared" si="17"/>
        <v>7.0299000000000005</v>
      </c>
      <c r="AF25" s="4">
        <f t="shared" si="18"/>
        <v>7.0335999999999999</v>
      </c>
      <c r="AG25" s="4">
        <f t="shared" si="19"/>
        <v>7.016</v>
      </c>
      <c r="AH25" s="4">
        <f t="shared" si="20"/>
        <v>7.0520000000000005</v>
      </c>
      <c r="AI25" s="4">
        <f t="shared" si="21"/>
        <v>6.9644500000000003</v>
      </c>
      <c r="AJ25" s="4">
        <f t="shared" si="22"/>
        <v>7.0348000000000006</v>
      </c>
      <c r="AK25" s="4">
        <f t="shared" si="23"/>
        <v>7.0751500000000007</v>
      </c>
      <c r="AM25"/>
      <c r="AN25" s="4">
        <f t="shared" si="24"/>
        <v>1.9099999999999895E-2</v>
      </c>
      <c r="AO25" s="4">
        <f t="shared" si="25"/>
        <v>1.7050000000000232E-2</v>
      </c>
      <c r="AP25" s="4">
        <f t="shared" si="26"/>
        <v>5.990000000000073E-2</v>
      </c>
      <c r="AQ25" s="4">
        <f t="shared" si="27"/>
        <v>6.3600000000000101E-2</v>
      </c>
      <c r="AR25" s="4">
        <f t="shared" si="28"/>
        <v>4.6000000000000263E-2</v>
      </c>
      <c r="AS25" s="4">
        <f t="shared" si="29"/>
        <v>8.2000000000000739E-2</v>
      </c>
      <c r="AT25" s="4">
        <f t="shared" si="30"/>
        <v>-5.5499999999994998E-3</v>
      </c>
      <c r="AU25" s="4">
        <f t="shared" si="31"/>
        <v>6.4800000000000857E-2</v>
      </c>
      <c r="AV25" s="4">
        <f t="shared" si="32"/>
        <v>0.10515000000000096</v>
      </c>
    </row>
    <row r="26" spans="1:48" x14ac:dyDescent="0.25">
      <c r="A26" s="18">
        <v>26</v>
      </c>
      <c r="B26" s="19">
        <v>43552</v>
      </c>
      <c r="C26" s="20">
        <v>0.43290509259259258</v>
      </c>
      <c r="D26" s="18">
        <v>6.94</v>
      </c>
      <c r="E26" s="18">
        <v>6.81</v>
      </c>
      <c r="F26" s="18">
        <v>6.94</v>
      </c>
      <c r="G26" s="18">
        <v>6.75</v>
      </c>
      <c r="H26" s="18">
        <v>6.69</v>
      </c>
      <c r="I26" s="18">
        <v>6.75</v>
      </c>
      <c r="J26" s="18">
        <v>7.06</v>
      </c>
      <c r="K26" s="18">
        <v>6.94</v>
      </c>
      <c r="L26" s="18">
        <v>6.5</v>
      </c>
      <c r="M26"/>
      <c r="N26" s="4">
        <v>6.84</v>
      </c>
      <c r="O26" s="4">
        <f>N26-'Sonde étalon'!$C$13</f>
        <v>7.01</v>
      </c>
      <c r="P26"/>
      <c r="R26" s="4">
        <f t="shared" si="6"/>
        <v>-6.9999999999999396E-2</v>
      </c>
      <c r="S26" s="4">
        <f t="shared" si="7"/>
        <v>-0.20000000000000018</v>
      </c>
      <c r="T26" s="4">
        <f t="shared" si="8"/>
        <v>-6.9999999999999396E-2</v>
      </c>
      <c r="U26" s="4">
        <f t="shared" si="9"/>
        <v>-0.25999999999999979</v>
      </c>
      <c r="V26" s="4">
        <f t="shared" si="10"/>
        <v>-0.3199999999999994</v>
      </c>
      <c r="W26" s="4">
        <f t="shared" si="11"/>
        <v>-0.25999999999999979</v>
      </c>
      <c r="X26" s="4">
        <f t="shared" si="12"/>
        <v>4.9999999999999822E-2</v>
      </c>
      <c r="Y26" s="4">
        <f t="shared" si="13"/>
        <v>-6.9999999999999396E-2</v>
      </c>
      <c r="Z26" s="4">
        <f t="shared" si="14"/>
        <v>-0.50999999999999979</v>
      </c>
      <c r="AB26"/>
      <c r="AC26" s="4">
        <f t="shared" si="15"/>
        <v>7.0491000000000001</v>
      </c>
      <c r="AD26" s="4">
        <f t="shared" si="16"/>
        <v>7.0470499999999996</v>
      </c>
      <c r="AE26" s="4">
        <f t="shared" si="17"/>
        <v>7.0299000000000005</v>
      </c>
      <c r="AF26" s="4">
        <f t="shared" si="18"/>
        <v>7.0935999999999995</v>
      </c>
      <c r="AG26" s="4">
        <f t="shared" si="19"/>
        <v>7.0760000000000005</v>
      </c>
      <c r="AH26" s="4">
        <f t="shared" si="20"/>
        <v>7.1120000000000001</v>
      </c>
      <c r="AI26" s="4">
        <f t="shared" si="21"/>
        <v>7.0244499999999999</v>
      </c>
      <c r="AJ26" s="4">
        <f t="shared" si="22"/>
        <v>7.0348000000000006</v>
      </c>
      <c r="AK26" s="4">
        <f t="shared" si="23"/>
        <v>7.1351500000000003</v>
      </c>
      <c r="AM26"/>
      <c r="AN26" s="4">
        <f t="shared" si="24"/>
        <v>3.9100000000000357E-2</v>
      </c>
      <c r="AO26" s="4">
        <f t="shared" si="25"/>
        <v>3.7049999999999805E-2</v>
      </c>
      <c r="AP26" s="4">
        <f t="shared" si="26"/>
        <v>1.9900000000000695E-2</v>
      </c>
      <c r="AQ26" s="4">
        <f t="shared" si="27"/>
        <v>8.3599999999999675E-2</v>
      </c>
      <c r="AR26" s="4">
        <f t="shared" si="28"/>
        <v>6.6000000000000725E-2</v>
      </c>
      <c r="AS26" s="4">
        <f t="shared" si="29"/>
        <v>0.10200000000000031</v>
      </c>
      <c r="AT26" s="4">
        <f t="shared" si="30"/>
        <v>1.4450000000000074E-2</v>
      </c>
      <c r="AU26" s="4">
        <f t="shared" si="31"/>
        <v>2.4800000000000821E-2</v>
      </c>
      <c r="AV26" s="4">
        <f t="shared" si="32"/>
        <v>0.12515000000000054</v>
      </c>
    </row>
    <row r="27" spans="1:48" x14ac:dyDescent="0.25">
      <c r="A27" s="18">
        <v>27</v>
      </c>
      <c r="B27" s="19">
        <v>43552</v>
      </c>
      <c r="C27" s="20">
        <v>0.43359953703703707</v>
      </c>
      <c r="D27" s="18">
        <v>7</v>
      </c>
      <c r="E27" s="18">
        <v>6.81</v>
      </c>
      <c r="F27" s="18">
        <v>7</v>
      </c>
      <c r="G27" s="18">
        <v>6.81</v>
      </c>
      <c r="H27" s="18">
        <v>6.69</v>
      </c>
      <c r="I27" s="18">
        <v>6.81</v>
      </c>
      <c r="J27" s="18">
        <v>7.13</v>
      </c>
      <c r="K27" s="18">
        <v>7</v>
      </c>
      <c r="L27" s="18">
        <v>6.5</v>
      </c>
      <c r="M27"/>
      <c r="N27" s="4">
        <v>6.88</v>
      </c>
      <c r="O27" s="4">
        <f>N27-'Sonde étalon'!$C$13</f>
        <v>7.05</v>
      </c>
      <c r="P27"/>
      <c r="R27" s="4">
        <f t="shared" si="6"/>
        <v>-4.9999999999999822E-2</v>
      </c>
      <c r="S27" s="4">
        <f t="shared" si="7"/>
        <v>-0.24000000000000021</v>
      </c>
      <c r="T27" s="4">
        <f t="shared" si="8"/>
        <v>-4.9999999999999822E-2</v>
      </c>
      <c r="U27" s="4">
        <f t="shared" si="9"/>
        <v>-0.24000000000000021</v>
      </c>
      <c r="V27" s="4">
        <f t="shared" si="10"/>
        <v>-0.35999999999999943</v>
      </c>
      <c r="W27" s="4">
        <f t="shared" si="11"/>
        <v>-0.24000000000000021</v>
      </c>
      <c r="X27" s="4">
        <f t="shared" si="12"/>
        <v>8.0000000000000071E-2</v>
      </c>
      <c r="Y27" s="4">
        <f t="shared" si="13"/>
        <v>-4.9999999999999822E-2</v>
      </c>
      <c r="Z27" s="4">
        <f t="shared" si="14"/>
        <v>-0.54999999999999982</v>
      </c>
      <c r="AB27"/>
      <c r="AC27" s="4">
        <f t="shared" si="15"/>
        <v>7.1090999999999998</v>
      </c>
      <c r="AD27" s="4">
        <f t="shared" si="16"/>
        <v>7.0470499999999996</v>
      </c>
      <c r="AE27" s="4">
        <f t="shared" si="17"/>
        <v>7.0899000000000001</v>
      </c>
      <c r="AF27" s="4">
        <f t="shared" si="18"/>
        <v>7.1535999999999991</v>
      </c>
      <c r="AG27" s="4">
        <f t="shared" si="19"/>
        <v>7.0760000000000005</v>
      </c>
      <c r="AH27" s="4">
        <f t="shared" si="20"/>
        <v>7.1719999999999997</v>
      </c>
      <c r="AI27" s="4">
        <f t="shared" si="21"/>
        <v>7.0944500000000001</v>
      </c>
      <c r="AJ27" s="4">
        <f t="shared" si="22"/>
        <v>7.0948000000000002</v>
      </c>
      <c r="AK27" s="4">
        <f t="shared" si="23"/>
        <v>7.1351500000000003</v>
      </c>
      <c r="AM27"/>
      <c r="AN27" s="4">
        <f t="shared" si="24"/>
        <v>5.909999999999993E-2</v>
      </c>
      <c r="AO27" s="4">
        <f t="shared" si="25"/>
        <v>-2.9500000000002302E-3</v>
      </c>
      <c r="AP27" s="4">
        <f t="shared" si="26"/>
        <v>3.9900000000000269E-2</v>
      </c>
      <c r="AQ27" s="4">
        <f t="shared" si="27"/>
        <v>0.10359999999999925</v>
      </c>
      <c r="AR27" s="4">
        <f t="shared" si="28"/>
        <v>2.6000000000000689E-2</v>
      </c>
      <c r="AS27" s="4">
        <f t="shared" si="29"/>
        <v>0.12199999999999989</v>
      </c>
      <c r="AT27" s="4">
        <f t="shared" si="30"/>
        <v>4.4450000000000323E-2</v>
      </c>
      <c r="AU27" s="4">
        <f t="shared" si="31"/>
        <v>4.4800000000000395E-2</v>
      </c>
      <c r="AV27" s="4">
        <f t="shared" si="32"/>
        <v>8.5150000000000503E-2</v>
      </c>
    </row>
    <row r="28" spans="1:48" x14ac:dyDescent="0.25">
      <c r="A28" s="18">
        <v>28</v>
      </c>
      <c r="B28" s="19">
        <v>43552</v>
      </c>
      <c r="C28" s="20">
        <v>0.43429398148148146</v>
      </c>
      <c r="D28" s="18">
        <v>7.06</v>
      </c>
      <c r="E28" s="18">
        <v>6.88</v>
      </c>
      <c r="F28" s="18">
        <v>7.06</v>
      </c>
      <c r="G28" s="18">
        <v>6.81</v>
      </c>
      <c r="H28" s="18">
        <v>6.75</v>
      </c>
      <c r="I28" s="18">
        <v>6.88</v>
      </c>
      <c r="J28" s="18">
        <v>7.19</v>
      </c>
      <c r="K28" s="18">
        <v>7.06</v>
      </c>
      <c r="L28" s="18">
        <v>6.56</v>
      </c>
      <c r="M28"/>
      <c r="N28" s="4">
        <v>6.94</v>
      </c>
      <c r="O28" s="4">
        <f>N28-'Sonde étalon'!$C$13</f>
        <v>7.11</v>
      </c>
      <c r="P28"/>
      <c r="R28" s="4">
        <f t="shared" si="6"/>
        <v>-5.0000000000000711E-2</v>
      </c>
      <c r="S28" s="4">
        <f t="shared" si="7"/>
        <v>-0.23000000000000043</v>
      </c>
      <c r="T28" s="4">
        <f t="shared" si="8"/>
        <v>-5.0000000000000711E-2</v>
      </c>
      <c r="U28" s="4">
        <f t="shared" si="9"/>
        <v>-0.30000000000000071</v>
      </c>
      <c r="V28" s="4">
        <f t="shared" si="10"/>
        <v>-0.36000000000000032</v>
      </c>
      <c r="W28" s="4">
        <f t="shared" si="11"/>
        <v>-0.23000000000000043</v>
      </c>
      <c r="X28" s="4">
        <f t="shared" si="12"/>
        <v>8.0000000000000071E-2</v>
      </c>
      <c r="Y28" s="4">
        <f t="shared" si="13"/>
        <v>-5.0000000000000711E-2</v>
      </c>
      <c r="Z28" s="4">
        <f t="shared" si="14"/>
        <v>-0.55000000000000071</v>
      </c>
      <c r="AB28"/>
      <c r="AC28" s="4">
        <f t="shared" si="15"/>
        <v>7.1690999999999994</v>
      </c>
      <c r="AD28" s="4">
        <f t="shared" si="16"/>
        <v>7.1170499999999999</v>
      </c>
      <c r="AE28" s="4">
        <f t="shared" si="17"/>
        <v>7.1498999999999997</v>
      </c>
      <c r="AF28" s="4">
        <f t="shared" si="18"/>
        <v>7.1535999999999991</v>
      </c>
      <c r="AG28" s="4">
        <f t="shared" si="19"/>
        <v>7.1360000000000001</v>
      </c>
      <c r="AH28" s="4">
        <f t="shared" si="20"/>
        <v>7.242</v>
      </c>
      <c r="AI28" s="4">
        <f t="shared" si="21"/>
        <v>7.1544500000000006</v>
      </c>
      <c r="AJ28" s="4">
        <f t="shared" si="22"/>
        <v>7.1547999999999998</v>
      </c>
      <c r="AK28" s="4">
        <f t="shared" si="23"/>
        <v>7.1951499999999999</v>
      </c>
      <c r="AM28"/>
      <c r="AN28" s="4">
        <f t="shared" si="24"/>
        <v>5.9099999999999042E-2</v>
      </c>
      <c r="AO28" s="4">
        <f t="shared" si="25"/>
        <v>7.0499999999995566E-3</v>
      </c>
      <c r="AP28" s="4">
        <f t="shared" si="26"/>
        <v>3.989999999999938E-2</v>
      </c>
      <c r="AQ28" s="4">
        <f t="shared" si="27"/>
        <v>4.3599999999998751E-2</v>
      </c>
      <c r="AR28" s="4">
        <f t="shared" si="28"/>
        <v>2.5999999999999801E-2</v>
      </c>
      <c r="AS28" s="4">
        <f t="shared" si="29"/>
        <v>0.13199999999999967</v>
      </c>
      <c r="AT28" s="4">
        <f t="shared" si="30"/>
        <v>4.4450000000000323E-2</v>
      </c>
      <c r="AU28" s="4">
        <f t="shared" si="31"/>
        <v>4.4799999999999507E-2</v>
      </c>
      <c r="AV28" s="4">
        <f t="shared" si="32"/>
        <v>8.5149999999999615E-2</v>
      </c>
    </row>
    <row r="29" spans="1:48" x14ac:dyDescent="0.25">
      <c r="A29" s="18">
        <v>29</v>
      </c>
      <c r="B29" s="19">
        <v>43552</v>
      </c>
      <c r="C29" s="20">
        <v>0.43498842592592596</v>
      </c>
      <c r="D29" s="18">
        <v>7.06</v>
      </c>
      <c r="E29" s="18">
        <v>6.94</v>
      </c>
      <c r="F29" s="18">
        <v>7.13</v>
      </c>
      <c r="G29" s="18">
        <v>6.88</v>
      </c>
      <c r="H29" s="18">
        <v>6.81</v>
      </c>
      <c r="I29" s="18">
        <v>6.94</v>
      </c>
      <c r="J29" s="18">
        <v>7.19</v>
      </c>
      <c r="K29" s="18">
        <v>7.13</v>
      </c>
      <c r="L29" s="18">
        <v>6.63</v>
      </c>
      <c r="M29"/>
      <c r="N29" s="4">
        <v>6.98</v>
      </c>
      <c r="O29" s="4">
        <f>N29-'Sonde étalon'!$C$13</f>
        <v>7.15</v>
      </c>
      <c r="P29"/>
      <c r="R29" s="4">
        <f t="shared" si="6"/>
        <v>-9.0000000000000746E-2</v>
      </c>
      <c r="S29" s="4">
        <f t="shared" si="7"/>
        <v>-0.20999999999999996</v>
      </c>
      <c r="T29" s="4">
        <f t="shared" si="8"/>
        <v>-2.0000000000000462E-2</v>
      </c>
      <c r="U29" s="4">
        <f t="shared" si="9"/>
        <v>-0.27000000000000046</v>
      </c>
      <c r="V29" s="4">
        <f t="shared" si="10"/>
        <v>-0.34000000000000075</v>
      </c>
      <c r="W29" s="4">
        <f t="shared" si="11"/>
        <v>-0.20999999999999996</v>
      </c>
      <c r="X29" s="4">
        <f t="shared" si="12"/>
        <v>4.0000000000000036E-2</v>
      </c>
      <c r="Y29" s="4">
        <f t="shared" si="13"/>
        <v>-2.0000000000000462E-2</v>
      </c>
      <c r="Z29" s="4">
        <f t="shared" si="14"/>
        <v>-0.52000000000000046</v>
      </c>
      <c r="AB29"/>
      <c r="AC29" s="4">
        <f t="shared" si="15"/>
        <v>7.1690999999999994</v>
      </c>
      <c r="AD29" s="4">
        <f t="shared" si="16"/>
        <v>7.1770500000000004</v>
      </c>
      <c r="AE29" s="4">
        <f t="shared" si="17"/>
        <v>7.2199</v>
      </c>
      <c r="AF29" s="4">
        <f t="shared" si="18"/>
        <v>7.2235999999999994</v>
      </c>
      <c r="AG29" s="4">
        <f t="shared" si="19"/>
        <v>7.1959999999999997</v>
      </c>
      <c r="AH29" s="4">
        <f t="shared" si="20"/>
        <v>7.3020000000000005</v>
      </c>
      <c r="AI29" s="4">
        <f t="shared" si="21"/>
        <v>7.1544500000000006</v>
      </c>
      <c r="AJ29" s="4">
        <f t="shared" si="22"/>
        <v>7.2248000000000001</v>
      </c>
      <c r="AK29" s="4">
        <f t="shared" si="23"/>
        <v>7.2651500000000002</v>
      </c>
      <c r="AM29"/>
      <c r="AN29" s="4">
        <f t="shared" si="24"/>
        <v>1.9099999999999007E-2</v>
      </c>
      <c r="AO29" s="4">
        <f t="shared" si="25"/>
        <v>2.7050000000000018E-2</v>
      </c>
      <c r="AP29" s="4">
        <f t="shared" si="26"/>
        <v>6.9899999999999629E-2</v>
      </c>
      <c r="AQ29" s="4">
        <f t="shared" si="27"/>
        <v>7.3599999999999E-2</v>
      </c>
      <c r="AR29" s="4">
        <f t="shared" si="28"/>
        <v>4.5999999999999375E-2</v>
      </c>
      <c r="AS29" s="4">
        <f t="shared" si="29"/>
        <v>0.15200000000000014</v>
      </c>
      <c r="AT29" s="4">
        <f t="shared" si="30"/>
        <v>4.4500000000002871E-3</v>
      </c>
      <c r="AU29" s="4">
        <f t="shared" si="31"/>
        <v>7.4799999999999756E-2</v>
      </c>
      <c r="AV29" s="4">
        <f t="shared" si="32"/>
        <v>0.11514999999999986</v>
      </c>
    </row>
    <row r="30" spans="1:48" x14ac:dyDescent="0.25">
      <c r="A30" s="18">
        <v>30</v>
      </c>
      <c r="B30" s="19">
        <v>43552</v>
      </c>
      <c r="C30" s="20">
        <v>0.43568287037037035</v>
      </c>
      <c r="D30" s="18">
        <v>7.13</v>
      </c>
      <c r="E30" s="18">
        <v>7</v>
      </c>
      <c r="F30" s="18">
        <v>7.13</v>
      </c>
      <c r="G30" s="18">
        <v>6.94</v>
      </c>
      <c r="H30" s="18">
        <v>6.88</v>
      </c>
      <c r="I30" s="18">
        <v>6.94</v>
      </c>
      <c r="J30" s="18">
        <v>7.25</v>
      </c>
      <c r="K30" s="18">
        <v>7.19</v>
      </c>
      <c r="L30" s="18">
        <v>6.69</v>
      </c>
      <c r="M30"/>
      <c r="N30" s="4">
        <v>7.05</v>
      </c>
      <c r="O30" s="4">
        <f>N30-'Sonde étalon'!$C$13</f>
        <v>7.22</v>
      </c>
      <c r="P30"/>
      <c r="R30" s="4">
        <f t="shared" si="6"/>
        <v>-8.9999999999999858E-2</v>
      </c>
      <c r="S30" s="4">
        <f t="shared" si="7"/>
        <v>-0.21999999999999975</v>
      </c>
      <c r="T30" s="4">
        <f t="shared" si="8"/>
        <v>-8.9999999999999858E-2</v>
      </c>
      <c r="U30" s="4">
        <f t="shared" si="9"/>
        <v>-0.27999999999999936</v>
      </c>
      <c r="V30" s="4">
        <f t="shared" si="10"/>
        <v>-0.33999999999999986</v>
      </c>
      <c r="W30" s="4">
        <f t="shared" si="11"/>
        <v>-0.27999999999999936</v>
      </c>
      <c r="X30" s="4">
        <f t="shared" si="12"/>
        <v>3.0000000000000249E-2</v>
      </c>
      <c r="Y30" s="4">
        <f t="shared" si="13"/>
        <v>-2.9999999999999361E-2</v>
      </c>
      <c r="Z30" s="4">
        <f t="shared" si="14"/>
        <v>-0.52999999999999936</v>
      </c>
      <c r="AB30"/>
      <c r="AC30" s="4">
        <f t="shared" si="15"/>
        <v>7.2390999999999996</v>
      </c>
      <c r="AD30" s="4">
        <f t="shared" si="16"/>
        <v>7.23705</v>
      </c>
      <c r="AE30" s="4">
        <f t="shared" si="17"/>
        <v>7.2199</v>
      </c>
      <c r="AF30" s="4">
        <f t="shared" si="18"/>
        <v>7.2835999999999999</v>
      </c>
      <c r="AG30" s="4">
        <f t="shared" si="19"/>
        <v>7.266</v>
      </c>
      <c r="AH30" s="4">
        <f t="shared" si="20"/>
        <v>7.3020000000000005</v>
      </c>
      <c r="AI30" s="4">
        <f t="shared" si="21"/>
        <v>7.2144500000000003</v>
      </c>
      <c r="AJ30" s="4">
        <f t="shared" si="22"/>
        <v>7.2848000000000006</v>
      </c>
      <c r="AK30" s="4">
        <f t="shared" si="23"/>
        <v>7.3251500000000007</v>
      </c>
      <c r="AM30"/>
      <c r="AN30" s="4">
        <f t="shared" si="24"/>
        <v>1.9099999999999895E-2</v>
      </c>
      <c r="AO30" s="4">
        <f t="shared" si="25"/>
        <v>1.7050000000000232E-2</v>
      </c>
      <c r="AP30" s="4">
        <f t="shared" si="26"/>
        <v>-9.9999999999766942E-5</v>
      </c>
      <c r="AQ30" s="4">
        <f t="shared" si="27"/>
        <v>6.3600000000000101E-2</v>
      </c>
      <c r="AR30" s="4">
        <f t="shared" si="28"/>
        <v>4.6000000000000263E-2</v>
      </c>
      <c r="AS30" s="4">
        <f t="shared" si="29"/>
        <v>8.2000000000000739E-2</v>
      </c>
      <c r="AT30" s="4">
        <f t="shared" si="30"/>
        <v>-5.5499999999994998E-3</v>
      </c>
      <c r="AU30" s="4">
        <f t="shared" si="31"/>
        <v>6.4800000000000857E-2</v>
      </c>
      <c r="AV30" s="4">
        <f t="shared" si="32"/>
        <v>0.10515000000000096</v>
      </c>
    </row>
    <row r="31" spans="1:48" x14ac:dyDescent="0.25">
      <c r="A31" s="18">
        <v>31</v>
      </c>
      <c r="B31" s="19">
        <v>43552</v>
      </c>
      <c r="C31" s="20">
        <v>0.43637731481481484</v>
      </c>
      <c r="D31" s="18">
        <v>7.19</v>
      </c>
      <c r="E31" s="18">
        <v>7</v>
      </c>
      <c r="F31" s="18">
        <v>7.19</v>
      </c>
      <c r="G31" s="18">
        <v>7</v>
      </c>
      <c r="H31" s="18">
        <v>6.88</v>
      </c>
      <c r="I31" s="18">
        <v>7</v>
      </c>
      <c r="J31" s="18">
        <v>7.31</v>
      </c>
      <c r="K31" s="18">
        <v>7.19</v>
      </c>
      <c r="L31" s="18">
        <v>6.69</v>
      </c>
      <c r="M31"/>
      <c r="N31" s="4">
        <v>7.09</v>
      </c>
      <c r="O31" s="4">
        <f>N31-'Sonde étalon'!$C$13</f>
        <v>7.26</v>
      </c>
      <c r="P31"/>
      <c r="R31" s="4">
        <f t="shared" si="6"/>
        <v>-6.9999999999999396E-2</v>
      </c>
      <c r="S31" s="4">
        <f t="shared" si="7"/>
        <v>-0.25999999999999979</v>
      </c>
      <c r="T31" s="4">
        <f t="shared" si="8"/>
        <v>-6.9999999999999396E-2</v>
      </c>
      <c r="U31" s="4">
        <f t="shared" si="9"/>
        <v>-0.25999999999999979</v>
      </c>
      <c r="V31" s="4">
        <f t="shared" si="10"/>
        <v>-0.37999999999999989</v>
      </c>
      <c r="W31" s="4">
        <f t="shared" si="11"/>
        <v>-0.25999999999999979</v>
      </c>
      <c r="X31" s="4">
        <f t="shared" si="12"/>
        <v>4.9999999999999822E-2</v>
      </c>
      <c r="Y31" s="4">
        <f t="shared" si="13"/>
        <v>-6.9999999999999396E-2</v>
      </c>
      <c r="Z31" s="4">
        <f t="shared" si="14"/>
        <v>-0.5699999999999994</v>
      </c>
      <c r="AB31"/>
      <c r="AC31" s="4">
        <f t="shared" si="15"/>
        <v>7.2991000000000001</v>
      </c>
      <c r="AD31" s="4">
        <f t="shared" si="16"/>
        <v>7.23705</v>
      </c>
      <c r="AE31" s="4">
        <f t="shared" si="17"/>
        <v>7.2799000000000005</v>
      </c>
      <c r="AF31" s="4">
        <f t="shared" si="18"/>
        <v>7.3435999999999995</v>
      </c>
      <c r="AG31" s="4">
        <f t="shared" si="19"/>
        <v>7.266</v>
      </c>
      <c r="AH31" s="4">
        <f t="shared" si="20"/>
        <v>7.3620000000000001</v>
      </c>
      <c r="AI31" s="4">
        <f t="shared" si="21"/>
        <v>7.2744499999999999</v>
      </c>
      <c r="AJ31" s="4">
        <f t="shared" si="22"/>
        <v>7.2848000000000006</v>
      </c>
      <c r="AK31" s="4">
        <f t="shared" si="23"/>
        <v>7.3251500000000007</v>
      </c>
      <c r="AM31"/>
      <c r="AN31" s="4">
        <f t="shared" si="24"/>
        <v>3.9100000000000357E-2</v>
      </c>
      <c r="AO31" s="4">
        <f t="shared" si="25"/>
        <v>-2.2949999999999804E-2</v>
      </c>
      <c r="AP31" s="4">
        <f t="shared" si="26"/>
        <v>1.9900000000000695E-2</v>
      </c>
      <c r="AQ31" s="4">
        <f t="shared" si="27"/>
        <v>8.3599999999999675E-2</v>
      </c>
      <c r="AR31" s="4">
        <f t="shared" si="28"/>
        <v>6.0000000000002274E-3</v>
      </c>
      <c r="AS31" s="4">
        <f t="shared" si="29"/>
        <v>0.10200000000000031</v>
      </c>
      <c r="AT31" s="4">
        <f t="shared" si="30"/>
        <v>1.4450000000000074E-2</v>
      </c>
      <c r="AU31" s="4">
        <f t="shared" si="31"/>
        <v>2.4800000000000821E-2</v>
      </c>
      <c r="AV31" s="4">
        <f t="shared" si="32"/>
        <v>6.5150000000000929E-2</v>
      </c>
    </row>
    <row r="32" spans="1:48" x14ac:dyDescent="0.25">
      <c r="A32" s="18">
        <v>32</v>
      </c>
      <c r="B32" s="19">
        <v>43552</v>
      </c>
      <c r="C32" s="20">
        <v>0.43707175925925923</v>
      </c>
      <c r="D32" s="18">
        <v>7.19</v>
      </c>
      <c r="E32" s="18">
        <v>7.06</v>
      </c>
      <c r="F32" s="18">
        <v>7.25</v>
      </c>
      <c r="G32" s="18">
        <v>7.06</v>
      </c>
      <c r="H32" s="18">
        <v>6.94</v>
      </c>
      <c r="I32" s="18">
        <v>7.06</v>
      </c>
      <c r="J32" s="18">
        <v>7.38</v>
      </c>
      <c r="K32" s="18">
        <v>7.25</v>
      </c>
      <c r="L32" s="18">
        <v>6.75</v>
      </c>
      <c r="M32"/>
      <c r="N32" s="4">
        <v>7.14</v>
      </c>
      <c r="O32" s="4">
        <f>N32-'Sonde étalon'!$C$13</f>
        <v>7.31</v>
      </c>
      <c r="P32"/>
      <c r="R32" s="4">
        <f t="shared" si="6"/>
        <v>-0.11999999999999922</v>
      </c>
      <c r="S32" s="4">
        <f t="shared" si="7"/>
        <v>-0.25</v>
      </c>
      <c r="T32" s="4">
        <f t="shared" si="8"/>
        <v>-5.9999999999999609E-2</v>
      </c>
      <c r="U32" s="4">
        <f t="shared" si="9"/>
        <v>-0.25</v>
      </c>
      <c r="V32" s="4">
        <f t="shared" si="10"/>
        <v>-0.36999999999999922</v>
      </c>
      <c r="W32" s="4">
        <f t="shared" si="11"/>
        <v>-0.25</v>
      </c>
      <c r="X32" s="4">
        <f t="shared" si="12"/>
        <v>7.0000000000000284E-2</v>
      </c>
      <c r="Y32" s="4">
        <f t="shared" si="13"/>
        <v>-5.9999999999999609E-2</v>
      </c>
      <c r="Z32" s="4">
        <f t="shared" si="14"/>
        <v>-0.55999999999999961</v>
      </c>
      <c r="AB32"/>
      <c r="AC32" s="4">
        <f t="shared" si="15"/>
        <v>7.2991000000000001</v>
      </c>
      <c r="AD32" s="4">
        <f t="shared" si="16"/>
        <v>7.2970499999999996</v>
      </c>
      <c r="AE32" s="4">
        <f t="shared" si="17"/>
        <v>7.3399000000000001</v>
      </c>
      <c r="AF32" s="4">
        <f t="shared" si="18"/>
        <v>7.4035999999999991</v>
      </c>
      <c r="AG32" s="4">
        <f t="shared" si="19"/>
        <v>7.3260000000000005</v>
      </c>
      <c r="AH32" s="4">
        <f t="shared" si="20"/>
        <v>7.4219999999999997</v>
      </c>
      <c r="AI32" s="4">
        <f t="shared" si="21"/>
        <v>7.3444500000000001</v>
      </c>
      <c r="AJ32" s="4">
        <f t="shared" si="22"/>
        <v>7.3448000000000002</v>
      </c>
      <c r="AK32" s="4">
        <f t="shared" si="23"/>
        <v>7.3851500000000003</v>
      </c>
      <c r="AM32"/>
      <c r="AN32" s="4">
        <f t="shared" si="24"/>
        <v>-1.0899999999999466E-2</v>
      </c>
      <c r="AO32" s="4">
        <f t="shared" si="25"/>
        <v>-1.2950000000000017E-2</v>
      </c>
      <c r="AP32" s="4">
        <f t="shared" si="26"/>
        <v>2.9900000000000482E-2</v>
      </c>
      <c r="AQ32" s="4">
        <f t="shared" si="27"/>
        <v>9.3599999999999461E-2</v>
      </c>
      <c r="AR32" s="4">
        <f t="shared" si="28"/>
        <v>1.6000000000000902E-2</v>
      </c>
      <c r="AS32" s="4">
        <f t="shared" si="29"/>
        <v>0.1120000000000001</v>
      </c>
      <c r="AT32" s="4">
        <f t="shared" si="30"/>
        <v>3.4450000000000536E-2</v>
      </c>
      <c r="AU32" s="4">
        <f t="shared" si="31"/>
        <v>3.4800000000000608E-2</v>
      </c>
      <c r="AV32" s="4">
        <f t="shared" si="32"/>
        <v>7.5150000000000716E-2</v>
      </c>
    </row>
    <row r="33" spans="1:48" x14ac:dyDescent="0.25">
      <c r="A33" s="18">
        <v>33</v>
      </c>
      <c r="B33" s="19">
        <v>43552</v>
      </c>
      <c r="C33" s="20">
        <v>0.43776620370370373</v>
      </c>
      <c r="D33" s="18">
        <v>7.25</v>
      </c>
      <c r="E33" s="18">
        <v>7.13</v>
      </c>
      <c r="F33" s="18">
        <v>7.31</v>
      </c>
      <c r="G33" s="18">
        <v>7.06</v>
      </c>
      <c r="H33" s="18">
        <v>7</v>
      </c>
      <c r="I33" s="18">
        <v>7.13</v>
      </c>
      <c r="J33" s="18">
        <v>7.38</v>
      </c>
      <c r="K33" s="18">
        <v>7.31</v>
      </c>
      <c r="L33" s="18">
        <v>6.81</v>
      </c>
      <c r="M33"/>
      <c r="N33" s="4">
        <v>7.2</v>
      </c>
      <c r="O33" s="4">
        <f>N33-'Sonde étalon'!$C$13</f>
        <v>7.37</v>
      </c>
      <c r="P33"/>
      <c r="R33" s="4">
        <f t="shared" si="6"/>
        <v>-0.12000000000000011</v>
      </c>
      <c r="S33" s="4">
        <f t="shared" si="7"/>
        <v>-0.24000000000000021</v>
      </c>
      <c r="T33" s="4">
        <f t="shared" si="8"/>
        <v>-6.0000000000000497E-2</v>
      </c>
      <c r="U33" s="4">
        <f t="shared" si="9"/>
        <v>-0.3100000000000005</v>
      </c>
      <c r="V33" s="4">
        <f t="shared" si="10"/>
        <v>-0.37000000000000011</v>
      </c>
      <c r="W33" s="4">
        <f t="shared" si="11"/>
        <v>-0.24000000000000021</v>
      </c>
      <c r="X33" s="4">
        <f t="shared" si="12"/>
        <v>9.9999999999997868E-3</v>
      </c>
      <c r="Y33" s="4">
        <f t="shared" si="13"/>
        <v>-6.0000000000000497E-2</v>
      </c>
      <c r="Z33" s="4">
        <f t="shared" si="14"/>
        <v>-0.5600000000000005</v>
      </c>
      <c r="AB33"/>
      <c r="AC33" s="4">
        <f t="shared" si="15"/>
        <v>7.3590999999999998</v>
      </c>
      <c r="AD33" s="4">
        <f t="shared" si="16"/>
        <v>7.3670499999999999</v>
      </c>
      <c r="AE33" s="4">
        <f t="shared" si="17"/>
        <v>7.3998999999999997</v>
      </c>
      <c r="AF33" s="4">
        <f t="shared" si="18"/>
        <v>7.4035999999999991</v>
      </c>
      <c r="AG33" s="4">
        <f t="shared" si="19"/>
        <v>7.3860000000000001</v>
      </c>
      <c r="AH33" s="4">
        <f t="shared" si="20"/>
        <v>7.492</v>
      </c>
      <c r="AI33" s="4">
        <f t="shared" si="21"/>
        <v>7.3444500000000001</v>
      </c>
      <c r="AJ33" s="4">
        <f t="shared" si="22"/>
        <v>7.4047999999999998</v>
      </c>
      <c r="AK33" s="4">
        <f t="shared" si="23"/>
        <v>7.4451499999999999</v>
      </c>
      <c r="AM33"/>
      <c r="AN33" s="4">
        <f t="shared" si="24"/>
        <v>-1.0900000000000354E-2</v>
      </c>
      <c r="AO33" s="4">
        <f t="shared" si="25"/>
        <v>-2.9500000000002302E-3</v>
      </c>
      <c r="AP33" s="4">
        <f t="shared" si="26"/>
        <v>2.9899999999999594E-2</v>
      </c>
      <c r="AQ33" s="4">
        <f t="shared" si="27"/>
        <v>3.3599999999998964E-2</v>
      </c>
      <c r="AR33" s="4">
        <f t="shared" si="28"/>
        <v>1.6000000000000014E-2</v>
      </c>
      <c r="AS33" s="4">
        <f t="shared" si="29"/>
        <v>0.12199999999999989</v>
      </c>
      <c r="AT33" s="4">
        <f t="shared" si="30"/>
        <v>-2.5549999999999962E-2</v>
      </c>
      <c r="AU33" s="4">
        <f t="shared" si="31"/>
        <v>3.479999999999972E-2</v>
      </c>
      <c r="AV33" s="4">
        <f t="shared" si="32"/>
        <v>7.5149999999999828E-2</v>
      </c>
    </row>
    <row r="34" spans="1:48" x14ac:dyDescent="0.25">
      <c r="A34" s="18">
        <v>34</v>
      </c>
      <c r="B34" s="19">
        <v>43552</v>
      </c>
      <c r="C34" s="20">
        <v>0.43846064814814811</v>
      </c>
      <c r="D34" s="18">
        <v>7.31</v>
      </c>
      <c r="E34" s="18">
        <v>7.19</v>
      </c>
      <c r="F34" s="18">
        <v>7.31</v>
      </c>
      <c r="G34" s="18">
        <v>7.13</v>
      </c>
      <c r="H34" s="18">
        <v>7.06</v>
      </c>
      <c r="I34" s="18">
        <v>7.19</v>
      </c>
      <c r="J34" s="18">
        <v>7.44</v>
      </c>
      <c r="K34" s="18">
        <v>7.38</v>
      </c>
      <c r="L34" s="18">
        <v>6.88</v>
      </c>
      <c r="M34"/>
      <c r="N34" s="4">
        <v>7.24</v>
      </c>
      <c r="O34" s="4">
        <f>N34-'Sonde étalon'!$C$13</f>
        <v>7.41</v>
      </c>
      <c r="P34"/>
      <c r="R34" s="4">
        <f t="shared" si="6"/>
        <v>-0.10000000000000053</v>
      </c>
      <c r="S34" s="4">
        <f t="shared" si="7"/>
        <v>-0.21999999999999975</v>
      </c>
      <c r="T34" s="4">
        <f t="shared" si="8"/>
        <v>-0.10000000000000053</v>
      </c>
      <c r="U34" s="4">
        <f t="shared" si="9"/>
        <v>-0.28000000000000025</v>
      </c>
      <c r="V34" s="4">
        <f t="shared" si="10"/>
        <v>-0.35000000000000053</v>
      </c>
      <c r="W34" s="4">
        <f t="shared" si="11"/>
        <v>-0.21999999999999975</v>
      </c>
      <c r="X34" s="4">
        <f t="shared" si="12"/>
        <v>3.0000000000000249E-2</v>
      </c>
      <c r="Y34" s="4">
        <f t="shared" si="13"/>
        <v>-3.0000000000000249E-2</v>
      </c>
      <c r="Z34" s="4">
        <f t="shared" si="14"/>
        <v>-0.53000000000000025</v>
      </c>
      <c r="AB34"/>
      <c r="AC34" s="4">
        <f t="shared" si="15"/>
        <v>7.4190999999999994</v>
      </c>
      <c r="AD34" s="4">
        <f t="shared" si="16"/>
        <v>7.4270500000000004</v>
      </c>
      <c r="AE34" s="4">
        <f t="shared" si="17"/>
        <v>7.3998999999999997</v>
      </c>
      <c r="AF34" s="4">
        <f t="shared" si="18"/>
        <v>7.4735999999999994</v>
      </c>
      <c r="AG34" s="4">
        <f t="shared" si="19"/>
        <v>7.4459999999999997</v>
      </c>
      <c r="AH34" s="4">
        <f t="shared" si="20"/>
        <v>7.5520000000000005</v>
      </c>
      <c r="AI34" s="4">
        <f t="shared" si="21"/>
        <v>7.4044500000000006</v>
      </c>
      <c r="AJ34" s="4">
        <f t="shared" si="22"/>
        <v>7.4748000000000001</v>
      </c>
      <c r="AK34" s="4">
        <f t="shared" si="23"/>
        <v>7.5151500000000002</v>
      </c>
      <c r="AM34"/>
      <c r="AN34" s="4">
        <f t="shared" si="24"/>
        <v>9.0999999999992198E-3</v>
      </c>
      <c r="AO34" s="4">
        <f t="shared" si="25"/>
        <v>1.7050000000000232E-2</v>
      </c>
      <c r="AP34" s="4">
        <f t="shared" si="26"/>
        <v>-1.0100000000000442E-2</v>
      </c>
      <c r="AQ34" s="4">
        <f t="shared" si="27"/>
        <v>6.3599999999999213E-2</v>
      </c>
      <c r="AR34" s="4">
        <f t="shared" si="28"/>
        <v>3.5999999999999588E-2</v>
      </c>
      <c r="AS34" s="4">
        <f t="shared" si="29"/>
        <v>0.14200000000000035</v>
      </c>
      <c r="AT34" s="4">
        <f t="shared" si="30"/>
        <v>-5.5499999999994998E-3</v>
      </c>
      <c r="AU34" s="4">
        <f t="shared" si="31"/>
        <v>6.4799999999999969E-2</v>
      </c>
      <c r="AV34" s="4">
        <f t="shared" si="32"/>
        <v>0.10515000000000008</v>
      </c>
    </row>
    <row r="35" spans="1:48" x14ac:dyDescent="0.25">
      <c r="A35" s="18">
        <v>35</v>
      </c>
      <c r="B35" s="19">
        <v>43552</v>
      </c>
      <c r="C35" s="20">
        <v>0.43915509259259261</v>
      </c>
      <c r="D35" s="18">
        <v>7.38</v>
      </c>
      <c r="E35" s="18">
        <v>7.19</v>
      </c>
      <c r="F35" s="18">
        <v>7.38</v>
      </c>
      <c r="G35" s="18">
        <v>7.19</v>
      </c>
      <c r="H35" s="18">
        <v>7.06</v>
      </c>
      <c r="I35" s="18">
        <v>7.25</v>
      </c>
      <c r="J35" s="18">
        <v>7.5</v>
      </c>
      <c r="K35" s="18">
        <v>7.44</v>
      </c>
      <c r="L35" s="18">
        <v>6.94</v>
      </c>
      <c r="M35"/>
      <c r="N35" s="4">
        <v>7.3</v>
      </c>
      <c r="O35" s="4">
        <f>N35-'Sonde étalon'!$C$13</f>
        <v>7.47</v>
      </c>
      <c r="P35"/>
      <c r="R35" s="4">
        <f t="shared" si="6"/>
        <v>-8.9999999999999858E-2</v>
      </c>
      <c r="S35" s="4">
        <f t="shared" si="7"/>
        <v>-0.27999999999999936</v>
      </c>
      <c r="T35" s="4">
        <f t="shared" si="8"/>
        <v>-8.9999999999999858E-2</v>
      </c>
      <c r="U35" s="4">
        <f t="shared" si="9"/>
        <v>-0.27999999999999936</v>
      </c>
      <c r="V35" s="4">
        <f t="shared" si="10"/>
        <v>-0.41000000000000014</v>
      </c>
      <c r="W35" s="4">
        <f t="shared" si="11"/>
        <v>-0.21999999999999975</v>
      </c>
      <c r="X35" s="4">
        <f t="shared" si="12"/>
        <v>3.0000000000000249E-2</v>
      </c>
      <c r="Y35" s="4">
        <f t="shared" si="13"/>
        <v>-2.9999999999999361E-2</v>
      </c>
      <c r="Z35" s="4">
        <f t="shared" si="14"/>
        <v>-0.52999999999999936</v>
      </c>
      <c r="AB35"/>
      <c r="AC35" s="4">
        <f t="shared" si="15"/>
        <v>7.4890999999999996</v>
      </c>
      <c r="AD35" s="4">
        <f t="shared" si="16"/>
        <v>7.4270500000000004</v>
      </c>
      <c r="AE35" s="4">
        <f t="shared" si="17"/>
        <v>7.4699</v>
      </c>
      <c r="AF35" s="4">
        <f t="shared" si="18"/>
        <v>7.5335999999999999</v>
      </c>
      <c r="AG35" s="4">
        <f t="shared" si="19"/>
        <v>7.4459999999999997</v>
      </c>
      <c r="AH35" s="4">
        <f t="shared" si="20"/>
        <v>7.6120000000000001</v>
      </c>
      <c r="AI35" s="4">
        <f t="shared" si="21"/>
        <v>7.4644500000000003</v>
      </c>
      <c r="AJ35" s="4">
        <f t="shared" si="22"/>
        <v>7.5348000000000006</v>
      </c>
      <c r="AK35" s="4">
        <f t="shared" si="23"/>
        <v>7.5751500000000007</v>
      </c>
      <c r="AM35"/>
      <c r="AN35" s="4">
        <f t="shared" si="24"/>
        <v>1.9099999999999895E-2</v>
      </c>
      <c r="AO35" s="4">
        <f t="shared" si="25"/>
        <v>-4.2949999999999378E-2</v>
      </c>
      <c r="AP35" s="4">
        <f t="shared" si="26"/>
        <v>-9.9999999999766942E-5</v>
      </c>
      <c r="AQ35" s="4">
        <f t="shared" si="27"/>
        <v>6.3600000000000101E-2</v>
      </c>
      <c r="AR35" s="4">
        <f t="shared" si="28"/>
        <v>-2.4000000000000021E-2</v>
      </c>
      <c r="AS35" s="4">
        <f t="shared" si="29"/>
        <v>0.14200000000000035</v>
      </c>
      <c r="AT35" s="4">
        <f t="shared" si="30"/>
        <v>-5.5499999999994998E-3</v>
      </c>
      <c r="AU35" s="4">
        <f t="shared" si="31"/>
        <v>6.4800000000000857E-2</v>
      </c>
      <c r="AV35" s="4">
        <f t="shared" si="32"/>
        <v>0.10515000000000096</v>
      </c>
    </row>
    <row r="36" spans="1:48" x14ac:dyDescent="0.25">
      <c r="A36" s="18">
        <v>36</v>
      </c>
      <c r="B36" s="19">
        <v>43552</v>
      </c>
      <c r="C36" s="20">
        <v>0.43984953703703705</v>
      </c>
      <c r="D36" s="18">
        <v>7.44</v>
      </c>
      <c r="E36" s="18">
        <v>7.25</v>
      </c>
      <c r="F36" s="18">
        <v>7.44</v>
      </c>
      <c r="G36" s="18">
        <v>7.25</v>
      </c>
      <c r="H36" s="18">
        <v>7.13</v>
      </c>
      <c r="I36" s="18">
        <v>7.31</v>
      </c>
      <c r="J36" s="18">
        <v>7.56</v>
      </c>
      <c r="K36" s="18">
        <v>7.44</v>
      </c>
      <c r="L36" s="18">
        <v>7</v>
      </c>
      <c r="M36"/>
      <c r="N36" s="4">
        <v>7.35</v>
      </c>
      <c r="O36" s="4">
        <f>N36-'Sonde étalon'!$C$13</f>
        <v>7.52</v>
      </c>
      <c r="P36"/>
      <c r="R36" s="4">
        <f t="shared" si="6"/>
        <v>-7.9999999999999183E-2</v>
      </c>
      <c r="S36" s="4">
        <f t="shared" si="7"/>
        <v>-0.26999999999999957</v>
      </c>
      <c r="T36" s="4">
        <f t="shared" si="8"/>
        <v>-7.9999999999999183E-2</v>
      </c>
      <c r="U36" s="4">
        <f t="shared" si="9"/>
        <v>-0.26999999999999957</v>
      </c>
      <c r="V36" s="4">
        <f t="shared" si="10"/>
        <v>-0.38999999999999968</v>
      </c>
      <c r="W36" s="4">
        <f t="shared" si="11"/>
        <v>-0.20999999999999996</v>
      </c>
      <c r="X36" s="4">
        <f t="shared" si="12"/>
        <v>4.0000000000000036E-2</v>
      </c>
      <c r="Y36" s="4">
        <f t="shared" si="13"/>
        <v>-7.9999999999999183E-2</v>
      </c>
      <c r="Z36" s="4">
        <f t="shared" si="14"/>
        <v>-0.51999999999999957</v>
      </c>
      <c r="AB36"/>
      <c r="AC36" s="4">
        <f t="shared" si="15"/>
        <v>7.5491000000000001</v>
      </c>
      <c r="AD36" s="4">
        <f t="shared" si="16"/>
        <v>7.48705</v>
      </c>
      <c r="AE36" s="4">
        <f t="shared" si="17"/>
        <v>7.5299000000000005</v>
      </c>
      <c r="AF36" s="4">
        <f t="shared" si="18"/>
        <v>7.5935999999999995</v>
      </c>
      <c r="AG36" s="4">
        <f t="shared" si="19"/>
        <v>7.516</v>
      </c>
      <c r="AH36" s="4">
        <f t="shared" si="20"/>
        <v>7.6719999999999997</v>
      </c>
      <c r="AI36" s="4">
        <f t="shared" si="21"/>
        <v>7.5244499999999999</v>
      </c>
      <c r="AJ36" s="4">
        <f t="shared" si="22"/>
        <v>7.5348000000000006</v>
      </c>
      <c r="AK36" s="4">
        <f t="shared" si="23"/>
        <v>7.6351500000000003</v>
      </c>
      <c r="AM36"/>
      <c r="AN36" s="4">
        <f t="shared" si="24"/>
        <v>2.910000000000057E-2</v>
      </c>
      <c r="AO36" s="4">
        <f t="shared" si="25"/>
        <v>-3.2949999999999591E-2</v>
      </c>
      <c r="AP36" s="4">
        <f t="shared" si="26"/>
        <v>9.9000000000009081E-3</v>
      </c>
      <c r="AQ36" s="4">
        <f t="shared" si="27"/>
        <v>7.3599999999999888E-2</v>
      </c>
      <c r="AR36" s="4">
        <f t="shared" si="28"/>
        <v>-3.9999999999995595E-3</v>
      </c>
      <c r="AS36" s="4">
        <f t="shared" si="29"/>
        <v>0.15200000000000014</v>
      </c>
      <c r="AT36" s="4">
        <f t="shared" si="30"/>
        <v>4.4500000000002871E-3</v>
      </c>
      <c r="AU36" s="4">
        <f t="shared" si="31"/>
        <v>1.4800000000001035E-2</v>
      </c>
      <c r="AV36" s="4">
        <f t="shared" si="32"/>
        <v>0.11515000000000075</v>
      </c>
    </row>
    <row r="37" spans="1:48" x14ac:dyDescent="0.25">
      <c r="A37" s="18">
        <v>37</v>
      </c>
      <c r="B37" s="19">
        <v>43552</v>
      </c>
      <c r="C37" s="20">
        <v>0.44054398148148149</v>
      </c>
      <c r="D37" s="18">
        <v>7.5</v>
      </c>
      <c r="E37" s="18">
        <v>7.31</v>
      </c>
      <c r="F37" s="18">
        <v>7.5</v>
      </c>
      <c r="G37" s="18">
        <v>7.31</v>
      </c>
      <c r="H37" s="18">
        <v>7.19</v>
      </c>
      <c r="I37" s="18">
        <v>7.38</v>
      </c>
      <c r="J37" s="18">
        <v>7.56</v>
      </c>
      <c r="K37" s="18">
        <v>7.5</v>
      </c>
      <c r="L37" s="18">
        <v>7.06</v>
      </c>
      <c r="M37"/>
      <c r="N37" s="4">
        <v>7.4</v>
      </c>
      <c r="O37" s="4">
        <f>N37-'Sonde étalon'!$C$13</f>
        <v>7.57</v>
      </c>
      <c r="P37"/>
      <c r="R37" s="4">
        <f t="shared" si="6"/>
        <v>-7.0000000000000284E-2</v>
      </c>
      <c r="S37" s="4">
        <f t="shared" si="7"/>
        <v>-0.26000000000000068</v>
      </c>
      <c r="T37" s="4">
        <f t="shared" si="8"/>
        <v>-7.0000000000000284E-2</v>
      </c>
      <c r="U37" s="4">
        <f t="shared" si="9"/>
        <v>-0.26000000000000068</v>
      </c>
      <c r="V37" s="4">
        <f t="shared" si="10"/>
        <v>-0.37999999999999989</v>
      </c>
      <c r="W37" s="4">
        <f t="shared" si="11"/>
        <v>-0.19000000000000039</v>
      </c>
      <c r="X37" s="4">
        <f t="shared" si="12"/>
        <v>-1.0000000000000675E-2</v>
      </c>
      <c r="Y37" s="4">
        <f t="shared" si="13"/>
        <v>-7.0000000000000284E-2</v>
      </c>
      <c r="Z37" s="4">
        <f t="shared" si="14"/>
        <v>-0.51000000000000068</v>
      </c>
      <c r="AB37"/>
      <c r="AC37" s="4">
        <f t="shared" si="15"/>
        <v>7.6090999999999998</v>
      </c>
      <c r="AD37" s="4">
        <f t="shared" si="16"/>
        <v>7.5470499999999996</v>
      </c>
      <c r="AE37" s="4">
        <f t="shared" si="17"/>
        <v>7.5899000000000001</v>
      </c>
      <c r="AF37" s="4">
        <f t="shared" si="18"/>
        <v>7.6535999999999991</v>
      </c>
      <c r="AG37" s="4">
        <f t="shared" si="19"/>
        <v>7.5760000000000005</v>
      </c>
      <c r="AH37" s="4">
        <f t="shared" si="20"/>
        <v>7.742</v>
      </c>
      <c r="AI37" s="4">
        <f t="shared" si="21"/>
        <v>7.5244499999999999</v>
      </c>
      <c r="AJ37" s="4">
        <f t="shared" si="22"/>
        <v>7.5948000000000002</v>
      </c>
      <c r="AK37" s="4">
        <f t="shared" si="23"/>
        <v>7.6951499999999999</v>
      </c>
      <c r="AM37"/>
      <c r="AN37" s="4">
        <f t="shared" si="24"/>
        <v>3.9099999999999469E-2</v>
      </c>
      <c r="AO37" s="4">
        <f t="shared" si="25"/>
        <v>-2.2950000000000692E-2</v>
      </c>
      <c r="AP37" s="4">
        <f t="shared" si="26"/>
        <v>1.9899999999999807E-2</v>
      </c>
      <c r="AQ37" s="4">
        <f t="shared" si="27"/>
        <v>8.3599999999998786E-2</v>
      </c>
      <c r="AR37" s="4">
        <f t="shared" si="28"/>
        <v>6.0000000000002274E-3</v>
      </c>
      <c r="AS37" s="4">
        <f t="shared" si="29"/>
        <v>0.17199999999999971</v>
      </c>
      <c r="AT37" s="4">
        <f t="shared" si="30"/>
        <v>-4.5550000000000423E-2</v>
      </c>
      <c r="AU37" s="4">
        <f t="shared" si="31"/>
        <v>2.4799999999999933E-2</v>
      </c>
      <c r="AV37" s="4">
        <f t="shared" si="32"/>
        <v>0.12514999999999965</v>
      </c>
    </row>
    <row r="38" spans="1:48" x14ac:dyDescent="0.25">
      <c r="A38" s="18">
        <v>38</v>
      </c>
      <c r="B38" s="19">
        <v>43552</v>
      </c>
      <c r="C38" s="20">
        <v>0.44123842592592594</v>
      </c>
      <c r="D38" s="18">
        <v>7.56</v>
      </c>
      <c r="E38" s="18">
        <v>7.38</v>
      </c>
      <c r="F38" s="18">
        <v>7.56</v>
      </c>
      <c r="G38" s="18">
        <v>7.38</v>
      </c>
      <c r="H38" s="18">
        <v>7.25</v>
      </c>
      <c r="I38" s="18">
        <v>7.44</v>
      </c>
      <c r="J38" s="18">
        <v>7.63</v>
      </c>
      <c r="K38" s="18">
        <v>7.56</v>
      </c>
      <c r="L38" s="18">
        <v>7.06</v>
      </c>
      <c r="M38"/>
      <c r="N38" s="4">
        <v>7.45</v>
      </c>
      <c r="O38" s="4">
        <f>N38-'Sonde étalon'!$C$13</f>
        <v>7.62</v>
      </c>
      <c r="P38"/>
      <c r="R38" s="4">
        <f t="shared" ref="R38:R69" si="33">D38-O38</f>
        <v>-6.0000000000000497E-2</v>
      </c>
      <c r="S38" s="4">
        <f t="shared" ref="S38:S69" si="34">E38-O38</f>
        <v>-0.24000000000000021</v>
      </c>
      <c r="T38" s="4">
        <f t="shared" ref="T38:T69" si="35">F38-O38</f>
        <v>-6.0000000000000497E-2</v>
      </c>
      <c r="U38" s="4">
        <f t="shared" ref="U38:U69" si="36">G38-O38</f>
        <v>-0.24000000000000021</v>
      </c>
      <c r="V38" s="4">
        <f t="shared" ref="V38:V69" si="37">H38-O38</f>
        <v>-0.37000000000000011</v>
      </c>
      <c r="W38" s="4">
        <f t="shared" ref="W38:W69" si="38">I38-O38</f>
        <v>-0.17999999999999972</v>
      </c>
      <c r="X38" s="4">
        <f t="shared" ref="X38:X69" si="39">J38-O38</f>
        <v>9.9999999999997868E-3</v>
      </c>
      <c r="Y38" s="4">
        <f t="shared" ref="Y38:Y69" si="40">K38-O38</f>
        <v>-6.0000000000000497E-2</v>
      </c>
      <c r="Z38" s="4">
        <f t="shared" ref="Z38:Z69" si="41">L38-O38</f>
        <v>-0.5600000000000005</v>
      </c>
      <c r="AB38"/>
      <c r="AC38" s="4">
        <f t="shared" si="15"/>
        <v>7.6690999999999994</v>
      </c>
      <c r="AD38" s="4">
        <f t="shared" si="16"/>
        <v>7.6170499999999999</v>
      </c>
      <c r="AE38" s="4">
        <f t="shared" si="17"/>
        <v>7.6498999999999997</v>
      </c>
      <c r="AF38" s="4">
        <f t="shared" si="18"/>
        <v>7.7235999999999994</v>
      </c>
      <c r="AG38" s="4">
        <f t="shared" si="19"/>
        <v>7.6360000000000001</v>
      </c>
      <c r="AH38" s="4">
        <f t="shared" si="20"/>
        <v>7.8020000000000005</v>
      </c>
      <c r="AI38" s="4">
        <f t="shared" si="21"/>
        <v>7.5944500000000001</v>
      </c>
      <c r="AJ38" s="4">
        <f t="shared" si="22"/>
        <v>7.6547999999999998</v>
      </c>
      <c r="AK38" s="4">
        <f t="shared" si="23"/>
        <v>7.6951499999999999</v>
      </c>
      <c r="AM38"/>
      <c r="AN38" s="4">
        <f t="shared" si="24"/>
        <v>4.9099999999999255E-2</v>
      </c>
      <c r="AO38" s="4">
        <f t="shared" si="25"/>
        <v>-2.9500000000002302E-3</v>
      </c>
      <c r="AP38" s="4">
        <f t="shared" si="26"/>
        <v>2.9899999999999594E-2</v>
      </c>
      <c r="AQ38" s="4">
        <f t="shared" si="27"/>
        <v>0.10359999999999925</v>
      </c>
      <c r="AR38" s="4">
        <f t="shared" si="28"/>
        <v>1.6000000000000014E-2</v>
      </c>
      <c r="AS38" s="4">
        <f t="shared" si="29"/>
        <v>0.18200000000000038</v>
      </c>
      <c r="AT38" s="4">
        <f t="shared" si="30"/>
        <v>-2.5549999999999962E-2</v>
      </c>
      <c r="AU38" s="4">
        <f t="shared" si="31"/>
        <v>3.479999999999972E-2</v>
      </c>
      <c r="AV38" s="4">
        <f t="shared" si="32"/>
        <v>7.5149999999999828E-2</v>
      </c>
    </row>
    <row r="39" spans="1:48" x14ac:dyDescent="0.25">
      <c r="A39" s="18">
        <v>39</v>
      </c>
      <c r="B39" s="19">
        <v>43552</v>
      </c>
      <c r="C39" s="20">
        <v>0.44193287037037038</v>
      </c>
      <c r="D39" s="18">
        <v>7.56</v>
      </c>
      <c r="E39" s="18">
        <v>7.44</v>
      </c>
      <c r="F39" s="18">
        <v>7.63</v>
      </c>
      <c r="G39" s="18">
        <v>7.44</v>
      </c>
      <c r="H39" s="18">
        <v>7.31</v>
      </c>
      <c r="I39" s="18">
        <v>7.5</v>
      </c>
      <c r="J39" s="18">
        <v>7.69</v>
      </c>
      <c r="K39" s="18">
        <v>7.63</v>
      </c>
      <c r="L39" s="18">
        <v>7.19</v>
      </c>
      <c r="M39"/>
      <c r="N39" s="4">
        <v>7.51</v>
      </c>
      <c r="O39" s="4">
        <f>N39-'Sonde étalon'!$C$13</f>
        <v>7.68</v>
      </c>
      <c r="P39"/>
      <c r="R39" s="4">
        <f t="shared" si="33"/>
        <v>-0.12000000000000011</v>
      </c>
      <c r="S39" s="4">
        <f t="shared" si="34"/>
        <v>-0.23999999999999932</v>
      </c>
      <c r="T39" s="4">
        <f t="shared" si="35"/>
        <v>-4.9999999999999822E-2</v>
      </c>
      <c r="U39" s="4">
        <f t="shared" si="36"/>
        <v>-0.23999999999999932</v>
      </c>
      <c r="V39" s="4">
        <f t="shared" si="37"/>
        <v>-0.37000000000000011</v>
      </c>
      <c r="W39" s="4">
        <f t="shared" si="38"/>
        <v>-0.17999999999999972</v>
      </c>
      <c r="X39" s="4">
        <f t="shared" si="39"/>
        <v>1.0000000000000675E-2</v>
      </c>
      <c r="Y39" s="4">
        <f t="shared" si="40"/>
        <v>-4.9999999999999822E-2</v>
      </c>
      <c r="Z39" s="4">
        <f t="shared" si="41"/>
        <v>-0.48999999999999932</v>
      </c>
      <c r="AB39"/>
      <c r="AC39" s="4">
        <f t="shared" si="15"/>
        <v>7.6690999999999994</v>
      </c>
      <c r="AD39" s="4">
        <f t="shared" si="16"/>
        <v>7.6770500000000004</v>
      </c>
      <c r="AE39" s="4">
        <f t="shared" si="17"/>
        <v>7.7199</v>
      </c>
      <c r="AF39" s="4">
        <f t="shared" si="18"/>
        <v>7.7835999999999999</v>
      </c>
      <c r="AG39" s="4">
        <f t="shared" si="19"/>
        <v>7.6959999999999997</v>
      </c>
      <c r="AH39" s="4">
        <f t="shared" si="20"/>
        <v>7.8620000000000001</v>
      </c>
      <c r="AI39" s="4">
        <f t="shared" si="21"/>
        <v>7.6544500000000006</v>
      </c>
      <c r="AJ39" s="4">
        <f t="shared" si="22"/>
        <v>7.7248000000000001</v>
      </c>
      <c r="AK39" s="4">
        <f t="shared" si="23"/>
        <v>7.8251500000000007</v>
      </c>
      <c r="AM39"/>
      <c r="AN39" s="4">
        <f t="shared" si="24"/>
        <v>-1.0900000000000354E-2</v>
      </c>
      <c r="AO39" s="4">
        <f t="shared" si="25"/>
        <v>-2.949999999999342E-3</v>
      </c>
      <c r="AP39" s="4">
        <f t="shared" si="26"/>
        <v>3.9900000000000269E-2</v>
      </c>
      <c r="AQ39" s="4">
        <f t="shared" si="27"/>
        <v>0.10360000000000014</v>
      </c>
      <c r="AR39" s="4">
        <f t="shared" si="28"/>
        <v>1.6000000000000014E-2</v>
      </c>
      <c r="AS39" s="4">
        <f t="shared" si="29"/>
        <v>0.18200000000000038</v>
      </c>
      <c r="AT39" s="4">
        <f t="shared" si="30"/>
        <v>-2.5549999999999073E-2</v>
      </c>
      <c r="AU39" s="4">
        <f t="shared" si="31"/>
        <v>4.4800000000000395E-2</v>
      </c>
      <c r="AV39" s="4">
        <f t="shared" si="32"/>
        <v>0.145150000000001</v>
      </c>
    </row>
    <row r="40" spans="1:48" x14ac:dyDescent="0.25">
      <c r="A40" s="18">
        <v>40</v>
      </c>
      <c r="B40" s="19">
        <v>43552</v>
      </c>
      <c r="C40" s="20">
        <v>0.44262731481481482</v>
      </c>
      <c r="D40" s="18">
        <v>7.63</v>
      </c>
      <c r="E40" s="18">
        <v>7.5</v>
      </c>
      <c r="F40" s="18">
        <v>7.69</v>
      </c>
      <c r="G40" s="18">
        <v>7.5</v>
      </c>
      <c r="H40" s="18">
        <v>7.38</v>
      </c>
      <c r="I40" s="18">
        <v>7.56</v>
      </c>
      <c r="J40" s="18">
        <v>7.75</v>
      </c>
      <c r="K40" s="18">
        <v>7.69</v>
      </c>
      <c r="L40" s="18">
        <v>7.25</v>
      </c>
      <c r="M40"/>
      <c r="N40" s="4">
        <v>7.58</v>
      </c>
      <c r="O40" s="4">
        <f>N40-'Sonde étalon'!$C$13</f>
        <v>7.75</v>
      </c>
      <c r="P40"/>
      <c r="R40" s="4">
        <f t="shared" si="33"/>
        <v>-0.12000000000000011</v>
      </c>
      <c r="S40" s="4">
        <f t="shared" si="34"/>
        <v>-0.25</v>
      </c>
      <c r="T40" s="4">
        <f t="shared" si="35"/>
        <v>-5.9999999999999609E-2</v>
      </c>
      <c r="U40" s="4">
        <f t="shared" si="36"/>
        <v>-0.25</v>
      </c>
      <c r="V40" s="4">
        <f t="shared" si="37"/>
        <v>-0.37000000000000011</v>
      </c>
      <c r="W40" s="4">
        <f t="shared" si="38"/>
        <v>-0.19000000000000039</v>
      </c>
      <c r="X40" s="4">
        <f t="shared" si="39"/>
        <v>0</v>
      </c>
      <c r="Y40" s="4">
        <f t="shared" si="40"/>
        <v>-5.9999999999999609E-2</v>
      </c>
      <c r="Z40" s="4">
        <f t="shared" si="41"/>
        <v>-0.5</v>
      </c>
      <c r="AB40"/>
      <c r="AC40" s="4">
        <f t="shared" si="15"/>
        <v>7.7390999999999996</v>
      </c>
      <c r="AD40" s="4">
        <f t="shared" si="16"/>
        <v>7.73705</v>
      </c>
      <c r="AE40" s="4">
        <f t="shared" si="17"/>
        <v>7.7799000000000005</v>
      </c>
      <c r="AF40" s="4">
        <f t="shared" si="18"/>
        <v>7.8435999999999995</v>
      </c>
      <c r="AG40" s="4">
        <f t="shared" si="19"/>
        <v>7.766</v>
      </c>
      <c r="AH40" s="4">
        <f t="shared" si="20"/>
        <v>7.9219999999999997</v>
      </c>
      <c r="AI40" s="4">
        <f t="shared" si="21"/>
        <v>7.7144500000000003</v>
      </c>
      <c r="AJ40" s="4">
        <f t="shared" si="22"/>
        <v>7.7848000000000006</v>
      </c>
      <c r="AK40" s="4">
        <f t="shared" si="23"/>
        <v>7.8851500000000003</v>
      </c>
      <c r="AM40"/>
      <c r="AN40" s="4">
        <f t="shared" si="24"/>
        <v>-1.0900000000000354E-2</v>
      </c>
      <c r="AO40" s="4">
        <f t="shared" si="25"/>
        <v>-1.2950000000000017E-2</v>
      </c>
      <c r="AP40" s="4">
        <f t="shared" si="26"/>
        <v>2.9900000000000482E-2</v>
      </c>
      <c r="AQ40" s="4">
        <f t="shared" si="27"/>
        <v>9.3599999999999461E-2</v>
      </c>
      <c r="AR40" s="4">
        <f t="shared" si="28"/>
        <v>1.6000000000000014E-2</v>
      </c>
      <c r="AS40" s="4">
        <f t="shared" si="29"/>
        <v>0.17199999999999971</v>
      </c>
      <c r="AT40" s="4">
        <f t="shared" si="30"/>
        <v>-3.5549999999999748E-2</v>
      </c>
      <c r="AU40" s="4">
        <f t="shared" si="31"/>
        <v>3.4800000000000608E-2</v>
      </c>
      <c r="AV40" s="4">
        <f t="shared" si="32"/>
        <v>0.13515000000000033</v>
      </c>
    </row>
    <row r="41" spans="1:48" x14ac:dyDescent="0.25">
      <c r="A41" s="18">
        <v>41</v>
      </c>
      <c r="B41" s="19">
        <v>43552</v>
      </c>
      <c r="C41" s="20">
        <v>0.44332175925925926</v>
      </c>
      <c r="D41" s="18">
        <v>7.69</v>
      </c>
      <c r="E41" s="18">
        <v>7.5</v>
      </c>
      <c r="F41" s="18">
        <v>7.75</v>
      </c>
      <c r="G41" s="18">
        <v>7.56</v>
      </c>
      <c r="H41" s="18">
        <v>7.44</v>
      </c>
      <c r="I41" s="18">
        <v>7.63</v>
      </c>
      <c r="J41" s="18">
        <v>7.81</v>
      </c>
      <c r="K41" s="18">
        <v>7.75</v>
      </c>
      <c r="L41" s="18">
        <v>7.25</v>
      </c>
      <c r="M41"/>
      <c r="N41" s="4">
        <v>7.64</v>
      </c>
      <c r="O41" s="4">
        <f>N41-'Sonde étalon'!$C$13</f>
        <v>7.81</v>
      </c>
      <c r="P41"/>
      <c r="R41" s="4">
        <f t="shared" si="33"/>
        <v>-0.11999999999999922</v>
      </c>
      <c r="S41" s="4">
        <f t="shared" si="34"/>
        <v>-0.30999999999999961</v>
      </c>
      <c r="T41" s="4">
        <f t="shared" si="35"/>
        <v>-5.9999999999999609E-2</v>
      </c>
      <c r="U41" s="4">
        <f t="shared" si="36"/>
        <v>-0.25</v>
      </c>
      <c r="V41" s="4">
        <f t="shared" si="37"/>
        <v>-0.36999999999999922</v>
      </c>
      <c r="W41" s="4">
        <f t="shared" si="38"/>
        <v>-0.17999999999999972</v>
      </c>
      <c r="X41" s="4">
        <f t="shared" si="39"/>
        <v>0</v>
      </c>
      <c r="Y41" s="4">
        <f t="shared" si="40"/>
        <v>-5.9999999999999609E-2</v>
      </c>
      <c r="Z41" s="4">
        <f t="shared" si="41"/>
        <v>-0.55999999999999961</v>
      </c>
      <c r="AB41"/>
      <c r="AC41" s="4">
        <f t="shared" si="15"/>
        <v>7.7991000000000001</v>
      </c>
      <c r="AD41" s="4">
        <f t="shared" si="16"/>
        <v>7.73705</v>
      </c>
      <c r="AE41" s="4">
        <f t="shared" si="17"/>
        <v>7.8399000000000001</v>
      </c>
      <c r="AF41" s="4">
        <f t="shared" si="18"/>
        <v>7.9035999999999991</v>
      </c>
      <c r="AG41" s="4">
        <f t="shared" si="19"/>
        <v>7.8260000000000005</v>
      </c>
      <c r="AH41" s="4">
        <f t="shared" si="20"/>
        <v>7.992</v>
      </c>
      <c r="AI41" s="4">
        <f t="shared" si="21"/>
        <v>7.7744499999999999</v>
      </c>
      <c r="AJ41" s="4">
        <f t="shared" si="22"/>
        <v>7.8448000000000002</v>
      </c>
      <c r="AK41" s="4">
        <f t="shared" si="23"/>
        <v>7.8851500000000003</v>
      </c>
      <c r="AM41"/>
      <c r="AN41" s="4">
        <f t="shared" si="24"/>
        <v>-1.0899999999999466E-2</v>
      </c>
      <c r="AO41" s="4">
        <f t="shared" si="25"/>
        <v>-7.2949999999999626E-2</v>
      </c>
      <c r="AP41" s="4">
        <f t="shared" si="26"/>
        <v>2.9900000000000482E-2</v>
      </c>
      <c r="AQ41" s="4">
        <f t="shared" si="27"/>
        <v>9.3599999999999461E-2</v>
      </c>
      <c r="AR41" s="4">
        <f t="shared" si="28"/>
        <v>1.6000000000000902E-2</v>
      </c>
      <c r="AS41" s="4">
        <f t="shared" si="29"/>
        <v>0.18200000000000038</v>
      </c>
      <c r="AT41" s="4">
        <f t="shared" si="30"/>
        <v>-3.5549999999999748E-2</v>
      </c>
      <c r="AU41" s="4">
        <f t="shared" si="31"/>
        <v>3.4800000000000608E-2</v>
      </c>
      <c r="AV41" s="4">
        <f t="shared" si="32"/>
        <v>7.5150000000000716E-2</v>
      </c>
    </row>
    <row r="42" spans="1:48" x14ac:dyDescent="0.25">
      <c r="A42" s="18">
        <v>42</v>
      </c>
      <c r="B42" s="19">
        <v>43552</v>
      </c>
      <c r="C42" s="20">
        <v>0.4440162037037037</v>
      </c>
      <c r="D42" s="18">
        <v>7.75</v>
      </c>
      <c r="E42" s="18">
        <v>7.56</v>
      </c>
      <c r="F42" s="18">
        <v>7.75</v>
      </c>
      <c r="G42" s="18">
        <v>7.63</v>
      </c>
      <c r="H42" s="18">
        <v>7.44</v>
      </c>
      <c r="I42" s="18">
        <v>7.69</v>
      </c>
      <c r="J42" s="18">
        <v>7.88</v>
      </c>
      <c r="K42" s="18">
        <v>7.81</v>
      </c>
      <c r="L42" s="18">
        <v>7.31</v>
      </c>
      <c r="M42"/>
      <c r="N42" s="4">
        <v>7.7</v>
      </c>
      <c r="O42" s="4">
        <f>N42-'Sonde étalon'!$C$13</f>
        <v>7.87</v>
      </c>
      <c r="P42"/>
      <c r="R42" s="4">
        <f t="shared" si="33"/>
        <v>-0.12000000000000011</v>
      </c>
      <c r="S42" s="4">
        <f t="shared" si="34"/>
        <v>-0.3100000000000005</v>
      </c>
      <c r="T42" s="4">
        <f t="shared" si="35"/>
        <v>-0.12000000000000011</v>
      </c>
      <c r="U42" s="4">
        <f t="shared" si="36"/>
        <v>-0.24000000000000021</v>
      </c>
      <c r="V42" s="4">
        <f t="shared" si="37"/>
        <v>-0.42999999999999972</v>
      </c>
      <c r="W42" s="4">
        <f t="shared" si="38"/>
        <v>-0.17999999999999972</v>
      </c>
      <c r="X42" s="4">
        <f t="shared" si="39"/>
        <v>9.9999999999997868E-3</v>
      </c>
      <c r="Y42" s="4">
        <f t="shared" si="40"/>
        <v>-6.0000000000000497E-2</v>
      </c>
      <c r="Z42" s="4">
        <f t="shared" si="41"/>
        <v>-0.5600000000000005</v>
      </c>
      <c r="AB42"/>
      <c r="AC42" s="4">
        <f t="shared" si="15"/>
        <v>7.8590999999999998</v>
      </c>
      <c r="AD42" s="4">
        <f t="shared" si="16"/>
        <v>7.7970499999999996</v>
      </c>
      <c r="AE42" s="4">
        <f t="shared" si="17"/>
        <v>7.8399000000000001</v>
      </c>
      <c r="AF42" s="4">
        <f t="shared" si="18"/>
        <v>7.9735999999999994</v>
      </c>
      <c r="AG42" s="4">
        <f t="shared" si="19"/>
        <v>7.8260000000000005</v>
      </c>
      <c r="AH42" s="4">
        <f t="shared" si="20"/>
        <v>8.0519999999999996</v>
      </c>
      <c r="AI42" s="4">
        <f t="shared" si="21"/>
        <v>7.8444500000000001</v>
      </c>
      <c r="AJ42" s="4">
        <f t="shared" si="22"/>
        <v>7.9047999999999998</v>
      </c>
      <c r="AK42" s="4">
        <f t="shared" si="23"/>
        <v>7.9451499999999999</v>
      </c>
      <c r="AM42"/>
      <c r="AN42" s="4">
        <f t="shared" si="24"/>
        <v>-1.0900000000000354E-2</v>
      </c>
      <c r="AO42" s="4">
        <f t="shared" si="25"/>
        <v>-7.2950000000000514E-2</v>
      </c>
      <c r="AP42" s="4">
        <f t="shared" si="26"/>
        <v>-3.0100000000000016E-2</v>
      </c>
      <c r="AQ42" s="4">
        <f t="shared" si="27"/>
        <v>0.10359999999999925</v>
      </c>
      <c r="AR42" s="4">
        <f t="shared" si="28"/>
        <v>-4.3999999999999595E-2</v>
      </c>
      <c r="AS42" s="4">
        <f t="shared" si="29"/>
        <v>0.1819999999999995</v>
      </c>
      <c r="AT42" s="4">
        <f t="shared" si="30"/>
        <v>-2.5549999999999962E-2</v>
      </c>
      <c r="AU42" s="4">
        <f t="shared" si="31"/>
        <v>3.479999999999972E-2</v>
      </c>
      <c r="AV42" s="4">
        <f t="shared" si="32"/>
        <v>7.5149999999999828E-2</v>
      </c>
    </row>
    <row r="43" spans="1:48" x14ac:dyDescent="0.25">
      <c r="A43" s="18">
        <v>43</v>
      </c>
      <c r="B43" s="19">
        <v>43552</v>
      </c>
      <c r="C43" s="20">
        <v>0.44471064814814815</v>
      </c>
      <c r="D43" s="18">
        <v>7.81</v>
      </c>
      <c r="E43" s="18">
        <v>7.63</v>
      </c>
      <c r="F43" s="18">
        <v>7.81</v>
      </c>
      <c r="G43" s="18">
        <v>7.69</v>
      </c>
      <c r="H43" s="18">
        <v>7.56</v>
      </c>
      <c r="I43" s="18">
        <v>7.75</v>
      </c>
      <c r="J43" s="18">
        <v>7.94</v>
      </c>
      <c r="K43" s="18">
        <v>7.88</v>
      </c>
      <c r="L43" s="18">
        <v>7.38</v>
      </c>
      <c r="M43"/>
      <c r="N43" s="4">
        <v>7.75</v>
      </c>
      <c r="O43" s="4">
        <f>N43-'Sonde étalon'!$C$13</f>
        <v>7.92</v>
      </c>
      <c r="P43"/>
      <c r="R43" s="4">
        <f t="shared" si="33"/>
        <v>-0.11000000000000032</v>
      </c>
      <c r="S43" s="4">
        <f t="shared" si="34"/>
        <v>-0.29000000000000004</v>
      </c>
      <c r="T43" s="4">
        <f t="shared" si="35"/>
        <v>-0.11000000000000032</v>
      </c>
      <c r="U43" s="4">
        <f t="shared" si="36"/>
        <v>-0.22999999999999954</v>
      </c>
      <c r="V43" s="4">
        <f t="shared" si="37"/>
        <v>-0.36000000000000032</v>
      </c>
      <c r="W43" s="4">
        <f t="shared" si="38"/>
        <v>-0.16999999999999993</v>
      </c>
      <c r="X43" s="4">
        <f t="shared" si="39"/>
        <v>2.0000000000000462E-2</v>
      </c>
      <c r="Y43" s="4">
        <f t="shared" si="40"/>
        <v>-4.0000000000000036E-2</v>
      </c>
      <c r="Z43" s="4">
        <f t="shared" si="41"/>
        <v>-0.54</v>
      </c>
      <c r="AB43"/>
      <c r="AC43" s="4">
        <f t="shared" si="15"/>
        <v>7.9190999999999994</v>
      </c>
      <c r="AD43" s="4">
        <f t="shared" si="16"/>
        <v>7.8670499999999999</v>
      </c>
      <c r="AE43" s="4">
        <f t="shared" si="17"/>
        <v>7.8998999999999997</v>
      </c>
      <c r="AF43" s="4">
        <f t="shared" si="18"/>
        <v>8.0335999999999999</v>
      </c>
      <c r="AG43" s="4">
        <f t="shared" si="19"/>
        <v>7.9459999999999997</v>
      </c>
      <c r="AH43" s="4">
        <f t="shared" si="20"/>
        <v>8.1120000000000001</v>
      </c>
      <c r="AI43" s="4">
        <f t="shared" si="21"/>
        <v>7.9044500000000006</v>
      </c>
      <c r="AJ43" s="4">
        <f t="shared" si="22"/>
        <v>7.9748000000000001</v>
      </c>
      <c r="AK43" s="4">
        <f t="shared" si="23"/>
        <v>8.0151500000000002</v>
      </c>
      <c r="AM43"/>
      <c r="AN43" s="4">
        <f t="shared" si="24"/>
        <v>-9.0000000000056701E-4</v>
      </c>
      <c r="AO43" s="4">
        <f t="shared" si="25"/>
        <v>-5.2950000000000053E-2</v>
      </c>
      <c r="AP43" s="4">
        <f t="shared" si="26"/>
        <v>-2.0100000000000229E-2</v>
      </c>
      <c r="AQ43" s="4">
        <f t="shared" si="27"/>
        <v>0.11359999999999992</v>
      </c>
      <c r="AR43" s="4">
        <f t="shared" si="28"/>
        <v>2.5999999999999801E-2</v>
      </c>
      <c r="AS43" s="4">
        <f t="shared" si="29"/>
        <v>0.19200000000000017</v>
      </c>
      <c r="AT43" s="4">
        <f t="shared" si="30"/>
        <v>-1.5549999999999287E-2</v>
      </c>
      <c r="AU43" s="4">
        <f t="shared" si="31"/>
        <v>5.4800000000000182E-2</v>
      </c>
      <c r="AV43" s="4">
        <f t="shared" si="32"/>
        <v>9.515000000000029E-2</v>
      </c>
    </row>
    <row r="44" spans="1:48" x14ac:dyDescent="0.25">
      <c r="A44" s="18">
        <v>44</v>
      </c>
      <c r="B44" s="19">
        <v>43552</v>
      </c>
      <c r="C44" s="20">
        <v>0.44540509259259259</v>
      </c>
      <c r="D44" s="18">
        <v>7.88</v>
      </c>
      <c r="E44" s="18">
        <v>7.69</v>
      </c>
      <c r="F44" s="18">
        <v>7.88</v>
      </c>
      <c r="G44" s="18">
        <v>7.75</v>
      </c>
      <c r="H44" s="18">
        <v>7.56</v>
      </c>
      <c r="I44" s="18">
        <v>7.75</v>
      </c>
      <c r="J44" s="18">
        <v>8</v>
      </c>
      <c r="K44" s="18">
        <v>7.94</v>
      </c>
      <c r="L44" s="18">
        <v>7.44</v>
      </c>
      <c r="M44"/>
      <c r="N44" s="4">
        <v>7.81</v>
      </c>
      <c r="O44" s="4">
        <f>N44-'Sonde étalon'!$C$13</f>
        <v>7.9799999999999995</v>
      </c>
      <c r="P44"/>
      <c r="R44" s="4">
        <f t="shared" si="33"/>
        <v>-9.9999999999999645E-2</v>
      </c>
      <c r="S44" s="4">
        <f t="shared" si="34"/>
        <v>-0.28999999999999915</v>
      </c>
      <c r="T44" s="4">
        <f t="shared" si="35"/>
        <v>-9.9999999999999645E-2</v>
      </c>
      <c r="U44" s="4">
        <f t="shared" si="36"/>
        <v>-0.22999999999999954</v>
      </c>
      <c r="V44" s="4">
        <f t="shared" si="37"/>
        <v>-0.41999999999999993</v>
      </c>
      <c r="W44" s="4">
        <f t="shared" si="38"/>
        <v>-0.22999999999999954</v>
      </c>
      <c r="X44" s="4">
        <f t="shared" si="39"/>
        <v>2.0000000000000462E-2</v>
      </c>
      <c r="Y44" s="4">
        <f t="shared" si="40"/>
        <v>-3.9999999999999147E-2</v>
      </c>
      <c r="Z44" s="4">
        <f t="shared" si="41"/>
        <v>-0.53999999999999915</v>
      </c>
      <c r="AB44"/>
      <c r="AC44" s="4">
        <f t="shared" si="15"/>
        <v>7.9890999999999996</v>
      </c>
      <c r="AD44" s="4">
        <f t="shared" si="16"/>
        <v>7.9270500000000004</v>
      </c>
      <c r="AE44" s="4">
        <f t="shared" si="17"/>
        <v>7.9699</v>
      </c>
      <c r="AF44" s="4">
        <f t="shared" si="18"/>
        <v>8.0936000000000003</v>
      </c>
      <c r="AG44" s="4">
        <f t="shared" si="19"/>
        <v>7.9459999999999997</v>
      </c>
      <c r="AH44" s="4">
        <f t="shared" si="20"/>
        <v>8.1120000000000001</v>
      </c>
      <c r="AI44" s="4">
        <f t="shared" si="21"/>
        <v>7.9644500000000003</v>
      </c>
      <c r="AJ44" s="4">
        <f t="shared" si="22"/>
        <v>8.0348000000000006</v>
      </c>
      <c r="AK44" s="4">
        <f t="shared" si="23"/>
        <v>8.0751500000000007</v>
      </c>
      <c r="AM44"/>
      <c r="AN44" s="4">
        <f t="shared" si="24"/>
        <v>9.100000000000108E-3</v>
      </c>
      <c r="AO44" s="4">
        <f t="shared" si="25"/>
        <v>-5.2949999999999164E-2</v>
      </c>
      <c r="AP44" s="4">
        <f t="shared" si="26"/>
        <v>-1.0099999999999554E-2</v>
      </c>
      <c r="AQ44" s="4">
        <f t="shared" si="27"/>
        <v>0.11360000000000081</v>
      </c>
      <c r="AR44" s="4">
        <f t="shared" si="28"/>
        <v>-3.3999999999999808E-2</v>
      </c>
      <c r="AS44" s="4">
        <f t="shared" si="29"/>
        <v>0.13200000000000056</v>
      </c>
      <c r="AT44" s="4">
        <f t="shared" si="30"/>
        <v>-1.5549999999999287E-2</v>
      </c>
      <c r="AU44" s="4">
        <f t="shared" si="31"/>
        <v>5.480000000000107E-2</v>
      </c>
      <c r="AV44" s="4">
        <f t="shared" si="32"/>
        <v>9.5150000000001178E-2</v>
      </c>
    </row>
    <row r="45" spans="1:48" x14ac:dyDescent="0.25">
      <c r="A45" s="18">
        <v>45</v>
      </c>
      <c r="B45" s="19">
        <v>43552</v>
      </c>
      <c r="C45" s="20">
        <v>0.44609953703703703</v>
      </c>
      <c r="D45" s="18">
        <v>7.94</v>
      </c>
      <c r="E45" s="18">
        <v>7.75</v>
      </c>
      <c r="F45" s="18">
        <v>7.94</v>
      </c>
      <c r="G45" s="18">
        <v>7.75</v>
      </c>
      <c r="H45" s="18">
        <v>7.63</v>
      </c>
      <c r="I45" s="18">
        <v>7.88</v>
      </c>
      <c r="J45" s="18">
        <v>8</v>
      </c>
      <c r="K45" s="18">
        <v>7.94</v>
      </c>
      <c r="L45" s="18">
        <v>7.5</v>
      </c>
      <c r="M45"/>
      <c r="N45" s="4">
        <v>7.87</v>
      </c>
      <c r="O45" s="4">
        <f>N45-'Sonde étalon'!$C$13</f>
        <v>8.0400000000000009</v>
      </c>
      <c r="P45"/>
      <c r="R45" s="4">
        <f t="shared" si="33"/>
        <v>-0.10000000000000053</v>
      </c>
      <c r="S45" s="4">
        <f t="shared" si="34"/>
        <v>-0.29000000000000092</v>
      </c>
      <c r="T45" s="4">
        <f t="shared" si="35"/>
        <v>-0.10000000000000053</v>
      </c>
      <c r="U45" s="4">
        <f t="shared" si="36"/>
        <v>-0.29000000000000092</v>
      </c>
      <c r="V45" s="4">
        <f t="shared" si="37"/>
        <v>-0.41000000000000103</v>
      </c>
      <c r="W45" s="4">
        <f t="shared" si="38"/>
        <v>-0.16000000000000103</v>
      </c>
      <c r="X45" s="4">
        <f t="shared" si="39"/>
        <v>-4.0000000000000924E-2</v>
      </c>
      <c r="Y45" s="4">
        <f t="shared" si="40"/>
        <v>-0.10000000000000053</v>
      </c>
      <c r="Z45" s="4">
        <f t="shared" si="41"/>
        <v>-0.54000000000000092</v>
      </c>
      <c r="AB45"/>
      <c r="AC45" s="4">
        <f t="shared" si="15"/>
        <v>8.049100000000001</v>
      </c>
      <c r="AD45" s="4">
        <f t="shared" si="16"/>
        <v>7.98705</v>
      </c>
      <c r="AE45" s="4">
        <f t="shared" si="17"/>
        <v>8.0298999999999996</v>
      </c>
      <c r="AF45" s="4">
        <f t="shared" si="18"/>
        <v>8.0936000000000003</v>
      </c>
      <c r="AG45" s="4">
        <f t="shared" si="19"/>
        <v>8.016</v>
      </c>
      <c r="AH45" s="4">
        <f t="shared" si="20"/>
        <v>8.2419999999999991</v>
      </c>
      <c r="AI45" s="4">
        <f t="shared" si="21"/>
        <v>7.9644500000000003</v>
      </c>
      <c r="AJ45" s="4">
        <f t="shared" si="22"/>
        <v>8.0348000000000006</v>
      </c>
      <c r="AK45" s="4">
        <f t="shared" si="23"/>
        <v>8.1351499999999994</v>
      </c>
      <c r="AM45"/>
      <c r="AN45" s="4">
        <f t="shared" si="24"/>
        <v>9.100000000000108E-3</v>
      </c>
      <c r="AO45" s="4">
        <f t="shared" si="25"/>
        <v>-5.2950000000000941E-2</v>
      </c>
      <c r="AP45" s="4">
        <f t="shared" si="26"/>
        <v>-1.010000000000133E-2</v>
      </c>
      <c r="AQ45" s="4">
        <f t="shared" si="27"/>
        <v>5.3599999999999426E-2</v>
      </c>
      <c r="AR45" s="4">
        <f t="shared" si="28"/>
        <v>-2.4000000000000909E-2</v>
      </c>
      <c r="AS45" s="4">
        <f t="shared" si="29"/>
        <v>0.20199999999999818</v>
      </c>
      <c r="AT45" s="4">
        <f t="shared" si="30"/>
        <v>-7.5550000000000672E-2</v>
      </c>
      <c r="AU45" s="4">
        <f t="shared" si="31"/>
        <v>-5.2000000000003155E-3</v>
      </c>
      <c r="AV45" s="4">
        <f t="shared" si="32"/>
        <v>9.5149999999998514E-2</v>
      </c>
    </row>
    <row r="46" spans="1:48" x14ac:dyDescent="0.25">
      <c r="A46" s="18">
        <v>46</v>
      </c>
      <c r="B46" s="19">
        <v>43552</v>
      </c>
      <c r="C46" s="20">
        <v>0.44679398148148147</v>
      </c>
      <c r="D46" s="18">
        <v>8</v>
      </c>
      <c r="E46" s="18">
        <v>7.81</v>
      </c>
      <c r="F46" s="18">
        <v>8</v>
      </c>
      <c r="G46" s="18">
        <v>7.88</v>
      </c>
      <c r="H46" s="18">
        <v>7.69</v>
      </c>
      <c r="I46" s="18">
        <v>7.94</v>
      </c>
      <c r="J46" s="18">
        <v>8.06</v>
      </c>
      <c r="K46" s="18">
        <v>8</v>
      </c>
      <c r="L46" s="18">
        <v>7.56</v>
      </c>
      <c r="M46"/>
      <c r="N46" s="4">
        <v>7.93</v>
      </c>
      <c r="O46" s="4">
        <f>N46-'Sonde étalon'!$C$13</f>
        <v>8.1</v>
      </c>
      <c r="P46"/>
      <c r="R46" s="4">
        <f t="shared" si="33"/>
        <v>-9.9999999999999645E-2</v>
      </c>
      <c r="S46" s="4">
        <f t="shared" si="34"/>
        <v>-0.29000000000000004</v>
      </c>
      <c r="T46" s="4">
        <f t="shared" si="35"/>
        <v>-9.9999999999999645E-2</v>
      </c>
      <c r="U46" s="4">
        <f t="shared" si="36"/>
        <v>-0.21999999999999975</v>
      </c>
      <c r="V46" s="4">
        <f t="shared" si="37"/>
        <v>-0.40999999999999925</v>
      </c>
      <c r="W46" s="4">
        <f t="shared" si="38"/>
        <v>-0.15999999999999925</v>
      </c>
      <c r="X46" s="4">
        <f t="shared" si="39"/>
        <v>-3.9999999999999147E-2</v>
      </c>
      <c r="Y46" s="4">
        <f t="shared" si="40"/>
        <v>-9.9999999999999645E-2</v>
      </c>
      <c r="Z46" s="4">
        <f t="shared" si="41"/>
        <v>-0.54</v>
      </c>
      <c r="AB46"/>
      <c r="AC46" s="4">
        <f t="shared" si="15"/>
        <v>8.1090999999999998</v>
      </c>
      <c r="AD46" s="4">
        <f t="shared" si="16"/>
        <v>8.0470499999999987</v>
      </c>
      <c r="AE46" s="4">
        <f t="shared" si="17"/>
        <v>8.0899000000000001</v>
      </c>
      <c r="AF46" s="4">
        <f t="shared" si="18"/>
        <v>8.2235999999999994</v>
      </c>
      <c r="AG46" s="4">
        <f t="shared" si="19"/>
        <v>8.0760000000000005</v>
      </c>
      <c r="AH46" s="4">
        <f t="shared" si="20"/>
        <v>8.3019999999999996</v>
      </c>
      <c r="AI46" s="4">
        <f t="shared" si="21"/>
        <v>8.0244499999999999</v>
      </c>
      <c r="AJ46" s="4">
        <f t="shared" si="22"/>
        <v>8.0947999999999993</v>
      </c>
      <c r="AK46" s="4">
        <f t="shared" si="23"/>
        <v>8.1951499999999999</v>
      </c>
      <c r="AM46"/>
      <c r="AN46" s="4">
        <f t="shared" si="24"/>
        <v>9.100000000000108E-3</v>
      </c>
      <c r="AO46" s="4">
        <f t="shared" si="25"/>
        <v>-5.2950000000000941E-2</v>
      </c>
      <c r="AP46" s="4">
        <f t="shared" si="26"/>
        <v>-1.0099999999999554E-2</v>
      </c>
      <c r="AQ46" s="4">
        <f t="shared" si="27"/>
        <v>0.12359999999999971</v>
      </c>
      <c r="AR46" s="4">
        <f t="shared" si="28"/>
        <v>-2.3999999999999133E-2</v>
      </c>
      <c r="AS46" s="4">
        <f t="shared" si="29"/>
        <v>0.20199999999999996</v>
      </c>
      <c r="AT46" s="4">
        <f t="shared" si="30"/>
        <v>-7.5549999999999784E-2</v>
      </c>
      <c r="AU46" s="4">
        <f t="shared" si="31"/>
        <v>-5.2000000000003155E-3</v>
      </c>
      <c r="AV46" s="4">
        <f t="shared" si="32"/>
        <v>9.515000000000029E-2</v>
      </c>
    </row>
    <row r="47" spans="1:48" x14ac:dyDescent="0.25">
      <c r="A47" s="18">
        <v>47</v>
      </c>
      <c r="B47" s="19">
        <v>43552</v>
      </c>
      <c r="C47" s="20">
        <v>0.44748842592592591</v>
      </c>
      <c r="D47" s="18">
        <v>8.06</v>
      </c>
      <c r="E47" s="18">
        <v>7.88</v>
      </c>
      <c r="F47" s="18">
        <v>8.06</v>
      </c>
      <c r="G47" s="18">
        <v>7.88</v>
      </c>
      <c r="H47" s="18">
        <v>7.75</v>
      </c>
      <c r="I47" s="18">
        <v>8</v>
      </c>
      <c r="J47" s="18">
        <v>8.1300000000000008</v>
      </c>
      <c r="K47" s="18">
        <v>8.06</v>
      </c>
      <c r="L47" s="18">
        <v>7.63</v>
      </c>
      <c r="M47"/>
      <c r="N47" s="4">
        <v>8</v>
      </c>
      <c r="O47" s="4">
        <f>N47-'Sonde étalon'!$C$13</f>
        <v>8.17</v>
      </c>
      <c r="P47"/>
      <c r="R47" s="4">
        <f t="shared" si="33"/>
        <v>-0.10999999999999943</v>
      </c>
      <c r="S47" s="4">
        <f t="shared" si="34"/>
        <v>-0.29000000000000004</v>
      </c>
      <c r="T47" s="4">
        <f t="shared" si="35"/>
        <v>-0.10999999999999943</v>
      </c>
      <c r="U47" s="4">
        <f t="shared" si="36"/>
        <v>-0.29000000000000004</v>
      </c>
      <c r="V47" s="4">
        <f t="shared" si="37"/>
        <v>-0.41999999999999993</v>
      </c>
      <c r="W47" s="4">
        <f t="shared" si="38"/>
        <v>-0.16999999999999993</v>
      </c>
      <c r="X47" s="4">
        <f t="shared" si="39"/>
        <v>-3.9999999999999147E-2</v>
      </c>
      <c r="Y47" s="4">
        <f t="shared" si="40"/>
        <v>-0.10999999999999943</v>
      </c>
      <c r="Z47" s="4">
        <f t="shared" si="41"/>
        <v>-0.54</v>
      </c>
      <c r="AB47"/>
      <c r="AC47" s="4">
        <f t="shared" si="15"/>
        <v>8.1691000000000003</v>
      </c>
      <c r="AD47" s="4">
        <f t="shared" si="16"/>
        <v>8.117049999999999</v>
      </c>
      <c r="AE47" s="4">
        <f t="shared" si="17"/>
        <v>8.1499000000000006</v>
      </c>
      <c r="AF47" s="4">
        <f t="shared" si="18"/>
        <v>8.2235999999999994</v>
      </c>
      <c r="AG47" s="4">
        <f t="shared" si="19"/>
        <v>8.1359999999999992</v>
      </c>
      <c r="AH47" s="4">
        <f t="shared" si="20"/>
        <v>8.3620000000000001</v>
      </c>
      <c r="AI47" s="4">
        <f t="shared" si="21"/>
        <v>8.0944500000000001</v>
      </c>
      <c r="AJ47" s="4">
        <f t="shared" si="22"/>
        <v>8.1547999999999998</v>
      </c>
      <c r="AK47" s="4">
        <f t="shared" si="23"/>
        <v>8.2651500000000002</v>
      </c>
      <c r="AM47"/>
      <c r="AN47" s="4">
        <f t="shared" si="24"/>
        <v>-8.9999999999967883E-4</v>
      </c>
      <c r="AO47" s="4">
        <f t="shared" si="25"/>
        <v>-5.2950000000000941E-2</v>
      </c>
      <c r="AP47" s="4">
        <f t="shared" si="26"/>
        <v>-2.0099999999999341E-2</v>
      </c>
      <c r="AQ47" s="4">
        <f t="shared" si="27"/>
        <v>5.3599999999999426E-2</v>
      </c>
      <c r="AR47" s="4">
        <f t="shared" si="28"/>
        <v>-3.4000000000000696E-2</v>
      </c>
      <c r="AS47" s="4">
        <f t="shared" si="29"/>
        <v>0.19200000000000017</v>
      </c>
      <c r="AT47" s="4">
        <f t="shared" si="30"/>
        <v>-7.5549999999999784E-2</v>
      </c>
      <c r="AU47" s="4">
        <f t="shared" si="31"/>
        <v>-1.5200000000000102E-2</v>
      </c>
      <c r="AV47" s="4">
        <f t="shared" si="32"/>
        <v>9.515000000000029E-2</v>
      </c>
    </row>
    <row r="48" spans="1:48" x14ac:dyDescent="0.25">
      <c r="A48" s="18">
        <v>48</v>
      </c>
      <c r="B48" s="19">
        <v>43552</v>
      </c>
      <c r="C48" s="20">
        <v>0.44818287037037036</v>
      </c>
      <c r="D48" s="18">
        <v>8.06</v>
      </c>
      <c r="E48" s="18">
        <v>7.94</v>
      </c>
      <c r="F48" s="18">
        <v>8.1300000000000008</v>
      </c>
      <c r="G48" s="18">
        <v>7.94</v>
      </c>
      <c r="H48" s="18">
        <v>7.81</v>
      </c>
      <c r="I48" s="18">
        <v>8.06</v>
      </c>
      <c r="J48" s="18">
        <v>8.19</v>
      </c>
      <c r="K48" s="18">
        <v>8.1300000000000008</v>
      </c>
      <c r="L48" s="18">
        <v>7.69</v>
      </c>
      <c r="M48"/>
      <c r="N48" s="4">
        <v>8.07</v>
      </c>
      <c r="O48" s="4">
        <f>N48-'Sonde étalon'!$C$13</f>
        <v>8.24</v>
      </c>
      <c r="P48"/>
      <c r="R48" s="4">
        <f t="shared" si="33"/>
        <v>-0.17999999999999972</v>
      </c>
      <c r="S48" s="4">
        <f t="shared" si="34"/>
        <v>-0.29999999999999982</v>
      </c>
      <c r="T48" s="4">
        <f t="shared" si="35"/>
        <v>-0.10999999999999943</v>
      </c>
      <c r="U48" s="4">
        <f t="shared" si="36"/>
        <v>-0.29999999999999982</v>
      </c>
      <c r="V48" s="4">
        <f t="shared" si="37"/>
        <v>-0.4300000000000006</v>
      </c>
      <c r="W48" s="4">
        <f t="shared" si="38"/>
        <v>-0.17999999999999972</v>
      </c>
      <c r="X48" s="4">
        <f t="shared" si="39"/>
        <v>-5.0000000000000711E-2</v>
      </c>
      <c r="Y48" s="4">
        <f t="shared" si="40"/>
        <v>-0.10999999999999943</v>
      </c>
      <c r="Z48" s="4">
        <f t="shared" si="41"/>
        <v>-0.54999999999999982</v>
      </c>
      <c r="AB48"/>
      <c r="AC48" s="4">
        <f t="shared" si="15"/>
        <v>8.1691000000000003</v>
      </c>
      <c r="AD48" s="4">
        <f t="shared" si="16"/>
        <v>8.1770499999999995</v>
      </c>
      <c r="AE48" s="4">
        <f t="shared" si="17"/>
        <v>8.2199000000000009</v>
      </c>
      <c r="AF48" s="4">
        <f t="shared" si="18"/>
        <v>8.2835999999999999</v>
      </c>
      <c r="AG48" s="4">
        <f t="shared" si="19"/>
        <v>8.1959999999999997</v>
      </c>
      <c r="AH48" s="4">
        <f t="shared" si="20"/>
        <v>8.4220000000000006</v>
      </c>
      <c r="AI48" s="4">
        <f t="shared" si="21"/>
        <v>8.1544499999999989</v>
      </c>
      <c r="AJ48" s="4">
        <f t="shared" si="22"/>
        <v>8.2248000000000001</v>
      </c>
      <c r="AK48" s="4">
        <f t="shared" si="23"/>
        <v>8.3251500000000007</v>
      </c>
      <c r="AM48"/>
      <c r="AN48" s="4">
        <f t="shared" si="24"/>
        <v>-7.0899999999999963E-2</v>
      </c>
      <c r="AO48" s="4">
        <f t="shared" si="25"/>
        <v>-6.2950000000000728E-2</v>
      </c>
      <c r="AP48" s="4">
        <f t="shared" si="26"/>
        <v>-2.0099999999999341E-2</v>
      </c>
      <c r="AQ48" s="4">
        <f t="shared" si="27"/>
        <v>4.3599999999999639E-2</v>
      </c>
      <c r="AR48" s="4">
        <f t="shared" si="28"/>
        <v>-4.4000000000000483E-2</v>
      </c>
      <c r="AS48" s="4">
        <f t="shared" si="29"/>
        <v>0.18200000000000038</v>
      </c>
      <c r="AT48" s="4">
        <f t="shared" si="30"/>
        <v>-8.5550000000001347E-2</v>
      </c>
      <c r="AU48" s="4">
        <f t="shared" si="31"/>
        <v>-1.5200000000000102E-2</v>
      </c>
      <c r="AV48" s="4">
        <f t="shared" si="32"/>
        <v>8.5150000000000503E-2</v>
      </c>
    </row>
    <row r="49" spans="1:48" x14ac:dyDescent="0.25">
      <c r="A49" s="18">
        <v>49</v>
      </c>
      <c r="B49" s="19">
        <v>43552</v>
      </c>
      <c r="C49" s="20">
        <v>0.4488773148148148</v>
      </c>
      <c r="D49" s="18">
        <v>8.19</v>
      </c>
      <c r="E49" s="18">
        <v>8</v>
      </c>
      <c r="F49" s="18">
        <v>8.19</v>
      </c>
      <c r="G49" s="18">
        <v>8</v>
      </c>
      <c r="H49" s="18">
        <v>7.88</v>
      </c>
      <c r="I49" s="18">
        <v>8.1300000000000008</v>
      </c>
      <c r="J49" s="18">
        <v>8.25</v>
      </c>
      <c r="K49" s="18">
        <v>8.19</v>
      </c>
      <c r="L49" s="18">
        <v>7.75</v>
      </c>
      <c r="M49"/>
      <c r="N49" s="4">
        <v>8.1199999999999992</v>
      </c>
      <c r="O49" s="4">
        <f>N49-'Sonde étalon'!$C$13</f>
        <v>8.2899999999999991</v>
      </c>
      <c r="P49"/>
      <c r="R49" s="4">
        <f t="shared" si="33"/>
        <v>-9.9999999999999645E-2</v>
      </c>
      <c r="S49" s="4">
        <f t="shared" si="34"/>
        <v>-0.28999999999999915</v>
      </c>
      <c r="T49" s="4">
        <f t="shared" si="35"/>
        <v>-9.9999999999999645E-2</v>
      </c>
      <c r="U49" s="4">
        <f t="shared" si="36"/>
        <v>-0.28999999999999915</v>
      </c>
      <c r="V49" s="4">
        <f t="shared" si="37"/>
        <v>-0.40999999999999925</v>
      </c>
      <c r="W49" s="4">
        <f t="shared" si="38"/>
        <v>-0.15999999999999837</v>
      </c>
      <c r="X49" s="4">
        <f t="shared" si="39"/>
        <v>-3.9999999999999147E-2</v>
      </c>
      <c r="Y49" s="4">
        <f t="shared" si="40"/>
        <v>-9.9999999999999645E-2</v>
      </c>
      <c r="Z49" s="4">
        <f t="shared" si="41"/>
        <v>-0.53999999999999915</v>
      </c>
      <c r="AB49"/>
      <c r="AC49" s="4">
        <f t="shared" si="15"/>
        <v>8.2990999999999993</v>
      </c>
      <c r="AD49" s="4">
        <f t="shared" si="16"/>
        <v>8.23705</v>
      </c>
      <c r="AE49" s="4">
        <f t="shared" si="17"/>
        <v>8.2798999999999996</v>
      </c>
      <c r="AF49" s="4">
        <f t="shared" si="18"/>
        <v>8.3436000000000003</v>
      </c>
      <c r="AG49" s="4">
        <f t="shared" si="19"/>
        <v>8.266</v>
      </c>
      <c r="AH49" s="4">
        <f t="shared" si="20"/>
        <v>8.4920000000000009</v>
      </c>
      <c r="AI49" s="4">
        <f t="shared" si="21"/>
        <v>8.2144499999999994</v>
      </c>
      <c r="AJ49" s="4">
        <f t="shared" si="22"/>
        <v>8.2847999999999988</v>
      </c>
      <c r="AK49" s="4">
        <f t="shared" si="23"/>
        <v>8.3851499999999994</v>
      </c>
      <c r="AM49"/>
      <c r="AN49" s="4">
        <f t="shared" si="24"/>
        <v>9.100000000000108E-3</v>
      </c>
      <c r="AO49" s="4">
        <f t="shared" si="25"/>
        <v>-5.2949999999999164E-2</v>
      </c>
      <c r="AP49" s="4">
        <f t="shared" si="26"/>
        <v>-1.0099999999999554E-2</v>
      </c>
      <c r="AQ49" s="4">
        <f t="shared" si="27"/>
        <v>5.3600000000001202E-2</v>
      </c>
      <c r="AR49" s="4">
        <f t="shared" si="28"/>
        <v>-2.3999999999999133E-2</v>
      </c>
      <c r="AS49" s="4">
        <f t="shared" si="29"/>
        <v>0.20200000000000173</v>
      </c>
      <c r="AT49" s="4">
        <f t="shared" si="30"/>
        <v>-7.5549999999999784E-2</v>
      </c>
      <c r="AU49" s="4">
        <f t="shared" si="31"/>
        <v>-5.2000000000003155E-3</v>
      </c>
      <c r="AV49" s="4">
        <f t="shared" si="32"/>
        <v>9.515000000000029E-2</v>
      </c>
    </row>
    <row r="50" spans="1:48" x14ac:dyDescent="0.25">
      <c r="A50" s="18">
        <v>50</v>
      </c>
      <c r="B50" s="19">
        <v>43552</v>
      </c>
      <c r="C50" s="20">
        <v>0.44957175925925924</v>
      </c>
      <c r="D50" s="18">
        <v>8.19</v>
      </c>
      <c r="E50" s="18">
        <v>8</v>
      </c>
      <c r="F50" s="18">
        <v>8.25</v>
      </c>
      <c r="G50" s="18">
        <v>8.06</v>
      </c>
      <c r="H50" s="18">
        <v>7.94</v>
      </c>
      <c r="I50" s="18">
        <v>8.19</v>
      </c>
      <c r="J50" s="18">
        <v>8.31</v>
      </c>
      <c r="K50" s="18">
        <v>8.25</v>
      </c>
      <c r="L50" s="18">
        <v>7.81</v>
      </c>
      <c r="M50"/>
      <c r="N50" s="4">
        <v>8.19</v>
      </c>
      <c r="O50" s="4">
        <f>N50-'Sonde étalon'!$C$13</f>
        <v>8.36</v>
      </c>
      <c r="P50"/>
      <c r="R50" s="4">
        <f t="shared" si="33"/>
        <v>-0.16999999999999993</v>
      </c>
      <c r="S50" s="4">
        <f t="shared" si="34"/>
        <v>-0.35999999999999943</v>
      </c>
      <c r="T50" s="4">
        <f t="shared" si="35"/>
        <v>-0.10999999999999943</v>
      </c>
      <c r="U50" s="4">
        <f t="shared" si="36"/>
        <v>-0.29999999999999893</v>
      </c>
      <c r="V50" s="4">
        <f t="shared" si="37"/>
        <v>-0.41999999999999904</v>
      </c>
      <c r="W50" s="4">
        <f t="shared" si="38"/>
        <v>-0.16999999999999993</v>
      </c>
      <c r="X50" s="4">
        <f t="shared" si="39"/>
        <v>-4.9999999999998934E-2</v>
      </c>
      <c r="Y50" s="4">
        <f t="shared" si="40"/>
        <v>-0.10999999999999943</v>
      </c>
      <c r="Z50" s="4">
        <f t="shared" si="41"/>
        <v>-0.54999999999999982</v>
      </c>
      <c r="AB50"/>
      <c r="AC50" s="4">
        <f t="shared" si="15"/>
        <v>8.2990999999999993</v>
      </c>
      <c r="AD50" s="4">
        <f t="shared" si="16"/>
        <v>8.23705</v>
      </c>
      <c r="AE50" s="4">
        <f t="shared" si="17"/>
        <v>8.3399000000000001</v>
      </c>
      <c r="AF50" s="4">
        <f t="shared" si="18"/>
        <v>8.4036000000000008</v>
      </c>
      <c r="AG50" s="4">
        <f t="shared" si="19"/>
        <v>8.3260000000000005</v>
      </c>
      <c r="AH50" s="4">
        <f t="shared" si="20"/>
        <v>8.5519999999999996</v>
      </c>
      <c r="AI50" s="4">
        <f t="shared" si="21"/>
        <v>8.2744499999999999</v>
      </c>
      <c r="AJ50" s="4">
        <f t="shared" si="22"/>
        <v>8.3447999999999993</v>
      </c>
      <c r="AK50" s="4">
        <f t="shared" si="23"/>
        <v>8.4451499999999999</v>
      </c>
      <c r="AM50"/>
      <c r="AN50" s="4">
        <f t="shared" si="24"/>
        <v>-6.0900000000000176E-2</v>
      </c>
      <c r="AO50" s="4">
        <f t="shared" si="25"/>
        <v>-0.12294999999999945</v>
      </c>
      <c r="AP50" s="4">
        <f t="shared" si="26"/>
        <v>-2.0099999999999341E-2</v>
      </c>
      <c r="AQ50" s="4">
        <f t="shared" si="27"/>
        <v>4.3600000000001415E-2</v>
      </c>
      <c r="AR50" s="4">
        <f t="shared" si="28"/>
        <v>-3.399999999999892E-2</v>
      </c>
      <c r="AS50" s="4">
        <f t="shared" si="29"/>
        <v>0.19200000000000017</v>
      </c>
      <c r="AT50" s="4">
        <f t="shared" si="30"/>
        <v>-8.5549999999999571E-2</v>
      </c>
      <c r="AU50" s="4">
        <f t="shared" si="31"/>
        <v>-1.5200000000000102E-2</v>
      </c>
      <c r="AV50" s="4">
        <f t="shared" si="32"/>
        <v>8.5150000000000503E-2</v>
      </c>
    </row>
    <row r="51" spans="1:48" x14ac:dyDescent="0.25">
      <c r="A51" s="18">
        <v>51</v>
      </c>
      <c r="B51" s="19">
        <v>43552</v>
      </c>
      <c r="C51" s="20">
        <v>0.45026620370370374</v>
      </c>
      <c r="D51" s="18">
        <v>8.25</v>
      </c>
      <c r="E51" s="18">
        <v>8.1300000000000008</v>
      </c>
      <c r="F51" s="18">
        <v>8.31</v>
      </c>
      <c r="G51" s="18">
        <v>8.1300000000000008</v>
      </c>
      <c r="H51" s="18">
        <v>8</v>
      </c>
      <c r="I51" s="18">
        <v>8.25</v>
      </c>
      <c r="J51" s="18">
        <v>8.3800000000000008</v>
      </c>
      <c r="K51" s="18">
        <v>8.31</v>
      </c>
      <c r="L51" s="18">
        <v>7.88</v>
      </c>
      <c r="M51"/>
      <c r="N51" s="4">
        <v>8.24</v>
      </c>
      <c r="O51" s="4">
        <f>N51-'Sonde étalon'!$C$13</f>
        <v>8.41</v>
      </c>
      <c r="P51"/>
      <c r="R51" s="4">
        <f t="shared" si="33"/>
        <v>-0.16000000000000014</v>
      </c>
      <c r="S51" s="4">
        <f t="shared" si="34"/>
        <v>-0.27999999999999936</v>
      </c>
      <c r="T51" s="4">
        <f t="shared" si="35"/>
        <v>-9.9999999999999645E-2</v>
      </c>
      <c r="U51" s="4">
        <f t="shared" si="36"/>
        <v>-0.27999999999999936</v>
      </c>
      <c r="V51" s="4">
        <f t="shared" si="37"/>
        <v>-0.41000000000000014</v>
      </c>
      <c r="W51" s="4">
        <f t="shared" si="38"/>
        <v>-0.16000000000000014</v>
      </c>
      <c r="X51" s="4">
        <f t="shared" si="39"/>
        <v>-2.9999999999999361E-2</v>
      </c>
      <c r="Y51" s="4">
        <f t="shared" si="40"/>
        <v>-9.9999999999999645E-2</v>
      </c>
      <c r="Z51" s="4">
        <f t="shared" si="41"/>
        <v>-0.53000000000000025</v>
      </c>
      <c r="AB51"/>
      <c r="AC51" s="4">
        <f t="shared" si="15"/>
        <v>8.3590999999999998</v>
      </c>
      <c r="AD51" s="4">
        <f t="shared" si="16"/>
        <v>8.3670500000000008</v>
      </c>
      <c r="AE51" s="4">
        <f t="shared" si="17"/>
        <v>8.3999000000000006</v>
      </c>
      <c r="AF51" s="4">
        <f t="shared" si="18"/>
        <v>8.4736000000000011</v>
      </c>
      <c r="AG51" s="4">
        <f t="shared" si="19"/>
        <v>8.3859999999999992</v>
      </c>
      <c r="AH51" s="4">
        <f t="shared" si="20"/>
        <v>8.6120000000000001</v>
      </c>
      <c r="AI51" s="4">
        <f t="shared" si="21"/>
        <v>8.3444500000000001</v>
      </c>
      <c r="AJ51" s="4">
        <f t="shared" si="22"/>
        <v>8.4047999999999998</v>
      </c>
      <c r="AK51" s="4">
        <f t="shared" si="23"/>
        <v>8.5151500000000002</v>
      </c>
      <c r="AM51"/>
      <c r="AN51" s="4">
        <f t="shared" si="24"/>
        <v>-5.0900000000000389E-2</v>
      </c>
      <c r="AO51" s="4">
        <f t="shared" si="25"/>
        <v>-4.2949999999999378E-2</v>
      </c>
      <c r="AP51" s="4">
        <f t="shared" si="26"/>
        <v>-1.0099999999999554E-2</v>
      </c>
      <c r="AQ51" s="4">
        <f t="shared" si="27"/>
        <v>6.3600000000000989E-2</v>
      </c>
      <c r="AR51" s="4">
        <f t="shared" si="28"/>
        <v>-2.4000000000000909E-2</v>
      </c>
      <c r="AS51" s="4">
        <f t="shared" si="29"/>
        <v>0.20199999999999996</v>
      </c>
      <c r="AT51" s="4">
        <f t="shared" si="30"/>
        <v>-6.5549999999999997E-2</v>
      </c>
      <c r="AU51" s="4">
        <f t="shared" si="31"/>
        <v>-5.2000000000003155E-3</v>
      </c>
      <c r="AV51" s="4">
        <f t="shared" si="32"/>
        <v>0.10515000000000008</v>
      </c>
    </row>
    <row r="52" spans="1:48" x14ac:dyDescent="0.25">
      <c r="A52" s="18">
        <v>52</v>
      </c>
      <c r="B52" s="19">
        <v>43552</v>
      </c>
      <c r="C52" s="20">
        <v>0.45096064814814812</v>
      </c>
      <c r="D52" s="18">
        <v>8.31</v>
      </c>
      <c r="E52" s="18">
        <v>8.1300000000000008</v>
      </c>
      <c r="F52" s="18">
        <v>8.3800000000000008</v>
      </c>
      <c r="G52" s="18">
        <v>8.19</v>
      </c>
      <c r="H52" s="18">
        <v>8.06</v>
      </c>
      <c r="I52" s="18">
        <v>8.25</v>
      </c>
      <c r="J52" s="18">
        <v>8.44</v>
      </c>
      <c r="K52" s="18">
        <v>8.3800000000000008</v>
      </c>
      <c r="L52" s="18">
        <v>7.94</v>
      </c>
      <c r="M52"/>
      <c r="N52" s="4">
        <v>8.3000000000000007</v>
      </c>
      <c r="O52" s="4">
        <f>N52-'Sonde étalon'!$C$13</f>
        <v>8.4700000000000006</v>
      </c>
      <c r="P52"/>
      <c r="R52" s="4">
        <f t="shared" si="33"/>
        <v>-0.16000000000000014</v>
      </c>
      <c r="S52" s="4">
        <f t="shared" si="34"/>
        <v>-0.33999999999999986</v>
      </c>
      <c r="T52" s="4">
        <f t="shared" si="35"/>
        <v>-8.9999999999999858E-2</v>
      </c>
      <c r="U52" s="4">
        <f t="shared" si="36"/>
        <v>-0.28000000000000114</v>
      </c>
      <c r="V52" s="4">
        <f t="shared" si="37"/>
        <v>-0.41000000000000014</v>
      </c>
      <c r="W52" s="4">
        <f t="shared" si="38"/>
        <v>-0.22000000000000064</v>
      </c>
      <c r="X52" s="4">
        <f t="shared" si="39"/>
        <v>-3.0000000000001137E-2</v>
      </c>
      <c r="Y52" s="4">
        <f t="shared" si="40"/>
        <v>-8.9999999999999858E-2</v>
      </c>
      <c r="Z52" s="4">
        <f t="shared" si="41"/>
        <v>-0.53000000000000025</v>
      </c>
      <c r="AB52"/>
      <c r="AC52" s="4">
        <f t="shared" si="15"/>
        <v>8.4191000000000003</v>
      </c>
      <c r="AD52" s="4">
        <f t="shared" si="16"/>
        <v>8.3670500000000008</v>
      </c>
      <c r="AE52" s="4">
        <f t="shared" si="17"/>
        <v>8.4699000000000009</v>
      </c>
      <c r="AF52" s="4">
        <f t="shared" si="18"/>
        <v>8.5335999999999999</v>
      </c>
      <c r="AG52" s="4">
        <f t="shared" si="19"/>
        <v>8.4459999999999997</v>
      </c>
      <c r="AH52" s="4">
        <f t="shared" si="20"/>
        <v>8.6120000000000001</v>
      </c>
      <c r="AI52" s="4">
        <f t="shared" si="21"/>
        <v>8.4044499999999989</v>
      </c>
      <c r="AJ52" s="4">
        <f t="shared" si="22"/>
        <v>8.4748000000000001</v>
      </c>
      <c r="AK52" s="4">
        <f t="shared" si="23"/>
        <v>8.5751500000000007</v>
      </c>
      <c r="AM52"/>
      <c r="AN52" s="4">
        <f t="shared" si="24"/>
        <v>-5.0900000000000389E-2</v>
      </c>
      <c r="AO52" s="4">
        <f t="shared" si="25"/>
        <v>-0.10294999999999987</v>
      </c>
      <c r="AP52" s="4">
        <f t="shared" si="26"/>
        <v>-9.9999999999766942E-5</v>
      </c>
      <c r="AQ52" s="4">
        <f t="shared" si="27"/>
        <v>6.3599999999999213E-2</v>
      </c>
      <c r="AR52" s="4">
        <f t="shared" si="28"/>
        <v>-2.4000000000000909E-2</v>
      </c>
      <c r="AS52" s="4">
        <f t="shared" si="29"/>
        <v>0.14199999999999946</v>
      </c>
      <c r="AT52" s="4">
        <f t="shared" si="30"/>
        <v>-6.5550000000001774E-2</v>
      </c>
      <c r="AU52" s="4">
        <f t="shared" si="31"/>
        <v>4.7999999999994714E-3</v>
      </c>
      <c r="AV52" s="4">
        <f t="shared" si="32"/>
        <v>0.10515000000000008</v>
      </c>
    </row>
    <row r="53" spans="1:48" x14ac:dyDescent="0.25">
      <c r="A53" s="18">
        <v>53</v>
      </c>
      <c r="B53" s="19">
        <v>43552</v>
      </c>
      <c r="C53" s="20">
        <v>0.45165509259259262</v>
      </c>
      <c r="D53" s="18">
        <v>8.3800000000000008</v>
      </c>
      <c r="E53" s="18">
        <v>8.19</v>
      </c>
      <c r="F53" s="18">
        <v>8.44</v>
      </c>
      <c r="G53" s="18">
        <v>8.25</v>
      </c>
      <c r="H53" s="18">
        <v>8.1300000000000008</v>
      </c>
      <c r="I53" s="18">
        <v>8.31</v>
      </c>
      <c r="J53" s="18">
        <v>8.44</v>
      </c>
      <c r="K53" s="18">
        <v>8.44</v>
      </c>
      <c r="L53" s="18">
        <v>8</v>
      </c>
      <c r="M53"/>
      <c r="N53" s="4">
        <v>8.36</v>
      </c>
      <c r="O53" s="4">
        <f>N53-'Sonde étalon'!$C$13</f>
        <v>8.5299999999999994</v>
      </c>
      <c r="P53"/>
      <c r="R53" s="4">
        <f t="shared" si="33"/>
        <v>-0.14999999999999858</v>
      </c>
      <c r="S53" s="4">
        <f t="shared" si="34"/>
        <v>-0.33999999999999986</v>
      </c>
      <c r="T53" s="4">
        <f t="shared" si="35"/>
        <v>-8.9999999999999858E-2</v>
      </c>
      <c r="U53" s="4">
        <f t="shared" si="36"/>
        <v>-0.27999999999999936</v>
      </c>
      <c r="V53" s="4">
        <f t="shared" si="37"/>
        <v>-0.39999999999999858</v>
      </c>
      <c r="W53" s="4">
        <f t="shared" si="38"/>
        <v>-0.21999999999999886</v>
      </c>
      <c r="X53" s="4">
        <f t="shared" si="39"/>
        <v>-8.9999999999999858E-2</v>
      </c>
      <c r="Y53" s="4">
        <f t="shared" si="40"/>
        <v>-8.9999999999999858E-2</v>
      </c>
      <c r="Z53" s="4">
        <f t="shared" si="41"/>
        <v>-0.52999999999999936</v>
      </c>
      <c r="AB53"/>
      <c r="AC53" s="4">
        <f t="shared" si="15"/>
        <v>8.4891000000000005</v>
      </c>
      <c r="AD53" s="4">
        <f t="shared" si="16"/>
        <v>8.4270499999999995</v>
      </c>
      <c r="AE53" s="4">
        <f t="shared" si="17"/>
        <v>8.5298999999999996</v>
      </c>
      <c r="AF53" s="4">
        <f t="shared" si="18"/>
        <v>8.5936000000000003</v>
      </c>
      <c r="AG53" s="4">
        <f t="shared" si="19"/>
        <v>8.516</v>
      </c>
      <c r="AH53" s="4">
        <f t="shared" si="20"/>
        <v>8.6720000000000006</v>
      </c>
      <c r="AI53" s="4">
        <f t="shared" si="21"/>
        <v>8.4044499999999989</v>
      </c>
      <c r="AJ53" s="4">
        <f t="shared" si="22"/>
        <v>8.5347999999999988</v>
      </c>
      <c r="AK53" s="4">
        <f t="shared" si="23"/>
        <v>8.6351499999999994</v>
      </c>
      <c r="AM53"/>
      <c r="AN53" s="4">
        <f t="shared" si="24"/>
        <v>-4.0899999999998826E-2</v>
      </c>
      <c r="AO53" s="4">
        <f t="shared" si="25"/>
        <v>-0.10294999999999987</v>
      </c>
      <c r="AP53" s="4">
        <f t="shared" si="26"/>
        <v>-9.9999999999766942E-5</v>
      </c>
      <c r="AQ53" s="4">
        <f t="shared" si="27"/>
        <v>6.3600000000000989E-2</v>
      </c>
      <c r="AR53" s="4">
        <f t="shared" si="28"/>
        <v>-1.3999999999999346E-2</v>
      </c>
      <c r="AS53" s="4">
        <f t="shared" si="29"/>
        <v>0.14200000000000124</v>
      </c>
      <c r="AT53" s="4">
        <f t="shared" si="30"/>
        <v>-0.12555000000000049</v>
      </c>
      <c r="AU53" s="4">
        <f t="shared" si="31"/>
        <v>4.7999999999994714E-3</v>
      </c>
      <c r="AV53" s="4">
        <f t="shared" si="32"/>
        <v>0.10515000000000008</v>
      </c>
    </row>
    <row r="54" spans="1:48" x14ac:dyDescent="0.25">
      <c r="A54" s="18">
        <v>54</v>
      </c>
      <c r="B54" s="19">
        <v>43552</v>
      </c>
      <c r="C54" s="20">
        <v>0.45234953703703701</v>
      </c>
      <c r="D54" s="18">
        <v>8.44</v>
      </c>
      <c r="E54" s="18">
        <v>8.25</v>
      </c>
      <c r="F54" s="18">
        <v>8.5</v>
      </c>
      <c r="G54" s="18">
        <v>8.31</v>
      </c>
      <c r="H54" s="18">
        <v>8.19</v>
      </c>
      <c r="I54" s="18">
        <v>8.3800000000000008</v>
      </c>
      <c r="J54" s="18">
        <v>8.5</v>
      </c>
      <c r="K54" s="18">
        <v>8.5</v>
      </c>
      <c r="L54" s="18">
        <v>8.06</v>
      </c>
      <c r="M54"/>
      <c r="N54" s="4">
        <v>8.41</v>
      </c>
      <c r="O54" s="4">
        <f>N54-'Sonde étalon'!$C$13</f>
        <v>8.58</v>
      </c>
      <c r="P54"/>
      <c r="R54" s="4">
        <f t="shared" si="33"/>
        <v>-0.14000000000000057</v>
      </c>
      <c r="S54" s="4">
        <f t="shared" si="34"/>
        <v>-0.33000000000000007</v>
      </c>
      <c r="T54" s="4">
        <f t="shared" si="35"/>
        <v>-8.0000000000000071E-2</v>
      </c>
      <c r="U54" s="4">
        <f t="shared" si="36"/>
        <v>-0.26999999999999957</v>
      </c>
      <c r="V54" s="4">
        <f t="shared" si="37"/>
        <v>-0.39000000000000057</v>
      </c>
      <c r="W54" s="4">
        <f t="shared" si="38"/>
        <v>-0.19999999999999929</v>
      </c>
      <c r="X54" s="4">
        <f t="shared" si="39"/>
        <v>-8.0000000000000071E-2</v>
      </c>
      <c r="Y54" s="4">
        <f t="shared" si="40"/>
        <v>-8.0000000000000071E-2</v>
      </c>
      <c r="Z54" s="4">
        <f t="shared" si="41"/>
        <v>-0.51999999999999957</v>
      </c>
      <c r="AB54"/>
      <c r="AC54" s="4">
        <f t="shared" si="15"/>
        <v>8.5490999999999993</v>
      </c>
      <c r="AD54" s="4">
        <f t="shared" si="16"/>
        <v>8.48705</v>
      </c>
      <c r="AE54" s="4">
        <f t="shared" si="17"/>
        <v>8.5899000000000001</v>
      </c>
      <c r="AF54" s="4">
        <f t="shared" si="18"/>
        <v>8.6536000000000008</v>
      </c>
      <c r="AG54" s="4">
        <f t="shared" si="19"/>
        <v>8.5759999999999987</v>
      </c>
      <c r="AH54" s="4">
        <f t="shared" si="20"/>
        <v>8.7420000000000009</v>
      </c>
      <c r="AI54" s="4">
        <f t="shared" si="21"/>
        <v>8.4644499999999994</v>
      </c>
      <c r="AJ54" s="4">
        <f t="shared" si="22"/>
        <v>8.5947999999999993</v>
      </c>
      <c r="AK54" s="4">
        <f t="shared" si="23"/>
        <v>8.6951499999999999</v>
      </c>
      <c r="AM54"/>
      <c r="AN54" s="4">
        <f t="shared" si="24"/>
        <v>-3.0900000000000816E-2</v>
      </c>
      <c r="AO54" s="4">
        <f t="shared" si="25"/>
        <v>-9.2950000000000088E-2</v>
      </c>
      <c r="AP54" s="4">
        <f t="shared" si="26"/>
        <v>9.9000000000000199E-3</v>
      </c>
      <c r="AQ54" s="4">
        <f t="shared" si="27"/>
        <v>7.3600000000000776E-2</v>
      </c>
      <c r="AR54" s="4">
        <f t="shared" si="28"/>
        <v>-4.0000000000013358E-3</v>
      </c>
      <c r="AS54" s="4">
        <f t="shared" si="29"/>
        <v>0.16200000000000081</v>
      </c>
      <c r="AT54" s="4">
        <f t="shared" si="30"/>
        <v>-0.11555000000000071</v>
      </c>
      <c r="AU54" s="4">
        <f t="shared" si="31"/>
        <v>1.4799999999999258E-2</v>
      </c>
      <c r="AV54" s="4">
        <f t="shared" si="32"/>
        <v>0.11514999999999986</v>
      </c>
    </row>
    <row r="55" spans="1:48" x14ac:dyDescent="0.25">
      <c r="A55" s="18">
        <v>55</v>
      </c>
      <c r="B55" s="19">
        <v>43552</v>
      </c>
      <c r="C55" s="20">
        <v>0.45304398148148151</v>
      </c>
      <c r="D55" s="18">
        <v>8.5</v>
      </c>
      <c r="E55" s="18">
        <v>8.31</v>
      </c>
      <c r="F55" s="18">
        <v>8.5</v>
      </c>
      <c r="G55" s="18">
        <v>8.3800000000000008</v>
      </c>
      <c r="H55" s="18">
        <v>8.19</v>
      </c>
      <c r="I55" s="18">
        <v>8.44</v>
      </c>
      <c r="J55" s="18">
        <v>8.56</v>
      </c>
      <c r="K55" s="18">
        <v>8.56</v>
      </c>
      <c r="L55" s="18">
        <v>8.1300000000000008</v>
      </c>
      <c r="M55"/>
      <c r="N55" s="4">
        <v>8.4700000000000006</v>
      </c>
      <c r="O55" s="4">
        <f>N55-'Sonde étalon'!$C$13</f>
        <v>8.64</v>
      </c>
      <c r="P55"/>
      <c r="R55" s="4">
        <f t="shared" si="33"/>
        <v>-0.14000000000000057</v>
      </c>
      <c r="S55" s="4">
        <f t="shared" si="34"/>
        <v>-0.33000000000000007</v>
      </c>
      <c r="T55" s="4">
        <f t="shared" si="35"/>
        <v>-0.14000000000000057</v>
      </c>
      <c r="U55" s="4">
        <f t="shared" si="36"/>
        <v>-0.25999999999999979</v>
      </c>
      <c r="V55" s="4">
        <f t="shared" si="37"/>
        <v>-0.45000000000000107</v>
      </c>
      <c r="W55" s="4">
        <f t="shared" si="38"/>
        <v>-0.20000000000000107</v>
      </c>
      <c r="X55" s="4">
        <f t="shared" si="39"/>
        <v>-8.0000000000000071E-2</v>
      </c>
      <c r="Y55" s="4">
        <f t="shared" si="40"/>
        <v>-8.0000000000000071E-2</v>
      </c>
      <c r="Z55" s="4">
        <f t="shared" si="41"/>
        <v>-0.50999999999999979</v>
      </c>
      <c r="AB55"/>
      <c r="AC55" s="4">
        <f t="shared" si="15"/>
        <v>8.6090999999999998</v>
      </c>
      <c r="AD55" s="4">
        <f t="shared" si="16"/>
        <v>8.5470500000000005</v>
      </c>
      <c r="AE55" s="4">
        <f t="shared" si="17"/>
        <v>8.5899000000000001</v>
      </c>
      <c r="AF55" s="4">
        <f t="shared" si="18"/>
        <v>8.7236000000000011</v>
      </c>
      <c r="AG55" s="4">
        <f t="shared" si="19"/>
        <v>8.5759999999999987</v>
      </c>
      <c r="AH55" s="4">
        <f t="shared" si="20"/>
        <v>8.8019999999999996</v>
      </c>
      <c r="AI55" s="4">
        <f t="shared" si="21"/>
        <v>8.5244499999999999</v>
      </c>
      <c r="AJ55" s="4">
        <f t="shared" si="22"/>
        <v>8.6547999999999998</v>
      </c>
      <c r="AK55" s="4">
        <f t="shared" si="23"/>
        <v>8.7651500000000002</v>
      </c>
      <c r="AM55"/>
      <c r="AN55" s="4">
        <f t="shared" si="24"/>
        <v>-3.0900000000000816E-2</v>
      </c>
      <c r="AO55" s="4">
        <f t="shared" si="25"/>
        <v>-9.2950000000000088E-2</v>
      </c>
      <c r="AP55" s="4">
        <f t="shared" si="26"/>
        <v>-5.0100000000000477E-2</v>
      </c>
      <c r="AQ55" s="4">
        <f t="shared" si="27"/>
        <v>8.3600000000000563E-2</v>
      </c>
      <c r="AR55" s="4">
        <f t="shared" si="28"/>
        <v>-6.4000000000001833E-2</v>
      </c>
      <c r="AS55" s="4">
        <f t="shared" si="29"/>
        <v>0.16199999999999903</v>
      </c>
      <c r="AT55" s="4">
        <f t="shared" si="30"/>
        <v>-0.11555000000000071</v>
      </c>
      <c r="AU55" s="4">
        <f t="shared" si="31"/>
        <v>1.4799999999999258E-2</v>
      </c>
      <c r="AV55" s="4">
        <f t="shared" si="32"/>
        <v>0.12514999999999965</v>
      </c>
    </row>
    <row r="56" spans="1:48" x14ac:dyDescent="0.25">
      <c r="A56" s="18">
        <v>56</v>
      </c>
      <c r="B56" s="19">
        <v>43552</v>
      </c>
      <c r="C56" s="20">
        <v>0.45373842592592589</v>
      </c>
      <c r="D56" s="18">
        <v>8.56</v>
      </c>
      <c r="E56" s="18">
        <v>8.31</v>
      </c>
      <c r="F56" s="18">
        <v>8.56</v>
      </c>
      <c r="G56" s="18">
        <v>8.44</v>
      </c>
      <c r="H56" s="18">
        <v>8.25</v>
      </c>
      <c r="I56" s="18">
        <v>8.5</v>
      </c>
      <c r="J56" s="18">
        <v>8.6300000000000008</v>
      </c>
      <c r="K56" s="18">
        <v>8.6300000000000008</v>
      </c>
      <c r="L56" s="18">
        <v>8.19</v>
      </c>
      <c r="M56"/>
      <c r="N56" s="4">
        <v>8.51</v>
      </c>
      <c r="O56" s="4">
        <f>N56-'Sonde étalon'!$C$13</f>
        <v>8.68</v>
      </c>
      <c r="P56"/>
      <c r="R56" s="4">
        <f t="shared" si="33"/>
        <v>-0.11999999999999922</v>
      </c>
      <c r="S56" s="4">
        <f t="shared" si="34"/>
        <v>-0.36999999999999922</v>
      </c>
      <c r="T56" s="4">
        <f t="shared" si="35"/>
        <v>-0.11999999999999922</v>
      </c>
      <c r="U56" s="4">
        <f t="shared" si="36"/>
        <v>-0.24000000000000021</v>
      </c>
      <c r="V56" s="4">
        <f t="shared" si="37"/>
        <v>-0.42999999999999972</v>
      </c>
      <c r="W56" s="4">
        <f t="shared" si="38"/>
        <v>-0.17999999999999972</v>
      </c>
      <c r="X56" s="4">
        <f t="shared" si="39"/>
        <v>-4.9999999999998934E-2</v>
      </c>
      <c r="Y56" s="4">
        <f t="shared" si="40"/>
        <v>-4.9999999999998934E-2</v>
      </c>
      <c r="Z56" s="4">
        <f t="shared" si="41"/>
        <v>-0.49000000000000021</v>
      </c>
      <c r="AB56"/>
      <c r="AC56" s="4">
        <f t="shared" si="15"/>
        <v>8.6691000000000003</v>
      </c>
      <c r="AD56" s="4">
        <f t="shared" si="16"/>
        <v>8.5470500000000005</v>
      </c>
      <c r="AE56" s="4">
        <f t="shared" si="17"/>
        <v>8.6499000000000006</v>
      </c>
      <c r="AF56" s="4">
        <f t="shared" si="18"/>
        <v>8.7835999999999999</v>
      </c>
      <c r="AG56" s="4">
        <f t="shared" si="19"/>
        <v>8.6359999999999992</v>
      </c>
      <c r="AH56" s="4">
        <f t="shared" si="20"/>
        <v>8.8620000000000001</v>
      </c>
      <c r="AI56" s="4">
        <f t="shared" si="21"/>
        <v>8.5944500000000001</v>
      </c>
      <c r="AJ56" s="4">
        <f t="shared" si="22"/>
        <v>8.7248000000000001</v>
      </c>
      <c r="AK56" s="4">
        <f t="shared" si="23"/>
        <v>8.8251499999999989</v>
      </c>
      <c r="AM56"/>
      <c r="AN56" s="4">
        <f t="shared" si="24"/>
        <v>-1.0899999999999466E-2</v>
      </c>
      <c r="AO56" s="4">
        <f t="shared" si="25"/>
        <v>-0.13294999999999924</v>
      </c>
      <c r="AP56" s="4">
        <f t="shared" si="26"/>
        <v>-3.0099999999999127E-2</v>
      </c>
      <c r="AQ56" s="4">
        <f t="shared" si="27"/>
        <v>0.10360000000000014</v>
      </c>
      <c r="AR56" s="4">
        <f t="shared" si="28"/>
        <v>-4.4000000000000483E-2</v>
      </c>
      <c r="AS56" s="4">
        <f t="shared" si="29"/>
        <v>0.18200000000000038</v>
      </c>
      <c r="AT56" s="4">
        <f t="shared" si="30"/>
        <v>-8.5549999999999571E-2</v>
      </c>
      <c r="AU56" s="4">
        <f t="shared" si="31"/>
        <v>4.4800000000000395E-2</v>
      </c>
      <c r="AV56" s="4">
        <f t="shared" si="32"/>
        <v>0.14514999999999922</v>
      </c>
    </row>
    <row r="57" spans="1:48" x14ac:dyDescent="0.25">
      <c r="A57" s="18">
        <v>57</v>
      </c>
      <c r="B57" s="19">
        <v>43552</v>
      </c>
      <c r="C57" s="20">
        <v>0.45443287037037039</v>
      </c>
      <c r="D57" s="18">
        <v>8.56</v>
      </c>
      <c r="E57" s="18">
        <v>8.3800000000000008</v>
      </c>
      <c r="F57" s="18">
        <v>8.6300000000000008</v>
      </c>
      <c r="G57" s="18">
        <v>8.44</v>
      </c>
      <c r="H57" s="18">
        <v>8.31</v>
      </c>
      <c r="I57" s="18">
        <v>8.56</v>
      </c>
      <c r="J57" s="18">
        <v>8.69</v>
      </c>
      <c r="K57" s="18">
        <v>8.6300000000000008</v>
      </c>
      <c r="L57" s="18">
        <v>8.25</v>
      </c>
      <c r="M57"/>
      <c r="N57" s="4">
        <v>8.57</v>
      </c>
      <c r="O57" s="4">
        <f>N57-'Sonde étalon'!$C$13</f>
        <v>8.74</v>
      </c>
      <c r="P57"/>
      <c r="R57" s="4">
        <f t="shared" si="33"/>
        <v>-0.17999999999999972</v>
      </c>
      <c r="S57" s="4">
        <f t="shared" si="34"/>
        <v>-0.35999999999999943</v>
      </c>
      <c r="T57" s="4">
        <f t="shared" si="35"/>
        <v>-0.10999999999999943</v>
      </c>
      <c r="U57" s="4">
        <f t="shared" si="36"/>
        <v>-0.30000000000000071</v>
      </c>
      <c r="V57" s="4">
        <f t="shared" si="37"/>
        <v>-0.42999999999999972</v>
      </c>
      <c r="W57" s="4">
        <f t="shared" si="38"/>
        <v>-0.17999999999999972</v>
      </c>
      <c r="X57" s="4">
        <f t="shared" si="39"/>
        <v>-5.0000000000000711E-2</v>
      </c>
      <c r="Y57" s="4">
        <f t="shared" si="40"/>
        <v>-0.10999999999999943</v>
      </c>
      <c r="Z57" s="4">
        <f t="shared" si="41"/>
        <v>-0.49000000000000021</v>
      </c>
      <c r="AB57"/>
      <c r="AC57" s="4">
        <f t="shared" si="15"/>
        <v>8.6691000000000003</v>
      </c>
      <c r="AD57" s="4">
        <f t="shared" si="16"/>
        <v>8.6170500000000008</v>
      </c>
      <c r="AE57" s="4">
        <f t="shared" si="17"/>
        <v>8.7199000000000009</v>
      </c>
      <c r="AF57" s="4">
        <f t="shared" si="18"/>
        <v>8.7835999999999999</v>
      </c>
      <c r="AG57" s="4">
        <f t="shared" si="19"/>
        <v>8.6959999999999997</v>
      </c>
      <c r="AH57" s="4">
        <f t="shared" si="20"/>
        <v>8.9220000000000006</v>
      </c>
      <c r="AI57" s="4">
        <f t="shared" si="21"/>
        <v>8.6544499999999989</v>
      </c>
      <c r="AJ57" s="4">
        <f t="shared" si="22"/>
        <v>8.7248000000000001</v>
      </c>
      <c r="AK57" s="4">
        <f t="shared" si="23"/>
        <v>8.8851499999999994</v>
      </c>
      <c r="AM57"/>
      <c r="AN57" s="4">
        <f t="shared" si="24"/>
        <v>-7.0899999999999963E-2</v>
      </c>
      <c r="AO57" s="4">
        <f t="shared" si="25"/>
        <v>-0.12294999999999945</v>
      </c>
      <c r="AP57" s="4">
        <f t="shared" si="26"/>
        <v>-2.0099999999999341E-2</v>
      </c>
      <c r="AQ57" s="4">
        <f t="shared" si="27"/>
        <v>4.3599999999999639E-2</v>
      </c>
      <c r="AR57" s="4">
        <f t="shared" si="28"/>
        <v>-4.4000000000000483E-2</v>
      </c>
      <c r="AS57" s="4">
        <f t="shared" si="29"/>
        <v>0.18200000000000038</v>
      </c>
      <c r="AT57" s="4">
        <f t="shared" si="30"/>
        <v>-8.5550000000001347E-2</v>
      </c>
      <c r="AU57" s="4">
        <f t="shared" si="31"/>
        <v>-1.5200000000000102E-2</v>
      </c>
      <c r="AV57" s="4">
        <f t="shared" si="32"/>
        <v>0.14514999999999922</v>
      </c>
    </row>
    <row r="58" spans="1:48" x14ac:dyDescent="0.25">
      <c r="A58" s="18">
        <v>58</v>
      </c>
      <c r="B58" s="19">
        <v>43552</v>
      </c>
      <c r="C58" s="20">
        <v>0.45512731481481478</v>
      </c>
      <c r="D58" s="18">
        <v>8.6300000000000008</v>
      </c>
      <c r="E58" s="18">
        <v>8.44</v>
      </c>
      <c r="F58" s="18">
        <v>8.69</v>
      </c>
      <c r="G58" s="18">
        <v>8.5</v>
      </c>
      <c r="H58" s="18">
        <v>8.3800000000000008</v>
      </c>
      <c r="I58" s="18">
        <v>8.6300000000000008</v>
      </c>
      <c r="J58" s="18">
        <v>8.75</v>
      </c>
      <c r="K58" s="18">
        <v>8.69</v>
      </c>
      <c r="L58" s="18">
        <v>8.25</v>
      </c>
      <c r="M58"/>
      <c r="N58" s="4">
        <v>8.6199999999999992</v>
      </c>
      <c r="O58" s="4">
        <f>N58-'Sonde étalon'!$C$13</f>
        <v>8.7899999999999991</v>
      </c>
      <c r="P58"/>
      <c r="R58" s="4">
        <f t="shared" si="33"/>
        <v>-0.15999999999999837</v>
      </c>
      <c r="S58" s="4">
        <f t="shared" si="34"/>
        <v>-0.34999999999999964</v>
      </c>
      <c r="T58" s="4">
        <f t="shared" si="35"/>
        <v>-9.9999999999999645E-2</v>
      </c>
      <c r="U58" s="4">
        <f t="shared" si="36"/>
        <v>-0.28999999999999915</v>
      </c>
      <c r="V58" s="4">
        <f t="shared" si="37"/>
        <v>-0.40999999999999837</v>
      </c>
      <c r="W58" s="4">
        <f t="shared" si="38"/>
        <v>-0.15999999999999837</v>
      </c>
      <c r="X58" s="4">
        <f t="shared" si="39"/>
        <v>-3.9999999999999147E-2</v>
      </c>
      <c r="Y58" s="4">
        <f t="shared" si="40"/>
        <v>-9.9999999999999645E-2</v>
      </c>
      <c r="Z58" s="4">
        <f t="shared" si="41"/>
        <v>-0.53999999999999915</v>
      </c>
      <c r="AB58"/>
      <c r="AC58" s="4">
        <f t="shared" si="15"/>
        <v>8.7391000000000005</v>
      </c>
      <c r="AD58" s="4">
        <f t="shared" si="16"/>
        <v>8.6770499999999995</v>
      </c>
      <c r="AE58" s="4">
        <f t="shared" si="17"/>
        <v>8.7798999999999996</v>
      </c>
      <c r="AF58" s="4">
        <f t="shared" si="18"/>
        <v>8.8436000000000003</v>
      </c>
      <c r="AG58" s="4">
        <f t="shared" si="19"/>
        <v>8.766</v>
      </c>
      <c r="AH58" s="4">
        <f t="shared" si="20"/>
        <v>8.9920000000000009</v>
      </c>
      <c r="AI58" s="4">
        <f t="shared" si="21"/>
        <v>8.7144499999999994</v>
      </c>
      <c r="AJ58" s="4">
        <f t="shared" si="22"/>
        <v>8.7847999999999988</v>
      </c>
      <c r="AK58" s="4">
        <f t="shared" si="23"/>
        <v>8.8851499999999994</v>
      </c>
      <c r="AM58"/>
      <c r="AN58" s="4">
        <f t="shared" si="24"/>
        <v>-5.0899999999998613E-2</v>
      </c>
      <c r="AO58" s="4">
        <f t="shared" si="25"/>
        <v>-0.11294999999999966</v>
      </c>
      <c r="AP58" s="4">
        <f t="shared" si="26"/>
        <v>-1.0099999999999554E-2</v>
      </c>
      <c r="AQ58" s="4">
        <f t="shared" si="27"/>
        <v>5.3600000000001202E-2</v>
      </c>
      <c r="AR58" s="4">
        <f t="shared" si="28"/>
        <v>-2.3999999999999133E-2</v>
      </c>
      <c r="AS58" s="4">
        <f t="shared" si="29"/>
        <v>0.20200000000000173</v>
      </c>
      <c r="AT58" s="4">
        <f t="shared" si="30"/>
        <v>-7.5549999999999784E-2</v>
      </c>
      <c r="AU58" s="4">
        <f t="shared" si="31"/>
        <v>-5.2000000000003155E-3</v>
      </c>
      <c r="AV58" s="4">
        <f t="shared" si="32"/>
        <v>9.515000000000029E-2</v>
      </c>
    </row>
    <row r="59" spans="1:48" x14ac:dyDescent="0.25">
      <c r="A59" s="18">
        <v>59</v>
      </c>
      <c r="B59" s="19">
        <v>43552</v>
      </c>
      <c r="C59" s="20">
        <v>0.45582175925925927</v>
      </c>
      <c r="D59" s="18">
        <v>8.69</v>
      </c>
      <c r="E59" s="18">
        <v>8.5</v>
      </c>
      <c r="F59" s="18">
        <v>8.75</v>
      </c>
      <c r="G59" s="18">
        <v>8.56</v>
      </c>
      <c r="H59" s="18">
        <v>8.44</v>
      </c>
      <c r="I59" s="18">
        <v>8.69</v>
      </c>
      <c r="J59" s="18">
        <v>8.75</v>
      </c>
      <c r="K59" s="18">
        <v>8.75</v>
      </c>
      <c r="L59" s="18">
        <v>8.31</v>
      </c>
      <c r="M59"/>
      <c r="N59" s="4">
        <v>8.69</v>
      </c>
      <c r="O59" s="4">
        <f>N59-'Sonde étalon'!$C$13</f>
        <v>8.86</v>
      </c>
      <c r="P59"/>
      <c r="R59" s="4">
        <f t="shared" si="33"/>
        <v>-0.16999999999999993</v>
      </c>
      <c r="S59" s="4">
        <f t="shared" si="34"/>
        <v>-0.35999999999999943</v>
      </c>
      <c r="T59" s="4">
        <f t="shared" si="35"/>
        <v>-0.10999999999999943</v>
      </c>
      <c r="U59" s="4">
        <f t="shared" si="36"/>
        <v>-0.29999999999999893</v>
      </c>
      <c r="V59" s="4">
        <f t="shared" si="37"/>
        <v>-0.41999999999999993</v>
      </c>
      <c r="W59" s="4">
        <f t="shared" si="38"/>
        <v>-0.16999999999999993</v>
      </c>
      <c r="X59" s="4">
        <f t="shared" si="39"/>
        <v>-0.10999999999999943</v>
      </c>
      <c r="Y59" s="4">
        <f t="shared" si="40"/>
        <v>-0.10999999999999943</v>
      </c>
      <c r="Z59" s="4">
        <f t="shared" si="41"/>
        <v>-0.54999999999999893</v>
      </c>
      <c r="AB59"/>
      <c r="AC59" s="4">
        <f t="shared" si="15"/>
        <v>8.7990999999999993</v>
      </c>
      <c r="AD59" s="4">
        <f t="shared" si="16"/>
        <v>8.73705</v>
      </c>
      <c r="AE59" s="4">
        <f t="shared" si="17"/>
        <v>8.8399000000000001</v>
      </c>
      <c r="AF59" s="4">
        <f t="shared" si="18"/>
        <v>8.9036000000000008</v>
      </c>
      <c r="AG59" s="4">
        <f t="shared" si="19"/>
        <v>8.8259999999999987</v>
      </c>
      <c r="AH59" s="4">
        <f t="shared" si="20"/>
        <v>9.0519999999999996</v>
      </c>
      <c r="AI59" s="4">
        <f t="shared" si="21"/>
        <v>8.7144499999999994</v>
      </c>
      <c r="AJ59" s="4">
        <f t="shared" si="22"/>
        <v>8.8447999999999993</v>
      </c>
      <c r="AK59" s="4">
        <f t="shared" si="23"/>
        <v>8.9451499999999999</v>
      </c>
      <c r="AM59"/>
      <c r="AN59" s="4">
        <f t="shared" si="24"/>
        <v>-6.0900000000000176E-2</v>
      </c>
      <c r="AO59" s="4">
        <f t="shared" si="25"/>
        <v>-0.12294999999999945</v>
      </c>
      <c r="AP59" s="4">
        <f t="shared" si="26"/>
        <v>-2.0099999999999341E-2</v>
      </c>
      <c r="AQ59" s="4">
        <f t="shared" si="27"/>
        <v>4.3600000000001415E-2</v>
      </c>
      <c r="AR59" s="4">
        <f t="shared" si="28"/>
        <v>-3.4000000000000696E-2</v>
      </c>
      <c r="AS59" s="4">
        <f t="shared" si="29"/>
        <v>0.19200000000000017</v>
      </c>
      <c r="AT59" s="4">
        <f t="shared" si="30"/>
        <v>-0.14555000000000007</v>
      </c>
      <c r="AU59" s="4">
        <f t="shared" si="31"/>
        <v>-1.5200000000000102E-2</v>
      </c>
      <c r="AV59" s="4">
        <f t="shared" si="32"/>
        <v>8.5150000000000503E-2</v>
      </c>
    </row>
    <row r="60" spans="1:48" x14ac:dyDescent="0.25">
      <c r="A60" s="18">
        <v>60</v>
      </c>
      <c r="B60" s="19">
        <v>43552</v>
      </c>
      <c r="C60" s="20">
        <v>0.45651620370370366</v>
      </c>
      <c r="D60" s="18">
        <v>8.75</v>
      </c>
      <c r="E60" s="18">
        <v>8.56</v>
      </c>
      <c r="F60" s="18">
        <v>8.81</v>
      </c>
      <c r="G60" s="18">
        <v>8.6300000000000008</v>
      </c>
      <c r="H60" s="18">
        <v>8.5</v>
      </c>
      <c r="I60" s="18">
        <v>8.75</v>
      </c>
      <c r="J60" s="18">
        <v>8.81</v>
      </c>
      <c r="K60" s="18">
        <v>8.81</v>
      </c>
      <c r="L60" s="18">
        <v>8.3800000000000008</v>
      </c>
      <c r="M60"/>
      <c r="N60" s="4">
        <v>8.74</v>
      </c>
      <c r="O60" s="4">
        <f>N60-'Sonde étalon'!$C$13</f>
        <v>8.91</v>
      </c>
      <c r="P60"/>
      <c r="R60" s="4">
        <f t="shared" si="33"/>
        <v>-0.16000000000000014</v>
      </c>
      <c r="S60" s="4">
        <f t="shared" si="34"/>
        <v>-0.34999999999999964</v>
      </c>
      <c r="T60" s="4">
        <f t="shared" si="35"/>
        <v>-9.9999999999999645E-2</v>
      </c>
      <c r="U60" s="4">
        <f t="shared" si="36"/>
        <v>-0.27999999999999936</v>
      </c>
      <c r="V60" s="4">
        <f t="shared" si="37"/>
        <v>-0.41000000000000014</v>
      </c>
      <c r="W60" s="4">
        <f t="shared" si="38"/>
        <v>-0.16000000000000014</v>
      </c>
      <c r="X60" s="4">
        <f t="shared" si="39"/>
        <v>-9.9999999999999645E-2</v>
      </c>
      <c r="Y60" s="4">
        <f t="shared" si="40"/>
        <v>-9.9999999999999645E-2</v>
      </c>
      <c r="Z60" s="4">
        <f t="shared" si="41"/>
        <v>-0.52999999999999936</v>
      </c>
      <c r="AB60"/>
      <c r="AC60" s="4">
        <f t="shared" si="15"/>
        <v>8.8590999999999998</v>
      </c>
      <c r="AD60" s="4">
        <f t="shared" si="16"/>
        <v>8.7970500000000005</v>
      </c>
      <c r="AE60" s="4">
        <f t="shared" si="17"/>
        <v>8.8999000000000006</v>
      </c>
      <c r="AF60" s="4">
        <f t="shared" si="18"/>
        <v>8.9736000000000011</v>
      </c>
      <c r="AG60" s="4">
        <f t="shared" si="19"/>
        <v>8.8859999999999992</v>
      </c>
      <c r="AH60" s="4">
        <f t="shared" si="20"/>
        <v>9.1120000000000001</v>
      </c>
      <c r="AI60" s="4">
        <f t="shared" si="21"/>
        <v>8.7744499999999999</v>
      </c>
      <c r="AJ60" s="4">
        <f t="shared" si="22"/>
        <v>8.9047999999999998</v>
      </c>
      <c r="AK60" s="4">
        <f t="shared" si="23"/>
        <v>9.0151500000000002</v>
      </c>
      <c r="AM60"/>
      <c r="AN60" s="4">
        <f t="shared" si="24"/>
        <v>-5.0900000000000389E-2</v>
      </c>
      <c r="AO60" s="4">
        <f t="shared" si="25"/>
        <v>-0.11294999999999966</v>
      </c>
      <c r="AP60" s="4">
        <f t="shared" si="26"/>
        <v>-1.0099999999999554E-2</v>
      </c>
      <c r="AQ60" s="4">
        <f t="shared" si="27"/>
        <v>6.3600000000000989E-2</v>
      </c>
      <c r="AR60" s="4">
        <f t="shared" si="28"/>
        <v>-2.4000000000000909E-2</v>
      </c>
      <c r="AS60" s="4">
        <f t="shared" si="29"/>
        <v>0.20199999999999996</v>
      </c>
      <c r="AT60" s="4">
        <f t="shared" si="30"/>
        <v>-0.13555000000000028</v>
      </c>
      <c r="AU60" s="4">
        <f t="shared" si="31"/>
        <v>-5.2000000000003155E-3</v>
      </c>
      <c r="AV60" s="4">
        <f t="shared" si="32"/>
        <v>0.10515000000000008</v>
      </c>
    </row>
    <row r="61" spans="1:48" x14ac:dyDescent="0.25">
      <c r="A61" s="18">
        <v>61</v>
      </c>
      <c r="B61" s="19">
        <v>43552</v>
      </c>
      <c r="C61" s="20">
        <v>0.45721064814814816</v>
      </c>
      <c r="D61" s="18">
        <v>8.81</v>
      </c>
      <c r="E61" s="18">
        <v>8.6300000000000008</v>
      </c>
      <c r="F61" s="18">
        <v>8.8800000000000008</v>
      </c>
      <c r="G61" s="18">
        <v>8.69</v>
      </c>
      <c r="H61" s="18">
        <v>8.56</v>
      </c>
      <c r="I61" s="18">
        <v>8.81</v>
      </c>
      <c r="J61" s="18">
        <v>8.8800000000000008</v>
      </c>
      <c r="K61" s="18">
        <v>8.8800000000000008</v>
      </c>
      <c r="L61" s="18">
        <v>8.44</v>
      </c>
      <c r="M61"/>
      <c r="N61" s="4">
        <v>8.7899999999999991</v>
      </c>
      <c r="O61" s="4">
        <f>N61-'Sonde étalon'!$C$13</f>
        <v>8.9599999999999991</v>
      </c>
      <c r="P61"/>
      <c r="R61" s="4">
        <f t="shared" si="33"/>
        <v>-0.14999999999999858</v>
      </c>
      <c r="S61" s="4">
        <f t="shared" si="34"/>
        <v>-0.32999999999999829</v>
      </c>
      <c r="T61" s="4">
        <f t="shared" si="35"/>
        <v>-7.9999999999998295E-2</v>
      </c>
      <c r="U61" s="4">
        <f t="shared" si="36"/>
        <v>-0.26999999999999957</v>
      </c>
      <c r="V61" s="4">
        <f t="shared" si="37"/>
        <v>-0.39999999999999858</v>
      </c>
      <c r="W61" s="4">
        <f t="shared" si="38"/>
        <v>-0.14999999999999858</v>
      </c>
      <c r="X61" s="4">
        <f t="shared" si="39"/>
        <v>-7.9999999999998295E-2</v>
      </c>
      <c r="Y61" s="4">
        <f t="shared" si="40"/>
        <v>-7.9999999999998295E-2</v>
      </c>
      <c r="Z61" s="4">
        <f t="shared" si="41"/>
        <v>-0.51999999999999957</v>
      </c>
      <c r="AB61"/>
      <c r="AC61" s="4">
        <f t="shared" si="15"/>
        <v>8.9191000000000003</v>
      </c>
      <c r="AD61" s="4">
        <f t="shared" si="16"/>
        <v>8.8670500000000008</v>
      </c>
      <c r="AE61" s="4">
        <f t="shared" si="17"/>
        <v>8.9699000000000009</v>
      </c>
      <c r="AF61" s="4">
        <f t="shared" si="18"/>
        <v>9.0335999999999999</v>
      </c>
      <c r="AG61" s="4">
        <f t="shared" si="19"/>
        <v>8.9459999999999997</v>
      </c>
      <c r="AH61" s="4">
        <f t="shared" si="20"/>
        <v>9.1720000000000006</v>
      </c>
      <c r="AI61" s="4">
        <f t="shared" si="21"/>
        <v>8.8444500000000001</v>
      </c>
      <c r="AJ61" s="4">
        <f t="shared" si="22"/>
        <v>8.9748000000000001</v>
      </c>
      <c r="AK61" s="4">
        <f t="shared" si="23"/>
        <v>9.0751499999999989</v>
      </c>
      <c r="AM61"/>
      <c r="AN61" s="4">
        <f t="shared" si="24"/>
        <v>-4.0899999999998826E-2</v>
      </c>
      <c r="AO61" s="4">
        <f t="shared" si="25"/>
        <v>-9.2949999999998312E-2</v>
      </c>
      <c r="AP61" s="4">
        <f t="shared" si="26"/>
        <v>9.9000000000017963E-3</v>
      </c>
      <c r="AQ61" s="4">
        <f t="shared" si="27"/>
        <v>7.3600000000000776E-2</v>
      </c>
      <c r="AR61" s="4">
        <f t="shared" si="28"/>
        <v>-1.3999999999999346E-2</v>
      </c>
      <c r="AS61" s="4">
        <f t="shared" si="29"/>
        <v>0.21200000000000152</v>
      </c>
      <c r="AT61" s="4">
        <f t="shared" si="30"/>
        <v>-0.11554999999999893</v>
      </c>
      <c r="AU61" s="4">
        <f t="shared" si="31"/>
        <v>1.4800000000001035E-2</v>
      </c>
      <c r="AV61" s="4">
        <f t="shared" si="32"/>
        <v>0.11514999999999986</v>
      </c>
    </row>
    <row r="62" spans="1:48" x14ac:dyDescent="0.25">
      <c r="A62" s="18">
        <v>62</v>
      </c>
      <c r="B62" s="19">
        <v>43552</v>
      </c>
      <c r="C62" s="20">
        <v>0.45790509259259254</v>
      </c>
      <c r="D62" s="18">
        <v>8.8800000000000008</v>
      </c>
      <c r="E62" s="18">
        <v>8.69</v>
      </c>
      <c r="F62" s="18">
        <v>8.8800000000000008</v>
      </c>
      <c r="G62" s="18">
        <v>8.75</v>
      </c>
      <c r="H62" s="18">
        <v>8.56</v>
      </c>
      <c r="I62" s="18">
        <v>8.8800000000000008</v>
      </c>
      <c r="J62" s="18">
        <v>8.94</v>
      </c>
      <c r="K62" s="18">
        <v>8.94</v>
      </c>
      <c r="L62" s="18">
        <v>8.5</v>
      </c>
      <c r="M62"/>
      <c r="N62" s="4">
        <v>8.84</v>
      </c>
      <c r="O62" s="4">
        <f>N62-'Sonde étalon'!$C$13</f>
        <v>9.01</v>
      </c>
      <c r="P62"/>
      <c r="R62" s="4">
        <f t="shared" si="33"/>
        <v>-0.12999999999999901</v>
      </c>
      <c r="S62" s="4">
        <f t="shared" si="34"/>
        <v>-0.32000000000000028</v>
      </c>
      <c r="T62" s="4">
        <f t="shared" si="35"/>
        <v>-0.12999999999999901</v>
      </c>
      <c r="U62" s="4">
        <f t="shared" si="36"/>
        <v>-0.25999999999999979</v>
      </c>
      <c r="V62" s="4">
        <f t="shared" si="37"/>
        <v>-0.44999999999999929</v>
      </c>
      <c r="W62" s="4">
        <f t="shared" si="38"/>
        <v>-0.12999999999999901</v>
      </c>
      <c r="X62" s="4">
        <f t="shared" si="39"/>
        <v>-7.0000000000000284E-2</v>
      </c>
      <c r="Y62" s="4">
        <f t="shared" si="40"/>
        <v>-7.0000000000000284E-2</v>
      </c>
      <c r="Z62" s="4">
        <f t="shared" si="41"/>
        <v>-0.50999999999999979</v>
      </c>
      <c r="AB62"/>
      <c r="AC62" s="4">
        <f t="shared" si="15"/>
        <v>8.9891000000000005</v>
      </c>
      <c r="AD62" s="4">
        <f t="shared" si="16"/>
        <v>8.9270499999999995</v>
      </c>
      <c r="AE62" s="4">
        <f t="shared" si="17"/>
        <v>8.9699000000000009</v>
      </c>
      <c r="AF62" s="4">
        <f t="shared" si="18"/>
        <v>9.0936000000000003</v>
      </c>
      <c r="AG62" s="4">
        <f t="shared" si="19"/>
        <v>8.9459999999999997</v>
      </c>
      <c r="AH62" s="4">
        <f t="shared" si="20"/>
        <v>9.2420000000000009</v>
      </c>
      <c r="AI62" s="4">
        <f t="shared" si="21"/>
        <v>8.9044499999999989</v>
      </c>
      <c r="AJ62" s="4">
        <f t="shared" si="22"/>
        <v>9.0347999999999988</v>
      </c>
      <c r="AK62" s="4">
        <f t="shared" si="23"/>
        <v>9.1351499999999994</v>
      </c>
      <c r="AM62"/>
      <c r="AN62" s="4">
        <f t="shared" si="24"/>
        <v>-2.0899999999999253E-2</v>
      </c>
      <c r="AO62" s="4">
        <f t="shared" si="25"/>
        <v>-8.2950000000000301E-2</v>
      </c>
      <c r="AP62" s="4">
        <f t="shared" si="26"/>
        <v>-4.0099999999998914E-2</v>
      </c>
      <c r="AQ62" s="4">
        <f t="shared" si="27"/>
        <v>8.3600000000000563E-2</v>
      </c>
      <c r="AR62" s="4">
        <f t="shared" si="28"/>
        <v>-6.4000000000000057E-2</v>
      </c>
      <c r="AS62" s="4">
        <f t="shared" si="29"/>
        <v>0.23200000000000109</v>
      </c>
      <c r="AT62" s="4">
        <f t="shared" si="30"/>
        <v>-0.10555000000000092</v>
      </c>
      <c r="AU62" s="4">
        <f t="shared" si="31"/>
        <v>2.4799999999999045E-2</v>
      </c>
      <c r="AV62" s="4">
        <f t="shared" si="32"/>
        <v>0.12514999999999965</v>
      </c>
    </row>
    <row r="63" spans="1:48" x14ac:dyDescent="0.25">
      <c r="A63" s="18">
        <v>63</v>
      </c>
      <c r="B63" s="19">
        <v>43552</v>
      </c>
      <c r="C63" s="20">
        <v>0.45859953703703704</v>
      </c>
      <c r="D63" s="18">
        <v>8.94</v>
      </c>
      <c r="E63" s="18">
        <v>8.75</v>
      </c>
      <c r="F63" s="18">
        <v>8.94</v>
      </c>
      <c r="G63" s="18">
        <v>8.81</v>
      </c>
      <c r="H63" s="18">
        <v>8.6300000000000008</v>
      </c>
      <c r="I63" s="18">
        <v>8.8800000000000008</v>
      </c>
      <c r="J63" s="18">
        <v>9</v>
      </c>
      <c r="K63" s="18">
        <v>8.94</v>
      </c>
      <c r="L63" s="18">
        <v>8.56</v>
      </c>
      <c r="M63"/>
      <c r="N63" s="4">
        <v>8.9</v>
      </c>
      <c r="O63" s="4">
        <f>N63-'Sonde étalon'!$C$13</f>
        <v>9.07</v>
      </c>
      <c r="P63"/>
      <c r="R63" s="4">
        <f t="shared" si="33"/>
        <v>-0.13000000000000078</v>
      </c>
      <c r="S63" s="4">
        <f t="shared" si="34"/>
        <v>-0.32000000000000028</v>
      </c>
      <c r="T63" s="4">
        <f t="shared" si="35"/>
        <v>-0.13000000000000078</v>
      </c>
      <c r="U63" s="4">
        <f t="shared" si="36"/>
        <v>-0.25999999999999979</v>
      </c>
      <c r="V63" s="4">
        <f t="shared" si="37"/>
        <v>-0.4399999999999995</v>
      </c>
      <c r="W63" s="4">
        <f t="shared" si="38"/>
        <v>-0.1899999999999995</v>
      </c>
      <c r="X63" s="4">
        <f t="shared" si="39"/>
        <v>-7.0000000000000284E-2</v>
      </c>
      <c r="Y63" s="4">
        <f t="shared" si="40"/>
        <v>-0.13000000000000078</v>
      </c>
      <c r="Z63" s="4">
        <f t="shared" si="41"/>
        <v>-0.50999999999999979</v>
      </c>
      <c r="AB63"/>
      <c r="AC63" s="4">
        <f t="shared" si="15"/>
        <v>9.0490999999999993</v>
      </c>
      <c r="AD63" s="4">
        <f t="shared" si="16"/>
        <v>8.98705</v>
      </c>
      <c r="AE63" s="4">
        <f t="shared" si="17"/>
        <v>9.0298999999999996</v>
      </c>
      <c r="AF63" s="4">
        <f t="shared" si="18"/>
        <v>9.1536000000000008</v>
      </c>
      <c r="AG63" s="4">
        <f t="shared" si="19"/>
        <v>9.016</v>
      </c>
      <c r="AH63" s="4">
        <f t="shared" si="20"/>
        <v>9.2420000000000009</v>
      </c>
      <c r="AI63" s="4">
        <f t="shared" si="21"/>
        <v>8.9644499999999994</v>
      </c>
      <c r="AJ63" s="4">
        <f t="shared" si="22"/>
        <v>9.0347999999999988</v>
      </c>
      <c r="AK63" s="4">
        <f t="shared" si="23"/>
        <v>9.1951499999999999</v>
      </c>
      <c r="AM63"/>
      <c r="AN63" s="4">
        <f t="shared" si="24"/>
        <v>-2.0900000000001029E-2</v>
      </c>
      <c r="AO63" s="4">
        <f t="shared" si="25"/>
        <v>-8.2950000000000301E-2</v>
      </c>
      <c r="AP63" s="4">
        <f t="shared" si="26"/>
        <v>-4.0100000000000691E-2</v>
      </c>
      <c r="AQ63" s="4">
        <f t="shared" si="27"/>
        <v>8.3600000000000563E-2</v>
      </c>
      <c r="AR63" s="4">
        <f t="shared" si="28"/>
        <v>-5.400000000000027E-2</v>
      </c>
      <c r="AS63" s="4">
        <f t="shared" si="29"/>
        <v>0.1720000000000006</v>
      </c>
      <c r="AT63" s="4">
        <f t="shared" si="30"/>
        <v>-0.10555000000000092</v>
      </c>
      <c r="AU63" s="4">
        <f t="shared" si="31"/>
        <v>-3.5200000000001452E-2</v>
      </c>
      <c r="AV63" s="4">
        <f t="shared" si="32"/>
        <v>0.12514999999999965</v>
      </c>
    </row>
    <row r="64" spans="1:48" x14ac:dyDescent="0.25">
      <c r="A64" s="18">
        <v>64</v>
      </c>
      <c r="B64" s="19">
        <v>43552</v>
      </c>
      <c r="C64" s="20">
        <v>0.45929398148148143</v>
      </c>
      <c r="D64" s="18">
        <v>8.94</v>
      </c>
      <c r="E64" s="18">
        <v>8.75</v>
      </c>
      <c r="F64" s="18">
        <v>9</v>
      </c>
      <c r="G64" s="18">
        <v>8.81</v>
      </c>
      <c r="H64" s="18">
        <v>8.69</v>
      </c>
      <c r="I64" s="18">
        <v>8.94</v>
      </c>
      <c r="J64" s="18">
        <v>9</v>
      </c>
      <c r="K64" s="18">
        <v>9</v>
      </c>
      <c r="L64" s="18">
        <v>8.56</v>
      </c>
      <c r="M64"/>
      <c r="N64" s="4">
        <v>8.9499999999999993</v>
      </c>
      <c r="O64" s="4">
        <f>N64-'Sonde étalon'!$C$13</f>
        <v>9.1199999999999992</v>
      </c>
      <c r="P64"/>
      <c r="R64" s="4">
        <f t="shared" si="33"/>
        <v>-0.17999999999999972</v>
      </c>
      <c r="S64" s="4">
        <f t="shared" si="34"/>
        <v>-0.36999999999999922</v>
      </c>
      <c r="T64" s="4">
        <f t="shared" si="35"/>
        <v>-0.11999999999999922</v>
      </c>
      <c r="U64" s="4">
        <f t="shared" si="36"/>
        <v>-0.30999999999999872</v>
      </c>
      <c r="V64" s="4">
        <f t="shared" si="37"/>
        <v>-0.42999999999999972</v>
      </c>
      <c r="W64" s="4">
        <f t="shared" si="38"/>
        <v>-0.17999999999999972</v>
      </c>
      <c r="X64" s="4">
        <f t="shared" si="39"/>
        <v>-0.11999999999999922</v>
      </c>
      <c r="Y64" s="4">
        <f t="shared" si="40"/>
        <v>-0.11999999999999922</v>
      </c>
      <c r="Z64" s="4">
        <f t="shared" si="41"/>
        <v>-0.55999999999999872</v>
      </c>
      <c r="AB64"/>
      <c r="AC64" s="4">
        <f t="shared" si="15"/>
        <v>9.0490999999999993</v>
      </c>
      <c r="AD64" s="4">
        <f t="shared" si="16"/>
        <v>8.98705</v>
      </c>
      <c r="AE64" s="4">
        <f t="shared" si="17"/>
        <v>9.0899000000000001</v>
      </c>
      <c r="AF64" s="4">
        <f t="shared" si="18"/>
        <v>9.1536000000000008</v>
      </c>
      <c r="AG64" s="4">
        <f t="shared" si="19"/>
        <v>9.0759999999999987</v>
      </c>
      <c r="AH64" s="4">
        <f t="shared" si="20"/>
        <v>9.3019999999999996</v>
      </c>
      <c r="AI64" s="4">
        <f t="shared" si="21"/>
        <v>8.9644499999999994</v>
      </c>
      <c r="AJ64" s="4">
        <f t="shared" si="22"/>
        <v>9.0947999999999993</v>
      </c>
      <c r="AK64" s="4">
        <f t="shared" si="23"/>
        <v>9.1951499999999999</v>
      </c>
      <c r="AM64"/>
      <c r="AN64" s="4">
        <f t="shared" si="24"/>
        <v>-7.0899999999999963E-2</v>
      </c>
      <c r="AO64" s="4">
        <f t="shared" si="25"/>
        <v>-0.13294999999999924</v>
      </c>
      <c r="AP64" s="4">
        <f t="shared" si="26"/>
        <v>-3.0099999999999127E-2</v>
      </c>
      <c r="AQ64" s="4">
        <f t="shared" si="27"/>
        <v>3.3600000000001629E-2</v>
      </c>
      <c r="AR64" s="4">
        <f t="shared" si="28"/>
        <v>-4.4000000000000483E-2</v>
      </c>
      <c r="AS64" s="4">
        <f t="shared" si="29"/>
        <v>0.18200000000000038</v>
      </c>
      <c r="AT64" s="4">
        <f t="shared" si="30"/>
        <v>-0.15554999999999986</v>
      </c>
      <c r="AU64" s="4">
        <f t="shared" si="31"/>
        <v>-2.5199999999999889E-2</v>
      </c>
      <c r="AV64" s="4">
        <f t="shared" si="32"/>
        <v>7.5150000000000716E-2</v>
      </c>
    </row>
    <row r="65" spans="1:48" x14ac:dyDescent="0.25">
      <c r="A65" s="18">
        <v>65</v>
      </c>
      <c r="B65" s="19">
        <v>43552</v>
      </c>
      <c r="C65" s="20">
        <v>0.45998842592592593</v>
      </c>
      <c r="D65" s="18">
        <v>9</v>
      </c>
      <c r="E65" s="18">
        <v>8.81</v>
      </c>
      <c r="F65" s="18">
        <v>9.06</v>
      </c>
      <c r="G65" s="18">
        <v>8.8800000000000008</v>
      </c>
      <c r="H65" s="18">
        <v>8.75</v>
      </c>
      <c r="I65" s="18">
        <v>9</v>
      </c>
      <c r="J65" s="18">
        <v>9.06</v>
      </c>
      <c r="K65" s="18">
        <v>9.06</v>
      </c>
      <c r="L65" s="18">
        <v>8.6300000000000008</v>
      </c>
      <c r="M65"/>
      <c r="N65" s="4">
        <v>8.99</v>
      </c>
      <c r="O65" s="4">
        <f>N65-'Sonde étalon'!$C$13</f>
        <v>9.16</v>
      </c>
      <c r="P65"/>
      <c r="R65" s="4">
        <f t="shared" si="33"/>
        <v>-0.16000000000000014</v>
      </c>
      <c r="S65" s="4">
        <f t="shared" si="34"/>
        <v>-0.34999999999999964</v>
      </c>
      <c r="T65" s="4">
        <f t="shared" si="35"/>
        <v>-9.9999999999999645E-2</v>
      </c>
      <c r="U65" s="4">
        <f t="shared" si="36"/>
        <v>-0.27999999999999936</v>
      </c>
      <c r="V65" s="4">
        <f t="shared" si="37"/>
        <v>-0.41000000000000014</v>
      </c>
      <c r="W65" s="4">
        <f t="shared" si="38"/>
        <v>-0.16000000000000014</v>
      </c>
      <c r="X65" s="4">
        <f t="shared" si="39"/>
        <v>-9.9999999999999645E-2</v>
      </c>
      <c r="Y65" s="4">
        <f t="shared" si="40"/>
        <v>-9.9999999999999645E-2</v>
      </c>
      <c r="Z65" s="4">
        <f t="shared" si="41"/>
        <v>-0.52999999999999936</v>
      </c>
      <c r="AB65"/>
      <c r="AC65" s="4">
        <f t="shared" si="15"/>
        <v>9.1090999999999998</v>
      </c>
      <c r="AD65" s="4">
        <f t="shared" si="16"/>
        <v>9.0470500000000005</v>
      </c>
      <c r="AE65" s="4">
        <f t="shared" si="17"/>
        <v>9.1499000000000006</v>
      </c>
      <c r="AF65" s="4">
        <f t="shared" si="18"/>
        <v>9.2236000000000011</v>
      </c>
      <c r="AG65" s="4">
        <f t="shared" si="19"/>
        <v>9.1359999999999992</v>
      </c>
      <c r="AH65" s="4">
        <f t="shared" si="20"/>
        <v>9.3620000000000001</v>
      </c>
      <c r="AI65" s="4">
        <f t="shared" si="21"/>
        <v>9.0244499999999999</v>
      </c>
      <c r="AJ65" s="4">
        <f t="shared" si="22"/>
        <v>9.1547999999999998</v>
      </c>
      <c r="AK65" s="4">
        <f t="shared" si="23"/>
        <v>9.2651500000000002</v>
      </c>
      <c r="AM65"/>
      <c r="AN65" s="4">
        <f t="shared" si="24"/>
        <v>-5.0900000000000389E-2</v>
      </c>
      <c r="AO65" s="4">
        <f t="shared" si="25"/>
        <v>-0.11294999999999966</v>
      </c>
      <c r="AP65" s="4">
        <f t="shared" si="26"/>
        <v>-1.0099999999999554E-2</v>
      </c>
      <c r="AQ65" s="4">
        <f t="shared" si="27"/>
        <v>6.3600000000000989E-2</v>
      </c>
      <c r="AR65" s="4">
        <f t="shared" si="28"/>
        <v>-2.4000000000000909E-2</v>
      </c>
      <c r="AS65" s="4">
        <f t="shared" si="29"/>
        <v>0.20199999999999996</v>
      </c>
      <c r="AT65" s="4">
        <f t="shared" si="30"/>
        <v>-0.13555000000000028</v>
      </c>
      <c r="AU65" s="4">
        <f t="shared" si="31"/>
        <v>-5.2000000000003155E-3</v>
      </c>
      <c r="AV65" s="4">
        <f t="shared" si="32"/>
        <v>0.10515000000000008</v>
      </c>
    </row>
    <row r="66" spans="1:48" x14ac:dyDescent="0.25">
      <c r="A66" s="18">
        <v>66</v>
      </c>
      <c r="B66" s="19">
        <v>43552</v>
      </c>
      <c r="C66" s="20">
        <v>0.46068287037037042</v>
      </c>
      <c r="D66" s="18">
        <v>9.06</v>
      </c>
      <c r="E66" s="18">
        <v>8.8800000000000008</v>
      </c>
      <c r="F66" s="18">
        <v>9.06</v>
      </c>
      <c r="G66" s="18">
        <v>8.94</v>
      </c>
      <c r="H66" s="18">
        <v>8.81</v>
      </c>
      <c r="I66" s="18">
        <v>9</v>
      </c>
      <c r="J66" s="18">
        <v>9.1300000000000008</v>
      </c>
      <c r="K66" s="18">
        <v>9.1300000000000008</v>
      </c>
      <c r="L66" s="18">
        <v>8.69</v>
      </c>
      <c r="M66"/>
      <c r="N66" s="4">
        <v>9.0399999999999991</v>
      </c>
      <c r="O66" s="4">
        <f>N66-'Sonde étalon'!$C$13</f>
        <v>9.2099999999999991</v>
      </c>
      <c r="P66"/>
      <c r="R66" s="4">
        <f t="shared" si="33"/>
        <v>-0.14999999999999858</v>
      </c>
      <c r="S66" s="4">
        <f t="shared" si="34"/>
        <v>-0.32999999999999829</v>
      </c>
      <c r="T66" s="4">
        <f t="shared" si="35"/>
        <v>-0.14999999999999858</v>
      </c>
      <c r="U66" s="4">
        <f t="shared" si="36"/>
        <v>-0.26999999999999957</v>
      </c>
      <c r="V66" s="4">
        <f t="shared" si="37"/>
        <v>-0.39999999999999858</v>
      </c>
      <c r="W66" s="4">
        <f t="shared" si="38"/>
        <v>-0.20999999999999908</v>
      </c>
      <c r="X66" s="4">
        <f t="shared" si="39"/>
        <v>-7.9999999999998295E-2</v>
      </c>
      <c r="Y66" s="4">
        <f t="shared" si="40"/>
        <v>-7.9999999999998295E-2</v>
      </c>
      <c r="Z66" s="4">
        <f t="shared" si="41"/>
        <v>-0.51999999999999957</v>
      </c>
      <c r="AB66"/>
      <c r="AC66" s="4">
        <f t="shared" si="15"/>
        <v>9.1691000000000003</v>
      </c>
      <c r="AD66" s="4">
        <f t="shared" si="16"/>
        <v>9.1170500000000008</v>
      </c>
      <c r="AE66" s="4">
        <f t="shared" si="17"/>
        <v>9.1499000000000006</v>
      </c>
      <c r="AF66" s="4">
        <f t="shared" si="18"/>
        <v>9.2835999999999999</v>
      </c>
      <c r="AG66" s="4">
        <f t="shared" si="19"/>
        <v>9.1959999999999997</v>
      </c>
      <c r="AH66" s="4">
        <f t="shared" si="20"/>
        <v>9.3620000000000001</v>
      </c>
      <c r="AI66" s="4">
        <f t="shared" si="21"/>
        <v>9.0944500000000001</v>
      </c>
      <c r="AJ66" s="4">
        <f t="shared" si="22"/>
        <v>9.2248000000000001</v>
      </c>
      <c r="AK66" s="4">
        <f t="shared" si="23"/>
        <v>9.3251499999999989</v>
      </c>
      <c r="AM66"/>
      <c r="AN66" s="4">
        <f t="shared" si="24"/>
        <v>-4.0899999999998826E-2</v>
      </c>
      <c r="AO66" s="4">
        <f t="shared" si="25"/>
        <v>-9.2949999999998312E-2</v>
      </c>
      <c r="AP66" s="4">
        <f t="shared" si="26"/>
        <v>-6.0099999999998488E-2</v>
      </c>
      <c r="AQ66" s="4">
        <f t="shared" si="27"/>
        <v>7.3600000000000776E-2</v>
      </c>
      <c r="AR66" s="4">
        <f t="shared" si="28"/>
        <v>-1.3999999999999346E-2</v>
      </c>
      <c r="AS66" s="4">
        <f t="shared" si="29"/>
        <v>0.15200000000000102</v>
      </c>
      <c r="AT66" s="4">
        <f t="shared" si="30"/>
        <v>-0.11554999999999893</v>
      </c>
      <c r="AU66" s="4">
        <f t="shared" si="31"/>
        <v>1.4800000000001035E-2</v>
      </c>
      <c r="AV66" s="4">
        <f t="shared" si="32"/>
        <v>0.11514999999999986</v>
      </c>
    </row>
    <row r="67" spans="1:48" x14ac:dyDescent="0.25">
      <c r="A67" s="18">
        <v>67</v>
      </c>
      <c r="B67" s="19">
        <v>43552</v>
      </c>
      <c r="C67" s="20">
        <v>0.46137731481481481</v>
      </c>
      <c r="D67" s="18">
        <v>9.1300000000000008</v>
      </c>
      <c r="E67" s="18">
        <v>8.94</v>
      </c>
      <c r="F67" s="18">
        <v>9.1300000000000008</v>
      </c>
      <c r="G67" s="18">
        <v>9</v>
      </c>
      <c r="H67" s="18">
        <v>8.81</v>
      </c>
      <c r="I67" s="18">
        <v>9.06</v>
      </c>
      <c r="J67" s="18">
        <v>9.19</v>
      </c>
      <c r="K67" s="18">
        <v>9.1300000000000008</v>
      </c>
      <c r="L67" s="18">
        <v>8.75</v>
      </c>
      <c r="M67"/>
      <c r="N67" s="4">
        <v>9.08</v>
      </c>
      <c r="O67" s="4">
        <f>N67-'Sonde étalon'!$C$13</f>
        <v>9.25</v>
      </c>
      <c r="P67"/>
      <c r="R67" s="4">
        <f t="shared" si="33"/>
        <v>-0.11999999999999922</v>
      </c>
      <c r="S67" s="4">
        <f t="shared" si="34"/>
        <v>-0.3100000000000005</v>
      </c>
      <c r="T67" s="4">
        <f t="shared" si="35"/>
        <v>-0.11999999999999922</v>
      </c>
      <c r="U67" s="4">
        <f t="shared" si="36"/>
        <v>-0.25</v>
      </c>
      <c r="V67" s="4">
        <f t="shared" si="37"/>
        <v>-0.4399999999999995</v>
      </c>
      <c r="W67" s="4">
        <f t="shared" si="38"/>
        <v>-0.1899999999999995</v>
      </c>
      <c r="X67" s="4">
        <f t="shared" si="39"/>
        <v>-6.0000000000000497E-2</v>
      </c>
      <c r="Y67" s="4">
        <f t="shared" si="40"/>
        <v>-0.11999999999999922</v>
      </c>
      <c r="Z67" s="4">
        <f t="shared" si="41"/>
        <v>-0.5</v>
      </c>
      <c r="AB67"/>
      <c r="AC67" s="4">
        <f t="shared" si="15"/>
        <v>9.2391000000000005</v>
      </c>
      <c r="AD67" s="4">
        <f t="shared" si="16"/>
        <v>9.1770499999999995</v>
      </c>
      <c r="AE67" s="4">
        <f t="shared" si="17"/>
        <v>9.2199000000000009</v>
      </c>
      <c r="AF67" s="4">
        <f t="shared" si="18"/>
        <v>9.3436000000000003</v>
      </c>
      <c r="AG67" s="4">
        <f t="shared" si="19"/>
        <v>9.1959999999999997</v>
      </c>
      <c r="AH67" s="4">
        <f t="shared" si="20"/>
        <v>9.4220000000000006</v>
      </c>
      <c r="AI67" s="4">
        <f t="shared" si="21"/>
        <v>9.1544499999999989</v>
      </c>
      <c r="AJ67" s="4">
        <f t="shared" si="22"/>
        <v>9.2248000000000001</v>
      </c>
      <c r="AK67" s="4">
        <f t="shared" si="23"/>
        <v>9.3851499999999994</v>
      </c>
      <c r="AM67"/>
      <c r="AN67" s="4">
        <f t="shared" si="24"/>
        <v>-1.0899999999999466E-2</v>
      </c>
      <c r="AO67" s="4">
        <f t="shared" si="25"/>
        <v>-7.2950000000000514E-2</v>
      </c>
      <c r="AP67" s="4">
        <f t="shared" si="26"/>
        <v>-3.0099999999999127E-2</v>
      </c>
      <c r="AQ67" s="4">
        <f t="shared" si="27"/>
        <v>9.360000000000035E-2</v>
      </c>
      <c r="AR67" s="4">
        <f t="shared" si="28"/>
        <v>-5.400000000000027E-2</v>
      </c>
      <c r="AS67" s="4">
        <f t="shared" si="29"/>
        <v>0.1720000000000006</v>
      </c>
      <c r="AT67" s="4">
        <f t="shared" si="30"/>
        <v>-9.5550000000001134E-2</v>
      </c>
      <c r="AU67" s="4">
        <f t="shared" si="31"/>
        <v>-2.5199999999999889E-2</v>
      </c>
      <c r="AV67" s="4">
        <f t="shared" si="32"/>
        <v>0.13514999999999944</v>
      </c>
    </row>
    <row r="68" spans="1:48" x14ac:dyDescent="0.25">
      <c r="A68" s="18">
        <v>68</v>
      </c>
      <c r="B68" s="19">
        <v>43552</v>
      </c>
      <c r="C68" s="20">
        <v>0.46207175925925931</v>
      </c>
      <c r="D68" s="18">
        <v>9.1300000000000008</v>
      </c>
      <c r="E68" s="18">
        <v>8.94</v>
      </c>
      <c r="F68" s="18">
        <v>9.19</v>
      </c>
      <c r="G68" s="18">
        <v>9</v>
      </c>
      <c r="H68" s="18">
        <v>8.8800000000000008</v>
      </c>
      <c r="I68" s="18">
        <v>9.06</v>
      </c>
      <c r="J68" s="18">
        <v>9.19</v>
      </c>
      <c r="K68" s="18">
        <v>9.19</v>
      </c>
      <c r="L68" s="18">
        <v>8.75</v>
      </c>
      <c r="M68"/>
      <c r="N68" s="4">
        <v>9.1199999999999992</v>
      </c>
      <c r="O68" s="4">
        <f>N68-'Sonde étalon'!$C$13</f>
        <v>9.2899999999999991</v>
      </c>
      <c r="P68"/>
      <c r="R68" s="4">
        <f t="shared" si="33"/>
        <v>-0.15999999999999837</v>
      </c>
      <c r="S68" s="4">
        <f t="shared" si="34"/>
        <v>-0.34999999999999964</v>
      </c>
      <c r="T68" s="4">
        <f t="shared" si="35"/>
        <v>-9.9999999999999645E-2</v>
      </c>
      <c r="U68" s="4">
        <f t="shared" si="36"/>
        <v>-0.28999999999999915</v>
      </c>
      <c r="V68" s="4">
        <f t="shared" si="37"/>
        <v>-0.40999999999999837</v>
      </c>
      <c r="W68" s="4">
        <f t="shared" si="38"/>
        <v>-0.22999999999999865</v>
      </c>
      <c r="X68" s="4">
        <f t="shared" si="39"/>
        <v>-9.9999999999999645E-2</v>
      </c>
      <c r="Y68" s="4">
        <f t="shared" si="40"/>
        <v>-9.9999999999999645E-2</v>
      </c>
      <c r="Z68" s="4">
        <f t="shared" si="41"/>
        <v>-0.53999999999999915</v>
      </c>
      <c r="AB68"/>
      <c r="AC68" s="4">
        <f t="shared" si="15"/>
        <v>9.2391000000000005</v>
      </c>
      <c r="AD68" s="4">
        <f t="shared" si="16"/>
        <v>9.1770499999999995</v>
      </c>
      <c r="AE68" s="4">
        <f t="shared" si="17"/>
        <v>9.2798999999999996</v>
      </c>
      <c r="AF68" s="4">
        <f t="shared" si="18"/>
        <v>9.3436000000000003</v>
      </c>
      <c r="AG68" s="4">
        <f t="shared" si="19"/>
        <v>9.266</v>
      </c>
      <c r="AH68" s="4">
        <f t="shared" si="20"/>
        <v>9.4220000000000006</v>
      </c>
      <c r="AI68" s="4">
        <f t="shared" si="21"/>
        <v>9.1544499999999989</v>
      </c>
      <c r="AJ68" s="4">
        <f t="shared" si="22"/>
        <v>9.2847999999999988</v>
      </c>
      <c r="AK68" s="4">
        <f t="shared" si="23"/>
        <v>9.3851499999999994</v>
      </c>
      <c r="AM68"/>
      <c r="AN68" s="4">
        <f t="shared" si="24"/>
        <v>-5.0899999999998613E-2</v>
      </c>
      <c r="AO68" s="4">
        <f t="shared" si="25"/>
        <v>-0.11294999999999966</v>
      </c>
      <c r="AP68" s="4">
        <f t="shared" si="26"/>
        <v>-1.0099999999999554E-2</v>
      </c>
      <c r="AQ68" s="4">
        <f t="shared" si="27"/>
        <v>5.3600000000001202E-2</v>
      </c>
      <c r="AR68" s="4">
        <f t="shared" si="28"/>
        <v>-2.3999999999999133E-2</v>
      </c>
      <c r="AS68" s="4">
        <f t="shared" si="29"/>
        <v>0.13200000000000145</v>
      </c>
      <c r="AT68" s="4">
        <f t="shared" si="30"/>
        <v>-0.13555000000000028</v>
      </c>
      <c r="AU68" s="4">
        <f t="shared" si="31"/>
        <v>-5.2000000000003155E-3</v>
      </c>
      <c r="AV68" s="4">
        <f t="shared" si="32"/>
        <v>9.515000000000029E-2</v>
      </c>
    </row>
    <row r="69" spans="1:48" x14ac:dyDescent="0.25">
      <c r="A69" s="18">
        <v>69</v>
      </c>
      <c r="B69" s="19">
        <v>43552</v>
      </c>
      <c r="C69" s="20">
        <v>0.46276620370370369</v>
      </c>
      <c r="D69" s="18">
        <v>9.19</v>
      </c>
      <c r="E69" s="18">
        <v>9</v>
      </c>
      <c r="F69" s="18">
        <v>9.19</v>
      </c>
      <c r="G69" s="18">
        <v>9.06</v>
      </c>
      <c r="H69" s="18">
        <v>8.94</v>
      </c>
      <c r="I69" s="18">
        <v>9.1300000000000008</v>
      </c>
      <c r="J69" s="18">
        <v>9.25</v>
      </c>
      <c r="K69" s="18">
        <v>9.25</v>
      </c>
      <c r="L69" s="18">
        <v>8.81</v>
      </c>
      <c r="M69"/>
      <c r="N69" s="4">
        <v>9.16</v>
      </c>
      <c r="O69" s="4">
        <f>N69-'Sonde étalon'!$C$13</f>
        <v>9.33</v>
      </c>
      <c r="P69"/>
      <c r="R69" s="4">
        <f t="shared" si="33"/>
        <v>-0.14000000000000057</v>
      </c>
      <c r="S69" s="4">
        <f t="shared" si="34"/>
        <v>-0.33000000000000007</v>
      </c>
      <c r="T69" s="4">
        <f t="shared" si="35"/>
        <v>-0.14000000000000057</v>
      </c>
      <c r="U69" s="4">
        <f t="shared" si="36"/>
        <v>-0.26999999999999957</v>
      </c>
      <c r="V69" s="4">
        <f t="shared" si="37"/>
        <v>-0.39000000000000057</v>
      </c>
      <c r="W69" s="4">
        <f t="shared" si="38"/>
        <v>-0.19999999999999929</v>
      </c>
      <c r="X69" s="4">
        <f t="shared" si="39"/>
        <v>-8.0000000000000071E-2</v>
      </c>
      <c r="Y69" s="4">
        <f t="shared" si="40"/>
        <v>-8.0000000000000071E-2</v>
      </c>
      <c r="Z69" s="4">
        <f t="shared" si="41"/>
        <v>-0.51999999999999957</v>
      </c>
      <c r="AB69"/>
      <c r="AC69" s="4">
        <f t="shared" si="15"/>
        <v>9.2990999999999993</v>
      </c>
      <c r="AD69" s="4">
        <f t="shared" si="16"/>
        <v>9.23705</v>
      </c>
      <c r="AE69" s="4">
        <f t="shared" si="17"/>
        <v>9.2798999999999996</v>
      </c>
      <c r="AF69" s="4">
        <f t="shared" si="18"/>
        <v>9.4036000000000008</v>
      </c>
      <c r="AG69" s="4">
        <f t="shared" si="19"/>
        <v>9.3259999999999987</v>
      </c>
      <c r="AH69" s="4">
        <f t="shared" si="20"/>
        <v>9.4920000000000009</v>
      </c>
      <c r="AI69" s="4">
        <f t="shared" si="21"/>
        <v>9.2144499999999994</v>
      </c>
      <c r="AJ69" s="4">
        <f t="shared" si="22"/>
        <v>9.3447999999999993</v>
      </c>
      <c r="AK69" s="4">
        <f t="shared" si="23"/>
        <v>9.4451499999999999</v>
      </c>
      <c r="AM69"/>
      <c r="AN69" s="4">
        <f t="shared" si="24"/>
        <v>-3.0900000000000816E-2</v>
      </c>
      <c r="AO69" s="4">
        <f t="shared" si="25"/>
        <v>-9.2950000000000088E-2</v>
      </c>
      <c r="AP69" s="4">
        <f t="shared" si="26"/>
        <v>-5.0100000000000477E-2</v>
      </c>
      <c r="AQ69" s="4">
        <f t="shared" si="27"/>
        <v>7.3600000000000776E-2</v>
      </c>
      <c r="AR69" s="4">
        <f t="shared" si="28"/>
        <v>-4.0000000000013358E-3</v>
      </c>
      <c r="AS69" s="4">
        <f t="shared" si="29"/>
        <v>0.16200000000000081</v>
      </c>
      <c r="AT69" s="4">
        <f t="shared" si="30"/>
        <v>-0.11555000000000071</v>
      </c>
      <c r="AU69" s="4">
        <f t="shared" si="31"/>
        <v>1.4799999999999258E-2</v>
      </c>
      <c r="AV69" s="4">
        <f t="shared" si="32"/>
        <v>0.11514999999999986</v>
      </c>
    </row>
    <row r="70" spans="1:48" x14ac:dyDescent="0.25">
      <c r="A70" s="18">
        <v>70</v>
      </c>
      <c r="B70" s="19">
        <v>43552</v>
      </c>
      <c r="C70" s="20">
        <v>0.46346064814814819</v>
      </c>
      <c r="D70" s="18">
        <v>9.25</v>
      </c>
      <c r="E70" s="18">
        <v>9.06</v>
      </c>
      <c r="F70" s="18">
        <v>9.25</v>
      </c>
      <c r="G70" s="18">
        <v>9.1300000000000008</v>
      </c>
      <c r="H70" s="18">
        <v>8.94</v>
      </c>
      <c r="I70" s="18">
        <v>9.19</v>
      </c>
      <c r="J70" s="18">
        <v>9.31</v>
      </c>
      <c r="K70" s="18">
        <v>9.25</v>
      </c>
      <c r="L70" s="18">
        <v>8.8800000000000008</v>
      </c>
      <c r="M70"/>
      <c r="N70" s="4">
        <v>9.2100000000000009</v>
      </c>
      <c r="O70" s="4">
        <f>N70-'Sonde étalon'!$C$13</f>
        <v>9.3800000000000008</v>
      </c>
      <c r="P70"/>
      <c r="R70" s="4">
        <f t="shared" ref="R70:R77" si="42">D70-O70</f>
        <v>-0.13000000000000078</v>
      </c>
      <c r="S70" s="4">
        <f t="shared" ref="S70:S77" si="43">E70-O70</f>
        <v>-0.32000000000000028</v>
      </c>
      <c r="T70" s="4">
        <f t="shared" ref="T70:T77" si="44">F70-O70</f>
        <v>-0.13000000000000078</v>
      </c>
      <c r="U70" s="4">
        <f t="shared" ref="U70:U77" si="45">G70-O70</f>
        <v>-0.25</v>
      </c>
      <c r="V70" s="4">
        <f t="shared" ref="V70:V77" si="46">H70-O70</f>
        <v>-0.44000000000000128</v>
      </c>
      <c r="W70" s="4">
        <f t="shared" ref="W70:W77" si="47">I70-O70</f>
        <v>-0.19000000000000128</v>
      </c>
      <c r="X70" s="4">
        <f t="shared" ref="X70:X77" si="48">J70-O70</f>
        <v>-7.0000000000000284E-2</v>
      </c>
      <c r="Y70" s="4">
        <f t="shared" ref="Y70:Y77" si="49">K70-O70</f>
        <v>-0.13000000000000078</v>
      </c>
      <c r="Z70" s="4">
        <f t="shared" ref="Z70:Z77" si="50">L70-O70</f>
        <v>-0.5</v>
      </c>
      <c r="AB70"/>
      <c r="AC70" s="4">
        <f t="shared" si="15"/>
        <v>9.3590999999999998</v>
      </c>
      <c r="AD70" s="4">
        <f t="shared" si="16"/>
        <v>9.2970500000000005</v>
      </c>
      <c r="AE70" s="4">
        <f t="shared" si="17"/>
        <v>9.3399000000000001</v>
      </c>
      <c r="AF70" s="4">
        <f t="shared" si="18"/>
        <v>9.4736000000000011</v>
      </c>
      <c r="AG70" s="4">
        <f t="shared" si="19"/>
        <v>9.3259999999999987</v>
      </c>
      <c r="AH70" s="4">
        <f t="shared" si="20"/>
        <v>9.5519999999999996</v>
      </c>
      <c r="AI70" s="4">
        <f t="shared" si="21"/>
        <v>9.2744499999999999</v>
      </c>
      <c r="AJ70" s="4">
        <f t="shared" si="22"/>
        <v>9.3447999999999993</v>
      </c>
      <c r="AK70" s="4">
        <f t="shared" si="23"/>
        <v>9.5151500000000002</v>
      </c>
      <c r="AM70"/>
      <c r="AN70" s="4">
        <f t="shared" si="24"/>
        <v>-2.0900000000001029E-2</v>
      </c>
      <c r="AO70" s="4">
        <f t="shared" si="25"/>
        <v>-8.2950000000000301E-2</v>
      </c>
      <c r="AP70" s="4">
        <f t="shared" si="26"/>
        <v>-4.0100000000000691E-2</v>
      </c>
      <c r="AQ70" s="4">
        <f t="shared" si="27"/>
        <v>9.360000000000035E-2</v>
      </c>
      <c r="AR70" s="4">
        <f t="shared" si="28"/>
        <v>-5.4000000000002046E-2</v>
      </c>
      <c r="AS70" s="4">
        <f t="shared" si="29"/>
        <v>0.17199999999999882</v>
      </c>
      <c r="AT70" s="4">
        <f t="shared" si="30"/>
        <v>-0.10555000000000092</v>
      </c>
      <c r="AU70" s="4">
        <f t="shared" si="31"/>
        <v>-3.5200000000001452E-2</v>
      </c>
      <c r="AV70" s="4">
        <f t="shared" si="32"/>
        <v>0.13514999999999944</v>
      </c>
    </row>
    <row r="71" spans="1:48" x14ac:dyDescent="0.25">
      <c r="A71" s="18">
        <v>71</v>
      </c>
      <c r="B71" s="19">
        <v>43552</v>
      </c>
      <c r="C71" s="20">
        <v>0.46415509259259258</v>
      </c>
      <c r="D71" s="18">
        <v>9.25</v>
      </c>
      <c r="E71" s="18">
        <v>9.06</v>
      </c>
      <c r="F71" s="18">
        <v>9.31</v>
      </c>
      <c r="G71" s="18">
        <v>9.1300000000000008</v>
      </c>
      <c r="H71" s="18">
        <v>9</v>
      </c>
      <c r="I71" s="18">
        <v>9.19</v>
      </c>
      <c r="J71" s="18">
        <v>9.31</v>
      </c>
      <c r="K71" s="18">
        <v>9.31</v>
      </c>
      <c r="L71" s="18">
        <v>8.94</v>
      </c>
      <c r="M71"/>
      <c r="N71" s="4">
        <v>9.24</v>
      </c>
      <c r="O71" s="4">
        <f>N71-'Sonde étalon'!$C$13</f>
        <v>9.41</v>
      </c>
      <c r="P71"/>
      <c r="R71" s="4">
        <f t="shared" si="42"/>
        <v>-0.16000000000000014</v>
      </c>
      <c r="S71" s="4">
        <f t="shared" si="43"/>
        <v>-0.34999999999999964</v>
      </c>
      <c r="T71" s="4">
        <f t="shared" si="44"/>
        <v>-9.9999999999999645E-2</v>
      </c>
      <c r="U71" s="4">
        <f t="shared" si="45"/>
        <v>-0.27999999999999936</v>
      </c>
      <c r="V71" s="4">
        <f t="shared" si="46"/>
        <v>-0.41000000000000014</v>
      </c>
      <c r="W71" s="4">
        <f t="shared" si="47"/>
        <v>-0.22000000000000064</v>
      </c>
      <c r="X71" s="4">
        <f t="shared" si="48"/>
        <v>-9.9999999999999645E-2</v>
      </c>
      <c r="Y71" s="4">
        <f t="shared" si="49"/>
        <v>-9.9999999999999645E-2</v>
      </c>
      <c r="Z71" s="4">
        <f t="shared" si="50"/>
        <v>-0.47000000000000064</v>
      </c>
      <c r="AB71"/>
      <c r="AC71" s="4">
        <f t="shared" ref="AC71:AC134" si="51">D71-$R$3</f>
        <v>9.3590999999999998</v>
      </c>
      <c r="AD71" s="4">
        <f t="shared" ref="AD71:AD134" si="52">E71-$S$3</f>
        <v>9.2970500000000005</v>
      </c>
      <c r="AE71" s="4">
        <f t="shared" ref="AE71:AE134" si="53">F71-$T$3</f>
        <v>9.3999000000000006</v>
      </c>
      <c r="AF71" s="4">
        <f t="shared" ref="AF71:AF134" si="54">G71-$U$3</f>
        <v>9.4736000000000011</v>
      </c>
      <c r="AG71" s="4">
        <f t="shared" ref="AG71:AG134" si="55">H71-$V$3</f>
        <v>9.3859999999999992</v>
      </c>
      <c r="AH71" s="4">
        <f t="shared" ref="AH71:AH134" si="56">I71-$W$3</f>
        <v>9.5519999999999996</v>
      </c>
      <c r="AI71" s="4">
        <f t="shared" ref="AI71:AI134" si="57">J71-$X$3</f>
        <v>9.2744499999999999</v>
      </c>
      <c r="AJ71" s="4">
        <f t="shared" ref="AJ71:AJ134" si="58">K71-$Y$3</f>
        <v>9.4047999999999998</v>
      </c>
      <c r="AK71" s="4">
        <f t="shared" ref="AK71:AK134" si="59">L71-$Z$3</f>
        <v>9.5751499999999989</v>
      </c>
      <c r="AM71"/>
      <c r="AN71" s="4">
        <f t="shared" ref="AN71:AN134" si="60">AC71-O71</f>
        <v>-5.0900000000000389E-2</v>
      </c>
      <c r="AO71" s="4">
        <f t="shared" ref="AO71:AO134" si="61">AD71-O71</f>
        <v>-0.11294999999999966</v>
      </c>
      <c r="AP71" s="4">
        <f t="shared" ref="AP71:AP134" si="62">AE71-O71</f>
        <v>-1.0099999999999554E-2</v>
      </c>
      <c r="AQ71" s="4">
        <f t="shared" ref="AQ71:AQ134" si="63">AF71-O71</f>
        <v>6.3600000000000989E-2</v>
      </c>
      <c r="AR71" s="4">
        <f t="shared" ref="AR71:AR134" si="64">AG71-O71</f>
        <v>-2.4000000000000909E-2</v>
      </c>
      <c r="AS71" s="4">
        <f t="shared" ref="AS71:AS134" si="65">AH71-O71</f>
        <v>0.14199999999999946</v>
      </c>
      <c r="AT71" s="4">
        <f t="shared" ref="AT71:AT134" si="66">AI71-O71</f>
        <v>-0.13555000000000028</v>
      </c>
      <c r="AU71" s="4">
        <f t="shared" ref="AU71:AU134" si="67">AJ71-O71</f>
        <v>-5.2000000000003155E-3</v>
      </c>
      <c r="AV71" s="4">
        <f t="shared" ref="AV71:AV134" si="68">AK71-O71</f>
        <v>0.1651499999999988</v>
      </c>
    </row>
    <row r="72" spans="1:48" x14ac:dyDescent="0.25">
      <c r="A72" s="18">
        <v>72</v>
      </c>
      <c r="B72" s="19">
        <v>43552</v>
      </c>
      <c r="C72" s="20">
        <v>0.46484953703703707</v>
      </c>
      <c r="D72" s="18">
        <v>9.31</v>
      </c>
      <c r="E72" s="18">
        <v>9.1300000000000008</v>
      </c>
      <c r="F72" s="18">
        <v>9.31</v>
      </c>
      <c r="G72" s="18">
        <v>9.19</v>
      </c>
      <c r="H72" s="18">
        <v>9.06</v>
      </c>
      <c r="I72" s="18">
        <v>9.25</v>
      </c>
      <c r="J72" s="18">
        <v>9.3800000000000008</v>
      </c>
      <c r="K72" s="18">
        <v>9.31</v>
      </c>
      <c r="L72" s="18">
        <v>8.94</v>
      </c>
      <c r="M72"/>
      <c r="N72" s="4">
        <v>9.2799999999999994</v>
      </c>
      <c r="O72" s="4">
        <f>N72-'Sonde étalon'!$C$13</f>
        <v>9.4499999999999993</v>
      </c>
      <c r="P72"/>
      <c r="R72" s="4">
        <f t="shared" si="42"/>
        <v>-0.13999999999999879</v>
      </c>
      <c r="S72" s="4">
        <f t="shared" si="43"/>
        <v>-0.31999999999999851</v>
      </c>
      <c r="T72" s="4">
        <f t="shared" si="44"/>
        <v>-0.13999999999999879</v>
      </c>
      <c r="U72" s="4">
        <f t="shared" si="45"/>
        <v>-0.25999999999999979</v>
      </c>
      <c r="V72" s="4">
        <f t="shared" si="46"/>
        <v>-0.38999999999999879</v>
      </c>
      <c r="W72" s="4">
        <f t="shared" si="47"/>
        <v>-0.19999999999999929</v>
      </c>
      <c r="X72" s="4">
        <f t="shared" si="48"/>
        <v>-6.9999999999998508E-2</v>
      </c>
      <c r="Y72" s="4">
        <f t="shared" si="49"/>
        <v>-0.13999999999999879</v>
      </c>
      <c r="Z72" s="4">
        <f t="shared" si="50"/>
        <v>-0.50999999999999979</v>
      </c>
      <c r="AB72"/>
      <c r="AC72" s="4">
        <f t="shared" si="51"/>
        <v>9.4191000000000003</v>
      </c>
      <c r="AD72" s="4">
        <f t="shared" si="52"/>
        <v>9.3670500000000008</v>
      </c>
      <c r="AE72" s="4">
        <f t="shared" si="53"/>
        <v>9.3999000000000006</v>
      </c>
      <c r="AF72" s="4">
        <f t="shared" si="54"/>
        <v>9.5335999999999999</v>
      </c>
      <c r="AG72" s="4">
        <f t="shared" si="55"/>
        <v>9.4459999999999997</v>
      </c>
      <c r="AH72" s="4">
        <f t="shared" si="56"/>
        <v>9.6120000000000001</v>
      </c>
      <c r="AI72" s="4">
        <f t="shared" si="57"/>
        <v>9.3444500000000001</v>
      </c>
      <c r="AJ72" s="4">
        <f t="shared" si="58"/>
        <v>9.4047999999999998</v>
      </c>
      <c r="AK72" s="4">
        <f t="shared" si="59"/>
        <v>9.5751499999999989</v>
      </c>
      <c r="AM72"/>
      <c r="AN72" s="4">
        <f t="shared" si="60"/>
        <v>-3.0899999999999039E-2</v>
      </c>
      <c r="AO72" s="4">
        <f t="shared" si="61"/>
        <v>-8.2949999999998525E-2</v>
      </c>
      <c r="AP72" s="4">
        <f t="shared" si="62"/>
        <v>-5.0099999999998701E-2</v>
      </c>
      <c r="AQ72" s="4">
        <f t="shared" si="63"/>
        <v>8.3600000000000563E-2</v>
      </c>
      <c r="AR72" s="4">
        <f t="shared" si="64"/>
        <v>-3.9999999999995595E-3</v>
      </c>
      <c r="AS72" s="4">
        <f t="shared" si="65"/>
        <v>0.16200000000000081</v>
      </c>
      <c r="AT72" s="4">
        <f t="shared" si="66"/>
        <v>-0.10554999999999914</v>
      </c>
      <c r="AU72" s="4">
        <f t="shared" si="67"/>
        <v>-4.5199999999999463E-2</v>
      </c>
      <c r="AV72" s="4">
        <f t="shared" si="68"/>
        <v>0.12514999999999965</v>
      </c>
    </row>
    <row r="73" spans="1:48" x14ac:dyDescent="0.25">
      <c r="A73" s="18">
        <v>73</v>
      </c>
      <c r="B73" s="19">
        <v>43552</v>
      </c>
      <c r="C73" s="20">
        <v>0.46554398148148146</v>
      </c>
      <c r="D73" s="18">
        <v>9.3800000000000008</v>
      </c>
      <c r="E73" s="18">
        <v>9.19</v>
      </c>
      <c r="F73" s="18">
        <v>9.3800000000000008</v>
      </c>
      <c r="G73" s="18">
        <v>9.25</v>
      </c>
      <c r="H73" s="18">
        <v>9.06</v>
      </c>
      <c r="I73" s="18">
        <v>9.31</v>
      </c>
      <c r="J73" s="18">
        <v>9.44</v>
      </c>
      <c r="K73" s="18">
        <v>9.3800000000000008</v>
      </c>
      <c r="L73" s="18">
        <v>9</v>
      </c>
      <c r="M73"/>
      <c r="N73" s="4">
        <v>9.33</v>
      </c>
      <c r="O73" s="4">
        <f>N73-'Sonde étalon'!$C$13</f>
        <v>9.5</v>
      </c>
      <c r="P73"/>
      <c r="R73" s="4">
        <f t="shared" si="42"/>
        <v>-0.11999999999999922</v>
      </c>
      <c r="S73" s="4">
        <f t="shared" si="43"/>
        <v>-0.3100000000000005</v>
      </c>
      <c r="T73" s="4">
        <f t="shared" si="44"/>
        <v>-0.11999999999999922</v>
      </c>
      <c r="U73" s="4">
        <f t="shared" si="45"/>
        <v>-0.25</v>
      </c>
      <c r="V73" s="4">
        <f t="shared" si="46"/>
        <v>-0.4399999999999995</v>
      </c>
      <c r="W73" s="4">
        <f t="shared" si="47"/>
        <v>-0.1899999999999995</v>
      </c>
      <c r="X73" s="4">
        <f t="shared" si="48"/>
        <v>-6.0000000000000497E-2</v>
      </c>
      <c r="Y73" s="4">
        <f t="shared" si="49"/>
        <v>-0.11999999999999922</v>
      </c>
      <c r="Z73" s="4">
        <f t="shared" si="50"/>
        <v>-0.5</v>
      </c>
      <c r="AB73"/>
      <c r="AC73" s="4">
        <f t="shared" si="51"/>
        <v>9.4891000000000005</v>
      </c>
      <c r="AD73" s="4">
        <f t="shared" si="52"/>
        <v>9.4270499999999995</v>
      </c>
      <c r="AE73" s="4">
        <f t="shared" si="53"/>
        <v>9.4699000000000009</v>
      </c>
      <c r="AF73" s="4">
        <f t="shared" si="54"/>
        <v>9.5936000000000003</v>
      </c>
      <c r="AG73" s="4">
        <f t="shared" si="55"/>
        <v>9.4459999999999997</v>
      </c>
      <c r="AH73" s="4">
        <f t="shared" si="56"/>
        <v>9.6720000000000006</v>
      </c>
      <c r="AI73" s="4">
        <f t="shared" si="57"/>
        <v>9.4044499999999989</v>
      </c>
      <c r="AJ73" s="4">
        <f t="shared" si="58"/>
        <v>9.4748000000000001</v>
      </c>
      <c r="AK73" s="4">
        <f t="shared" si="59"/>
        <v>9.6351499999999994</v>
      </c>
      <c r="AM73"/>
      <c r="AN73" s="4">
        <f t="shared" si="60"/>
        <v>-1.0899999999999466E-2</v>
      </c>
      <c r="AO73" s="4">
        <f t="shared" si="61"/>
        <v>-7.2950000000000514E-2</v>
      </c>
      <c r="AP73" s="4">
        <f t="shared" si="62"/>
        <v>-3.0099999999999127E-2</v>
      </c>
      <c r="AQ73" s="4">
        <f t="shared" si="63"/>
        <v>9.360000000000035E-2</v>
      </c>
      <c r="AR73" s="4">
        <f t="shared" si="64"/>
        <v>-5.400000000000027E-2</v>
      </c>
      <c r="AS73" s="4">
        <f t="shared" si="65"/>
        <v>0.1720000000000006</v>
      </c>
      <c r="AT73" s="4">
        <f t="shared" si="66"/>
        <v>-9.5550000000001134E-2</v>
      </c>
      <c r="AU73" s="4">
        <f t="shared" si="67"/>
        <v>-2.5199999999999889E-2</v>
      </c>
      <c r="AV73" s="4">
        <f t="shared" si="68"/>
        <v>0.13514999999999944</v>
      </c>
    </row>
    <row r="74" spans="1:48" x14ac:dyDescent="0.25">
      <c r="A74" s="18">
        <v>74</v>
      </c>
      <c r="B74" s="19">
        <v>43552</v>
      </c>
      <c r="C74" s="20">
        <v>0.46623842592592596</v>
      </c>
      <c r="D74" s="18">
        <v>9.3800000000000008</v>
      </c>
      <c r="E74" s="18">
        <v>9.19</v>
      </c>
      <c r="F74" s="18">
        <v>9.44</v>
      </c>
      <c r="G74" s="18">
        <v>9.25</v>
      </c>
      <c r="H74" s="18">
        <v>9.1300000000000008</v>
      </c>
      <c r="I74" s="18">
        <v>9.31</v>
      </c>
      <c r="J74" s="18">
        <v>9.5</v>
      </c>
      <c r="K74" s="18">
        <v>9.44</v>
      </c>
      <c r="L74" s="18">
        <v>9</v>
      </c>
      <c r="M74"/>
      <c r="N74" s="4">
        <v>9.36</v>
      </c>
      <c r="O74" s="4">
        <f>N74-'Sonde étalon'!$C$13</f>
        <v>9.5299999999999994</v>
      </c>
      <c r="P74"/>
      <c r="R74" s="4">
        <f t="shared" si="42"/>
        <v>-0.14999999999999858</v>
      </c>
      <c r="S74" s="4">
        <f t="shared" si="43"/>
        <v>-0.33999999999999986</v>
      </c>
      <c r="T74" s="4">
        <f t="shared" si="44"/>
        <v>-8.9999999999999858E-2</v>
      </c>
      <c r="U74" s="4">
        <f t="shared" si="45"/>
        <v>-0.27999999999999936</v>
      </c>
      <c r="V74" s="4">
        <f t="shared" si="46"/>
        <v>-0.39999999999999858</v>
      </c>
      <c r="W74" s="4">
        <f t="shared" si="47"/>
        <v>-0.21999999999999886</v>
      </c>
      <c r="X74" s="4">
        <f t="shared" si="48"/>
        <v>-2.9999999999999361E-2</v>
      </c>
      <c r="Y74" s="4">
        <f t="shared" si="49"/>
        <v>-8.9999999999999858E-2</v>
      </c>
      <c r="Z74" s="4">
        <f t="shared" si="50"/>
        <v>-0.52999999999999936</v>
      </c>
      <c r="AB74"/>
      <c r="AC74" s="4">
        <f t="shared" si="51"/>
        <v>9.4891000000000005</v>
      </c>
      <c r="AD74" s="4">
        <f t="shared" si="52"/>
        <v>9.4270499999999995</v>
      </c>
      <c r="AE74" s="4">
        <f t="shared" si="53"/>
        <v>9.5298999999999996</v>
      </c>
      <c r="AF74" s="4">
        <f t="shared" si="54"/>
        <v>9.5936000000000003</v>
      </c>
      <c r="AG74" s="4">
        <f t="shared" si="55"/>
        <v>9.516</v>
      </c>
      <c r="AH74" s="4">
        <f t="shared" si="56"/>
        <v>9.6720000000000006</v>
      </c>
      <c r="AI74" s="4">
        <f t="shared" si="57"/>
        <v>9.4644499999999994</v>
      </c>
      <c r="AJ74" s="4">
        <f t="shared" si="58"/>
        <v>9.5347999999999988</v>
      </c>
      <c r="AK74" s="4">
        <f t="shared" si="59"/>
        <v>9.6351499999999994</v>
      </c>
      <c r="AM74"/>
      <c r="AN74" s="4">
        <f t="shared" si="60"/>
        <v>-4.0899999999998826E-2</v>
      </c>
      <c r="AO74" s="4">
        <f t="shared" si="61"/>
        <v>-0.10294999999999987</v>
      </c>
      <c r="AP74" s="4">
        <f t="shared" si="62"/>
        <v>-9.9999999999766942E-5</v>
      </c>
      <c r="AQ74" s="4">
        <f t="shared" si="63"/>
        <v>6.3600000000000989E-2</v>
      </c>
      <c r="AR74" s="4">
        <f t="shared" si="64"/>
        <v>-1.3999999999999346E-2</v>
      </c>
      <c r="AS74" s="4">
        <f t="shared" si="65"/>
        <v>0.14200000000000124</v>
      </c>
      <c r="AT74" s="4">
        <f t="shared" si="66"/>
        <v>-6.5549999999999997E-2</v>
      </c>
      <c r="AU74" s="4">
        <f t="shared" si="67"/>
        <v>4.7999999999994714E-3</v>
      </c>
      <c r="AV74" s="4">
        <f t="shared" si="68"/>
        <v>0.10515000000000008</v>
      </c>
    </row>
    <row r="75" spans="1:48" x14ac:dyDescent="0.25">
      <c r="A75" s="18">
        <v>75</v>
      </c>
      <c r="B75" s="19">
        <v>43552</v>
      </c>
      <c r="C75" s="20">
        <v>0.46693287037037035</v>
      </c>
      <c r="D75" s="18">
        <v>9.44</v>
      </c>
      <c r="E75" s="18">
        <v>9.25</v>
      </c>
      <c r="F75" s="18">
        <v>9.44</v>
      </c>
      <c r="G75" s="18">
        <v>9.31</v>
      </c>
      <c r="H75" s="18">
        <v>9.19</v>
      </c>
      <c r="I75" s="18">
        <v>9.3800000000000008</v>
      </c>
      <c r="J75" s="18">
        <v>9.5</v>
      </c>
      <c r="K75" s="18">
        <v>9.44</v>
      </c>
      <c r="L75" s="18">
        <v>9.06</v>
      </c>
      <c r="M75"/>
      <c r="N75" s="4">
        <v>9.4</v>
      </c>
      <c r="O75" s="4">
        <f>N75-'Sonde étalon'!$C$13</f>
        <v>9.57</v>
      </c>
      <c r="P75"/>
      <c r="R75" s="4">
        <f t="shared" si="42"/>
        <v>-0.13000000000000078</v>
      </c>
      <c r="S75" s="4">
        <f t="shared" si="43"/>
        <v>-0.32000000000000028</v>
      </c>
      <c r="T75" s="4">
        <f t="shared" si="44"/>
        <v>-0.13000000000000078</v>
      </c>
      <c r="U75" s="4">
        <f t="shared" si="45"/>
        <v>-0.25999999999999979</v>
      </c>
      <c r="V75" s="4">
        <f t="shared" si="46"/>
        <v>-0.38000000000000078</v>
      </c>
      <c r="W75" s="4">
        <f t="shared" si="47"/>
        <v>-0.1899999999999995</v>
      </c>
      <c r="X75" s="4">
        <f t="shared" si="48"/>
        <v>-7.0000000000000284E-2</v>
      </c>
      <c r="Y75" s="4">
        <f t="shared" si="49"/>
        <v>-0.13000000000000078</v>
      </c>
      <c r="Z75" s="4">
        <f t="shared" si="50"/>
        <v>-0.50999999999999979</v>
      </c>
      <c r="AB75"/>
      <c r="AC75" s="4">
        <f t="shared" si="51"/>
        <v>9.5490999999999993</v>
      </c>
      <c r="AD75" s="4">
        <f t="shared" si="52"/>
        <v>9.48705</v>
      </c>
      <c r="AE75" s="4">
        <f t="shared" si="53"/>
        <v>9.5298999999999996</v>
      </c>
      <c r="AF75" s="4">
        <f t="shared" si="54"/>
        <v>9.6536000000000008</v>
      </c>
      <c r="AG75" s="4">
        <f t="shared" si="55"/>
        <v>9.5759999999999987</v>
      </c>
      <c r="AH75" s="4">
        <f t="shared" si="56"/>
        <v>9.7420000000000009</v>
      </c>
      <c r="AI75" s="4">
        <f t="shared" si="57"/>
        <v>9.4644499999999994</v>
      </c>
      <c r="AJ75" s="4">
        <f t="shared" si="58"/>
        <v>9.5347999999999988</v>
      </c>
      <c r="AK75" s="4">
        <f t="shared" si="59"/>
        <v>9.6951499999999999</v>
      </c>
      <c r="AM75"/>
      <c r="AN75" s="4">
        <f t="shared" si="60"/>
        <v>-2.0900000000001029E-2</v>
      </c>
      <c r="AO75" s="4">
        <f t="shared" si="61"/>
        <v>-8.2950000000000301E-2</v>
      </c>
      <c r="AP75" s="4">
        <f t="shared" si="62"/>
        <v>-4.0100000000000691E-2</v>
      </c>
      <c r="AQ75" s="4">
        <f t="shared" si="63"/>
        <v>8.3600000000000563E-2</v>
      </c>
      <c r="AR75" s="4">
        <f t="shared" si="64"/>
        <v>5.999999999998451E-3</v>
      </c>
      <c r="AS75" s="4">
        <f t="shared" si="65"/>
        <v>0.1720000000000006</v>
      </c>
      <c r="AT75" s="4">
        <f t="shared" si="66"/>
        <v>-0.10555000000000092</v>
      </c>
      <c r="AU75" s="4">
        <f t="shared" si="67"/>
        <v>-3.5200000000001452E-2</v>
      </c>
      <c r="AV75" s="4">
        <f t="shared" si="68"/>
        <v>0.12514999999999965</v>
      </c>
    </row>
    <row r="76" spans="1:48" x14ac:dyDescent="0.25">
      <c r="A76" s="18">
        <v>76</v>
      </c>
      <c r="B76" s="19">
        <v>43552</v>
      </c>
      <c r="C76" s="20">
        <v>0.46762731481481484</v>
      </c>
      <c r="D76" s="18">
        <v>9.44</v>
      </c>
      <c r="E76" s="18">
        <v>9.31</v>
      </c>
      <c r="F76" s="18">
        <v>9.5</v>
      </c>
      <c r="G76" s="18">
        <v>9.3800000000000008</v>
      </c>
      <c r="H76" s="18">
        <v>9.19</v>
      </c>
      <c r="I76" s="18">
        <v>9.44</v>
      </c>
      <c r="J76" s="18">
        <v>9.56</v>
      </c>
      <c r="K76" s="18">
        <v>9.5</v>
      </c>
      <c r="L76" s="18">
        <v>9.1300000000000008</v>
      </c>
      <c r="M76"/>
      <c r="N76" s="4">
        <v>9.4499999999999993</v>
      </c>
      <c r="O76" s="4">
        <f>N76-'Sonde étalon'!$C$13</f>
        <v>9.6199999999999992</v>
      </c>
      <c r="P76"/>
      <c r="R76" s="4">
        <f t="shared" si="42"/>
        <v>-0.17999999999999972</v>
      </c>
      <c r="S76" s="4">
        <f t="shared" si="43"/>
        <v>-0.30999999999999872</v>
      </c>
      <c r="T76" s="4">
        <f t="shared" si="44"/>
        <v>-0.11999999999999922</v>
      </c>
      <c r="U76" s="4">
        <f t="shared" si="45"/>
        <v>-0.23999999999999844</v>
      </c>
      <c r="V76" s="4">
        <f t="shared" si="46"/>
        <v>-0.42999999999999972</v>
      </c>
      <c r="W76" s="4">
        <f t="shared" si="47"/>
        <v>-0.17999999999999972</v>
      </c>
      <c r="X76" s="4">
        <f t="shared" si="48"/>
        <v>-5.9999999999998721E-2</v>
      </c>
      <c r="Y76" s="4">
        <f t="shared" si="49"/>
        <v>-0.11999999999999922</v>
      </c>
      <c r="Z76" s="4">
        <f t="shared" si="50"/>
        <v>-0.48999999999999844</v>
      </c>
      <c r="AB76"/>
      <c r="AC76" s="4">
        <f t="shared" si="51"/>
        <v>9.5490999999999993</v>
      </c>
      <c r="AD76" s="4">
        <f t="shared" si="52"/>
        <v>9.5470500000000005</v>
      </c>
      <c r="AE76" s="4">
        <f t="shared" si="53"/>
        <v>9.5899000000000001</v>
      </c>
      <c r="AF76" s="4">
        <f t="shared" si="54"/>
        <v>9.7236000000000011</v>
      </c>
      <c r="AG76" s="4">
        <f t="shared" si="55"/>
        <v>9.5759999999999987</v>
      </c>
      <c r="AH76" s="4">
        <f t="shared" si="56"/>
        <v>9.8019999999999996</v>
      </c>
      <c r="AI76" s="4">
        <f t="shared" si="57"/>
        <v>9.5244499999999999</v>
      </c>
      <c r="AJ76" s="4">
        <f t="shared" si="58"/>
        <v>9.5947999999999993</v>
      </c>
      <c r="AK76" s="4">
        <f t="shared" si="59"/>
        <v>9.7651500000000002</v>
      </c>
      <c r="AM76"/>
      <c r="AN76" s="4">
        <f t="shared" si="60"/>
        <v>-7.0899999999999963E-2</v>
      </c>
      <c r="AO76" s="4">
        <f t="shared" si="61"/>
        <v>-7.2949999999998738E-2</v>
      </c>
      <c r="AP76" s="4">
        <f t="shared" si="62"/>
        <v>-3.0099999999999127E-2</v>
      </c>
      <c r="AQ76" s="4">
        <f t="shared" si="63"/>
        <v>0.10360000000000191</v>
      </c>
      <c r="AR76" s="4">
        <f t="shared" si="64"/>
        <v>-4.4000000000000483E-2</v>
      </c>
      <c r="AS76" s="4">
        <f t="shared" si="65"/>
        <v>0.18200000000000038</v>
      </c>
      <c r="AT76" s="4">
        <f t="shared" si="66"/>
        <v>-9.5549999999999358E-2</v>
      </c>
      <c r="AU76" s="4">
        <f t="shared" si="67"/>
        <v>-2.5199999999999889E-2</v>
      </c>
      <c r="AV76" s="4">
        <f t="shared" si="68"/>
        <v>0.145150000000001</v>
      </c>
    </row>
    <row r="77" spans="1:48" x14ac:dyDescent="0.25">
      <c r="A77" s="18">
        <v>77</v>
      </c>
      <c r="B77" s="19">
        <v>43552</v>
      </c>
      <c r="C77" s="20">
        <v>0.46832175925925923</v>
      </c>
      <c r="D77" s="18">
        <v>9.5</v>
      </c>
      <c r="E77" s="18">
        <v>9.31</v>
      </c>
      <c r="F77" s="18">
        <v>9.56</v>
      </c>
      <c r="G77" s="18">
        <v>9.3800000000000008</v>
      </c>
      <c r="H77" s="18">
        <v>9.25</v>
      </c>
      <c r="I77" s="18">
        <v>9.44</v>
      </c>
      <c r="J77" s="18">
        <v>9.56</v>
      </c>
      <c r="K77" s="18">
        <v>9.56</v>
      </c>
      <c r="L77" s="18">
        <v>9.1300000000000008</v>
      </c>
      <c r="N77" s="4">
        <v>9.48</v>
      </c>
      <c r="O77" s="4">
        <f>N77-'Sonde étalon'!$C$13</f>
        <v>9.65</v>
      </c>
      <c r="R77" s="4">
        <f t="shared" si="42"/>
        <v>-0.15000000000000036</v>
      </c>
      <c r="S77" s="4">
        <f t="shared" si="43"/>
        <v>-0.33999999999999986</v>
      </c>
      <c r="T77" s="4">
        <f t="shared" si="44"/>
        <v>-8.9999999999999858E-2</v>
      </c>
      <c r="U77" s="4">
        <f t="shared" si="45"/>
        <v>-0.26999999999999957</v>
      </c>
      <c r="V77" s="4">
        <f t="shared" si="46"/>
        <v>-0.40000000000000036</v>
      </c>
      <c r="W77" s="4">
        <f t="shared" si="47"/>
        <v>-0.21000000000000085</v>
      </c>
      <c r="X77" s="4">
        <f t="shared" si="48"/>
        <v>-8.9999999999999858E-2</v>
      </c>
      <c r="Y77" s="4">
        <f t="shared" si="49"/>
        <v>-8.9999999999999858E-2</v>
      </c>
      <c r="Z77" s="4">
        <f t="shared" si="50"/>
        <v>-0.51999999999999957</v>
      </c>
      <c r="AC77" s="4">
        <f t="shared" si="51"/>
        <v>9.6090999999999998</v>
      </c>
      <c r="AD77" s="4">
        <f t="shared" si="52"/>
        <v>9.5470500000000005</v>
      </c>
      <c r="AE77" s="4">
        <f t="shared" si="53"/>
        <v>9.6499000000000006</v>
      </c>
      <c r="AF77" s="4">
        <f t="shared" si="54"/>
        <v>9.7236000000000011</v>
      </c>
      <c r="AG77" s="4">
        <f t="shared" si="55"/>
        <v>9.6359999999999992</v>
      </c>
      <c r="AH77" s="4">
        <f t="shared" si="56"/>
        <v>9.8019999999999996</v>
      </c>
      <c r="AI77" s="4">
        <f t="shared" si="57"/>
        <v>9.5244499999999999</v>
      </c>
      <c r="AJ77" s="4">
        <f t="shared" si="58"/>
        <v>9.6547999999999998</v>
      </c>
      <c r="AK77" s="4">
        <f t="shared" si="59"/>
        <v>9.7651500000000002</v>
      </c>
      <c r="AN77" s="4">
        <f t="shared" si="60"/>
        <v>-4.0900000000000603E-2</v>
      </c>
      <c r="AO77" s="4">
        <f t="shared" si="61"/>
        <v>-0.10294999999999987</v>
      </c>
      <c r="AP77" s="4">
        <f t="shared" si="62"/>
        <v>-9.9999999999766942E-5</v>
      </c>
      <c r="AQ77" s="4">
        <f t="shared" si="63"/>
        <v>7.3600000000000776E-2</v>
      </c>
      <c r="AR77" s="4">
        <f t="shared" si="64"/>
        <v>-1.4000000000001123E-2</v>
      </c>
      <c r="AS77" s="4">
        <f t="shared" si="65"/>
        <v>0.15199999999999925</v>
      </c>
      <c r="AT77" s="4">
        <f t="shared" si="66"/>
        <v>-0.12555000000000049</v>
      </c>
      <c r="AU77" s="4">
        <f t="shared" si="67"/>
        <v>4.7999999999994714E-3</v>
      </c>
      <c r="AV77" s="4">
        <f t="shared" si="68"/>
        <v>0.11514999999999986</v>
      </c>
    </row>
    <row r="78" spans="1:48" x14ac:dyDescent="0.25">
      <c r="A78" s="18">
        <v>78</v>
      </c>
      <c r="B78" s="19">
        <v>43552</v>
      </c>
      <c r="C78" s="20">
        <v>0.46901620370370373</v>
      </c>
      <c r="D78" s="18">
        <v>9.56</v>
      </c>
      <c r="E78" s="18">
        <v>9.3800000000000008</v>
      </c>
      <c r="F78" s="18">
        <v>9.56</v>
      </c>
      <c r="G78" s="18">
        <v>9.44</v>
      </c>
      <c r="H78" s="18">
        <v>9.31</v>
      </c>
      <c r="I78" s="18">
        <v>9.5</v>
      </c>
      <c r="J78" s="18">
        <v>9.6300000000000008</v>
      </c>
      <c r="K78" s="18">
        <v>9.56</v>
      </c>
      <c r="L78" s="18">
        <v>9.19</v>
      </c>
      <c r="N78" s="4">
        <v>9.5299999999999994</v>
      </c>
      <c r="O78" s="4">
        <f>N78-'Sonde étalon'!$C$13</f>
        <v>9.6999999999999993</v>
      </c>
      <c r="R78" s="4">
        <f t="shared" ref="R78:R141" si="69">D78-O78</f>
        <v>-0.13999999999999879</v>
      </c>
      <c r="S78" s="4">
        <f t="shared" ref="S78:S141" si="70">E78-O78</f>
        <v>-0.31999999999999851</v>
      </c>
      <c r="T78" s="4">
        <f t="shared" ref="T78:T141" si="71">F78-O78</f>
        <v>-0.13999999999999879</v>
      </c>
      <c r="U78" s="4">
        <f t="shared" ref="U78:U141" si="72">G78-O78</f>
        <v>-0.25999999999999979</v>
      </c>
      <c r="V78" s="4">
        <f t="shared" ref="V78:V141" si="73">H78-O78</f>
        <v>-0.38999999999999879</v>
      </c>
      <c r="W78" s="4">
        <f t="shared" ref="W78:W141" si="74">I78-O78</f>
        <v>-0.19999999999999929</v>
      </c>
      <c r="X78" s="4">
        <f t="shared" ref="X78:X141" si="75">J78-O78</f>
        <v>-6.9999999999998508E-2</v>
      </c>
      <c r="Y78" s="4">
        <f t="shared" ref="Y78:Y141" si="76">K78-O78</f>
        <v>-0.13999999999999879</v>
      </c>
      <c r="Z78" s="4">
        <f t="shared" ref="Z78:Z141" si="77">L78-O78</f>
        <v>-0.50999999999999979</v>
      </c>
      <c r="AC78" s="4">
        <f t="shared" si="51"/>
        <v>9.6691000000000003</v>
      </c>
      <c r="AD78" s="4">
        <f t="shared" si="52"/>
        <v>9.6170500000000008</v>
      </c>
      <c r="AE78" s="4">
        <f t="shared" si="53"/>
        <v>9.6499000000000006</v>
      </c>
      <c r="AF78" s="4">
        <f t="shared" si="54"/>
        <v>9.7835999999999999</v>
      </c>
      <c r="AG78" s="4">
        <f t="shared" si="55"/>
        <v>9.6959999999999997</v>
      </c>
      <c r="AH78" s="4">
        <f t="shared" si="56"/>
        <v>9.8620000000000001</v>
      </c>
      <c r="AI78" s="4">
        <f t="shared" si="57"/>
        <v>9.5944500000000001</v>
      </c>
      <c r="AJ78" s="4">
        <f t="shared" si="58"/>
        <v>9.6547999999999998</v>
      </c>
      <c r="AK78" s="4">
        <f t="shared" si="59"/>
        <v>9.8251499999999989</v>
      </c>
      <c r="AN78" s="4">
        <f t="shared" si="60"/>
        <v>-3.0899999999999039E-2</v>
      </c>
      <c r="AO78" s="4">
        <f t="shared" si="61"/>
        <v>-8.2949999999998525E-2</v>
      </c>
      <c r="AP78" s="4">
        <f t="shared" si="62"/>
        <v>-5.0099999999998701E-2</v>
      </c>
      <c r="AQ78" s="4">
        <f t="shared" si="63"/>
        <v>8.3600000000000563E-2</v>
      </c>
      <c r="AR78" s="4">
        <f t="shared" si="64"/>
        <v>-3.9999999999995595E-3</v>
      </c>
      <c r="AS78" s="4">
        <f t="shared" si="65"/>
        <v>0.16200000000000081</v>
      </c>
      <c r="AT78" s="4">
        <f t="shared" si="66"/>
        <v>-0.10554999999999914</v>
      </c>
      <c r="AU78" s="4">
        <f t="shared" si="67"/>
        <v>-4.5199999999999463E-2</v>
      </c>
      <c r="AV78" s="4">
        <f t="shared" si="68"/>
        <v>0.12514999999999965</v>
      </c>
    </row>
    <row r="79" spans="1:48" x14ac:dyDescent="0.25">
      <c r="A79" s="18">
        <v>79</v>
      </c>
      <c r="B79" s="19">
        <v>43552</v>
      </c>
      <c r="C79" s="20">
        <v>0.46971064814814811</v>
      </c>
      <c r="D79" s="18">
        <v>9.6300000000000008</v>
      </c>
      <c r="E79" s="18">
        <v>9.44</v>
      </c>
      <c r="F79" s="18">
        <v>9.6300000000000008</v>
      </c>
      <c r="G79" s="18">
        <v>9.5</v>
      </c>
      <c r="H79" s="18">
        <v>9.3800000000000008</v>
      </c>
      <c r="I79" s="18">
        <v>9.56</v>
      </c>
      <c r="J79" s="18">
        <v>9.69</v>
      </c>
      <c r="K79" s="18">
        <v>9.6300000000000008</v>
      </c>
      <c r="L79" s="18">
        <v>9.25</v>
      </c>
      <c r="N79" s="4">
        <v>9.56</v>
      </c>
      <c r="O79" s="4">
        <f>N79-'Sonde étalon'!$C$13</f>
        <v>9.73</v>
      </c>
      <c r="R79" s="4">
        <f t="shared" si="69"/>
        <v>-9.9999999999999645E-2</v>
      </c>
      <c r="S79" s="4">
        <f t="shared" si="70"/>
        <v>-0.29000000000000092</v>
      </c>
      <c r="T79" s="4">
        <f t="shared" si="71"/>
        <v>-9.9999999999999645E-2</v>
      </c>
      <c r="U79" s="4">
        <f t="shared" si="72"/>
        <v>-0.23000000000000043</v>
      </c>
      <c r="V79" s="4">
        <f t="shared" si="73"/>
        <v>-0.34999999999999964</v>
      </c>
      <c r="W79" s="4">
        <f t="shared" si="74"/>
        <v>-0.16999999999999993</v>
      </c>
      <c r="X79" s="4">
        <f t="shared" si="75"/>
        <v>-4.0000000000000924E-2</v>
      </c>
      <c r="Y79" s="4">
        <f t="shared" si="76"/>
        <v>-9.9999999999999645E-2</v>
      </c>
      <c r="Z79" s="4">
        <f t="shared" si="77"/>
        <v>-0.48000000000000043</v>
      </c>
      <c r="AC79" s="4">
        <f t="shared" si="51"/>
        <v>9.7391000000000005</v>
      </c>
      <c r="AD79" s="4">
        <f t="shared" si="52"/>
        <v>9.6770499999999995</v>
      </c>
      <c r="AE79" s="4">
        <f t="shared" si="53"/>
        <v>9.7199000000000009</v>
      </c>
      <c r="AF79" s="4">
        <f t="shared" si="54"/>
        <v>9.8436000000000003</v>
      </c>
      <c r="AG79" s="4">
        <f t="shared" si="55"/>
        <v>9.766</v>
      </c>
      <c r="AH79" s="4">
        <f t="shared" si="56"/>
        <v>9.9220000000000006</v>
      </c>
      <c r="AI79" s="4">
        <f t="shared" si="57"/>
        <v>9.6544499999999989</v>
      </c>
      <c r="AJ79" s="4">
        <f t="shared" si="58"/>
        <v>9.7248000000000001</v>
      </c>
      <c r="AK79" s="4">
        <f t="shared" si="59"/>
        <v>9.8851499999999994</v>
      </c>
      <c r="AN79" s="4">
        <f t="shared" si="60"/>
        <v>9.100000000000108E-3</v>
      </c>
      <c r="AO79" s="4">
        <f t="shared" si="61"/>
        <v>-5.2950000000000941E-2</v>
      </c>
      <c r="AP79" s="4">
        <f t="shared" si="62"/>
        <v>-1.0099999999999554E-2</v>
      </c>
      <c r="AQ79" s="4">
        <f t="shared" si="63"/>
        <v>0.11359999999999992</v>
      </c>
      <c r="AR79" s="4">
        <f t="shared" si="64"/>
        <v>3.5999999999999588E-2</v>
      </c>
      <c r="AS79" s="4">
        <f t="shared" si="65"/>
        <v>0.19200000000000017</v>
      </c>
      <c r="AT79" s="4">
        <f t="shared" si="66"/>
        <v>-7.555000000000156E-2</v>
      </c>
      <c r="AU79" s="4">
        <f t="shared" si="67"/>
        <v>-5.2000000000003155E-3</v>
      </c>
      <c r="AV79" s="4">
        <f t="shared" si="68"/>
        <v>0.15514999999999901</v>
      </c>
    </row>
    <row r="80" spans="1:48" x14ac:dyDescent="0.25">
      <c r="A80" s="18">
        <v>80</v>
      </c>
      <c r="B80" s="19">
        <v>43552</v>
      </c>
      <c r="C80" s="20">
        <v>0.47040509259259261</v>
      </c>
      <c r="D80" s="18">
        <v>9.6300000000000008</v>
      </c>
      <c r="E80" s="18">
        <v>9.44</v>
      </c>
      <c r="F80" s="18">
        <v>9.69</v>
      </c>
      <c r="G80" s="18">
        <v>9.56</v>
      </c>
      <c r="H80" s="18">
        <v>9.3800000000000008</v>
      </c>
      <c r="I80" s="18">
        <v>9.6300000000000008</v>
      </c>
      <c r="J80" s="18">
        <v>9.69</v>
      </c>
      <c r="K80" s="18">
        <v>9.69</v>
      </c>
      <c r="L80" s="18">
        <v>9.31</v>
      </c>
      <c r="N80" s="4">
        <v>9.61</v>
      </c>
      <c r="O80" s="4">
        <f>N80-'Sonde étalon'!$C$13</f>
        <v>9.7799999999999994</v>
      </c>
      <c r="R80" s="4">
        <f t="shared" si="69"/>
        <v>-0.14999999999999858</v>
      </c>
      <c r="S80" s="4">
        <f t="shared" si="70"/>
        <v>-0.33999999999999986</v>
      </c>
      <c r="T80" s="4">
        <f t="shared" si="71"/>
        <v>-8.9999999999999858E-2</v>
      </c>
      <c r="U80" s="4">
        <f t="shared" si="72"/>
        <v>-0.21999999999999886</v>
      </c>
      <c r="V80" s="4">
        <f t="shared" si="73"/>
        <v>-0.39999999999999858</v>
      </c>
      <c r="W80" s="4">
        <f t="shared" si="74"/>
        <v>-0.14999999999999858</v>
      </c>
      <c r="X80" s="4">
        <f t="shared" si="75"/>
        <v>-8.9999999999999858E-2</v>
      </c>
      <c r="Y80" s="4">
        <f t="shared" si="76"/>
        <v>-8.9999999999999858E-2</v>
      </c>
      <c r="Z80" s="4">
        <f t="shared" si="77"/>
        <v>-0.46999999999999886</v>
      </c>
      <c r="AC80" s="4">
        <f t="shared" si="51"/>
        <v>9.7391000000000005</v>
      </c>
      <c r="AD80" s="4">
        <f t="shared" si="52"/>
        <v>9.6770499999999995</v>
      </c>
      <c r="AE80" s="4">
        <f t="shared" si="53"/>
        <v>9.7798999999999996</v>
      </c>
      <c r="AF80" s="4">
        <f t="shared" si="54"/>
        <v>9.9036000000000008</v>
      </c>
      <c r="AG80" s="4">
        <f t="shared" si="55"/>
        <v>9.766</v>
      </c>
      <c r="AH80" s="4">
        <f t="shared" si="56"/>
        <v>9.9920000000000009</v>
      </c>
      <c r="AI80" s="4">
        <f t="shared" si="57"/>
        <v>9.6544499999999989</v>
      </c>
      <c r="AJ80" s="4">
        <f t="shared" si="58"/>
        <v>9.7847999999999988</v>
      </c>
      <c r="AK80" s="4">
        <f t="shared" si="59"/>
        <v>9.9451499999999999</v>
      </c>
      <c r="AN80" s="4">
        <f t="shared" si="60"/>
        <v>-4.0899999999998826E-2</v>
      </c>
      <c r="AO80" s="4">
        <f t="shared" si="61"/>
        <v>-0.10294999999999987</v>
      </c>
      <c r="AP80" s="4">
        <f t="shared" si="62"/>
        <v>-9.9999999999766942E-5</v>
      </c>
      <c r="AQ80" s="4">
        <f t="shared" si="63"/>
        <v>0.12360000000000149</v>
      </c>
      <c r="AR80" s="4">
        <f t="shared" si="64"/>
        <v>-1.3999999999999346E-2</v>
      </c>
      <c r="AS80" s="4">
        <f t="shared" si="65"/>
        <v>0.21200000000000152</v>
      </c>
      <c r="AT80" s="4">
        <f t="shared" si="66"/>
        <v>-0.12555000000000049</v>
      </c>
      <c r="AU80" s="4">
        <f t="shared" si="67"/>
        <v>4.7999999999994714E-3</v>
      </c>
      <c r="AV80" s="4">
        <f t="shared" si="68"/>
        <v>0.16515000000000057</v>
      </c>
    </row>
    <row r="81" spans="1:48" x14ac:dyDescent="0.25">
      <c r="A81" s="18">
        <v>81</v>
      </c>
      <c r="B81" s="19">
        <v>43552</v>
      </c>
      <c r="C81" s="20">
        <v>0.47109953703703705</v>
      </c>
      <c r="D81" s="18">
        <v>9.69</v>
      </c>
      <c r="E81" s="18">
        <v>9.5</v>
      </c>
      <c r="F81" s="18">
        <v>9.69</v>
      </c>
      <c r="G81" s="18">
        <v>9.56</v>
      </c>
      <c r="H81" s="18">
        <v>9.44</v>
      </c>
      <c r="I81" s="18">
        <v>9.6300000000000008</v>
      </c>
      <c r="J81" s="18">
        <v>9.75</v>
      </c>
      <c r="K81" s="18">
        <v>9.69</v>
      </c>
      <c r="L81" s="18">
        <v>9.31</v>
      </c>
      <c r="N81" s="4">
        <v>9.66</v>
      </c>
      <c r="O81" s="4">
        <f>N81-'Sonde étalon'!$C$13</f>
        <v>9.83</v>
      </c>
      <c r="R81" s="4">
        <f t="shared" si="69"/>
        <v>-0.14000000000000057</v>
      </c>
      <c r="S81" s="4">
        <f t="shared" si="70"/>
        <v>-0.33000000000000007</v>
      </c>
      <c r="T81" s="4">
        <f t="shared" si="71"/>
        <v>-0.14000000000000057</v>
      </c>
      <c r="U81" s="4">
        <f t="shared" si="72"/>
        <v>-0.26999999999999957</v>
      </c>
      <c r="V81" s="4">
        <f t="shared" si="73"/>
        <v>-0.39000000000000057</v>
      </c>
      <c r="W81" s="4">
        <f t="shared" si="74"/>
        <v>-0.19999999999999929</v>
      </c>
      <c r="X81" s="4">
        <f t="shared" si="75"/>
        <v>-8.0000000000000071E-2</v>
      </c>
      <c r="Y81" s="4">
        <f t="shared" si="76"/>
        <v>-0.14000000000000057</v>
      </c>
      <c r="Z81" s="4">
        <f t="shared" si="77"/>
        <v>-0.51999999999999957</v>
      </c>
      <c r="AC81" s="4">
        <f t="shared" si="51"/>
        <v>9.7990999999999993</v>
      </c>
      <c r="AD81" s="4">
        <f t="shared" si="52"/>
        <v>9.73705</v>
      </c>
      <c r="AE81" s="4">
        <f t="shared" si="53"/>
        <v>9.7798999999999996</v>
      </c>
      <c r="AF81" s="4">
        <f t="shared" si="54"/>
        <v>9.9036000000000008</v>
      </c>
      <c r="AG81" s="4">
        <f t="shared" si="55"/>
        <v>9.8259999999999987</v>
      </c>
      <c r="AH81" s="4">
        <f t="shared" si="56"/>
        <v>9.9920000000000009</v>
      </c>
      <c r="AI81" s="4">
        <f t="shared" si="57"/>
        <v>9.7144499999999994</v>
      </c>
      <c r="AJ81" s="4">
        <f t="shared" si="58"/>
        <v>9.7847999999999988</v>
      </c>
      <c r="AK81" s="4">
        <f t="shared" si="59"/>
        <v>9.9451499999999999</v>
      </c>
      <c r="AN81" s="4">
        <f t="shared" si="60"/>
        <v>-3.0900000000000816E-2</v>
      </c>
      <c r="AO81" s="4">
        <f t="shared" si="61"/>
        <v>-9.2950000000000088E-2</v>
      </c>
      <c r="AP81" s="4">
        <f t="shared" si="62"/>
        <v>-5.0100000000000477E-2</v>
      </c>
      <c r="AQ81" s="4">
        <f t="shared" si="63"/>
        <v>7.3600000000000776E-2</v>
      </c>
      <c r="AR81" s="4">
        <f t="shared" si="64"/>
        <v>-4.0000000000013358E-3</v>
      </c>
      <c r="AS81" s="4">
        <f t="shared" si="65"/>
        <v>0.16200000000000081</v>
      </c>
      <c r="AT81" s="4">
        <f t="shared" si="66"/>
        <v>-0.11555000000000071</v>
      </c>
      <c r="AU81" s="4">
        <f t="shared" si="67"/>
        <v>-4.5200000000001239E-2</v>
      </c>
      <c r="AV81" s="4">
        <f t="shared" si="68"/>
        <v>0.11514999999999986</v>
      </c>
    </row>
    <row r="82" spans="1:48" x14ac:dyDescent="0.25">
      <c r="A82" s="18">
        <v>82</v>
      </c>
      <c r="B82" s="19">
        <v>43552</v>
      </c>
      <c r="C82" s="20">
        <v>0.47179398148148149</v>
      </c>
      <c r="D82" s="18">
        <v>9.75</v>
      </c>
      <c r="E82" s="18">
        <v>9.56</v>
      </c>
      <c r="F82" s="18">
        <v>9.75</v>
      </c>
      <c r="G82" s="18">
        <v>9.6300000000000008</v>
      </c>
      <c r="H82" s="18">
        <v>9.5</v>
      </c>
      <c r="I82" s="18">
        <v>9.69</v>
      </c>
      <c r="J82" s="18">
        <v>9.81</v>
      </c>
      <c r="K82" s="18">
        <v>9.75</v>
      </c>
      <c r="L82" s="18">
        <v>9.3800000000000008</v>
      </c>
      <c r="N82" s="4">
        <v>9.6999999999999993</v>
      </c>
      <c r="O82" s="4">
        <f>N82-'Sonde étalon'!$C$13</f>
        <v>9.8699999999999992</v>
      </c>
      <c r="R82" s="4">
        <f t="shared" si="69"/>
        <v>-0.11999999999999922</v>
      </c>
      <c r="S82" s="4">
        <f t="shared" si="70"/>
        <v>-0.30999999999999872</v>
      </c>
      <c r="T82" s="4">
        <f t="shared" si="71"/>
        <v>-0.11999999999999922</v>
      </c>
      <c r="U82" s="4">
        <f t="shared" si="72"/>
        <v>-0.23999999999999844</v>
      </c>
      <c r="V82" s="4">
        <f t="shared" si="73"/>
        <v>-0.36999999999999922</v>
      </c>
      <c r="W82" s="4">
        <f t="shared" si="74"/>
        <v>-0.17999999999999972</v>
      </c>
      <c r="X82" s="4">
        <f t="shared" si="75"/>
        <v>-5.9999999999998721E-2</v>
      </c>
      <c r="Y82" s="4">
        <f t="shared" si="76"/>
        <v>-0.11999999999999922</v>
      </c>
      <c r="Z82" s="4">
        <f t="shared" si="77"/>
        <v>-0.48999999999999844</v>
      </c>
      <c r="AC82" s="4">
        <f t="shared" si="51"/>
        <v>9.8590999999999998</v>
      </c>
      <c r="AD82" s="4">
        <f t="shared" si="52"/>
        <v>9.7970500000000005</v>
      </c>
      <c r="AE82" s="4">
        <f t="shared" si="53"/>
        <v>9.8399000000000001</v>
      </c>
      <c r="AF82" s="4">
        <f t="shared" si="54"/>
        <v>9.9736000000000011</v>
      </c>
      <c r="AG82" s="4">
        <f t="shared" si="55"/>
        <v>9.8859999999999992</v>
      </c>
      <c r="AH82" s="4">
        <f t="shared" si="56"/>
        <v>10.052</v>
      </c>
      <c r="AI82" s="4">
        <f t="shared" si="57"/>
        <v>9.7744499999999999</v>
      </c>
      <c r="AJ82" s="4">
        <f t="shared" si="58"/>
        <v>9.8447999999999993</v>
      </c>
      <c r="AK82" s="4">
        <f t="shared" si="59"/>
        <v>10.01515</v>
      </c>
      <c r="AN82" s="4">
        <f t="shared" si="60"/>
        <v>-1.0899999999999466E-2</v>
      </c>
      <c r="AO82" s="4">
        <f t="shared" si="61"/>
        <v>-7.2949999999998738E-2</v>
      </c>
      <c r="AP82" s="4">
        <f t="shared" si="62"/>
        <v>-3.0099999999999127E-2</v>
      </c>
      <c r="AQ82" s="4">
        <f t="shared" si="63"/>
        <v>0.10360000000000191</v>
      </c>
      <c r="AR82" s="4">
        <f t="shared" si="64"/>
        <v>1.6000000000000014E-2</v>
      </c>
      <c r="AS82" s="4">
        <f t="shared" si="65"/>
        <v>0.18200000000000038</v>
      </c>
      <c r="AT82" s="4">
        <f t="shared" si="66"/>
        <v>-9.5549999999999358E-2</v>
      </c>
      <c r="AU82" s="4">
        <f t="shared" si="67"/>
        <v>-2.5199999999999889E-2</v>
      </c>
      <c r="AV82" s="4">
        <f t="shared" si="68"/>
        <v>0.145150000000001</v>
      </c>
    </row>
    <row r="83" spans="1:48" x14ac:dyDescent="0.25">
      <c r="A83" s="18">
        <v>83</v>
      </c>
      <c r="B83" s="19">
        <v>43552</v>
      </c>
      <c r="C83" s="20">
        <v>0.47248842592592594</v>
      </c>
      <c r="D83" s="18">
        <v>9.75</v>
      </c>
      <c r="E83" s="18">
        <v>9.6300000000000008</v>
      </c>
      <c r="F83" s="18">
        <v>9.81</v>
      </c>
      <c r="G83" s="18">
        <v>9.69</v>
      </c>
      <c r="H83" s="18">
        <v>9.5</v>
      </c>
      <c r="I83" s="18">
        <v>9.75</v>
      </c>
      <c r="J83" s="18">
        <v>9.81</v>
      </c>
      <c r="K83" s="18">
        <v>9.81</v>
      </c>
      <c r="L83" s="18">
        <v>9.44</v>
      </c>
      <c r="N83" s="4">
        <v>9.75</v>
      </c>
      <c r="O83" s="4">
        <f>N83-'Sonde étalon'!$C$13</f>
        <v>9.92</v>
      </c>
      <c r="R83" s="4">
        <f t="shared" si="69"/>
        <v>-0.16999999999999993</v>
      </c>
      <c r="S83" s="4">
        <f t="shared" si="70"/>
        <v>-0.28999999999999915</v>
      </c>
      <c r="T83" s="4">
        <f t="shared" si="71"/>
        <v>-0.10999999999999943</v>
      </c>
      <c r="U83" s="4">
        <f t="shared" si="72"/>
        <v>-0.23000000000000043</v>
      </c>
      <c r="V83" s="4">
        <f t="shared" si="73"/>
        <v>-0.41999999999999993</v>
      </c>
      <c r="W83" s="4">
        <f t="shared" si="74"/>
        <v>-0.16999999999999993</v>
      </c>
      <c r="X83" s="4">
        <f t="shared" si="75"/>
        <v>-0.10999999999999943</v>
      </c>
      <c r="Y83" s="4">
        <f t="shared" si="76"/>
        <v>-0.10999999999999943</v>
      </c>
      <c r="Z83" s="4">
        <f t="shared" si="77"/>
        <v>-0.48000000000000043</v>
      </c>
      <c r="AC83" s="4">
        <f t="shared" si="51"/>
        <v>9.8590999999999998</v>
      </c>
      <c r="AD83" s="4">
        <f t="shared" si="52"/>
        <v>9.8670500000000008</v>
      </c>
      <c r="AE83" s="4">
        <f t="shared" si="53"/>
        <v>9.8999000000000006</v>
      </c>
      <c r="AF83" s="4">
        <f t="shared" si="54"/>
        <v>10.0336</v>
      </c>
      <c r="AG83" s="4">
        <f t="shared" si="55"/>
        <v>9.8859999999999992</v>
      </c>
      <c r="AH83" s="4">
        <f t="shared" si="56"/>
        <v>10.112</v>
      </c>
      <c r="AI83" s="4">
        <f t="shared" si="57"/>
        <v>9.7744499999999999</v>
      </c>
      <c r="AJ83" s="4">
        <f t="shared" si="58"/>
        <v>9.9047999999999998</v>
      </c>
      <c r="AK83" s="4">
        <f t="shared" si="59"/>
        <v>10.075149999999999</v>
      </c>
      <c r="AN83" s="4">
        <f t="shared" si="60"/>
        <v>-6.0900000000000176E-2</v>
      </c>
      <c r="AO83" s="4">
        <f t="shared" si="61"/>
        <v>-5.2949999999999164E-2</v>
      </c>
      <c r="AP83" s="4">
        <f t="shared" si="62"/>
        <v>-2.0099999999999341E-2</v>
      </c>
      <c r="AQ83" s="4">
        <f t="shared" si="63"/>
        <v>0.11359999999999992</v>
      </c>
      <c r="AR83" s="4">
        <f t="shared" si="64"/>
        <v>-3.4000000000000696E-2</v>
      </c>
      <c r="AS83" s="4">
        <f t="shared" si="65"/>
        <v>0.19200000000000017</v>
      </c>
      <c r="AT83" s="4">
        <f t="shared" si="66"/>
        <v>-0.14555000000000007</v>
      </c>
      <c r="AU83" s="4">
        <f t="shared" si="67"/>
        <v>-1.5200000000000102E-2</v>
      </c>
      <c r="AV83" s="4">
        <f t="shared" si="68"/>
        <v>0.15514999999999901</v>
      </c>
    </row>
    <row r="84" spans="1:48" x14ac:dyDescent="0.25">
      <c r="A84" s="18">
        <v>84</v>
      </c>
      <c r="B84" s="19">
        <v>43552</v>
      </c>
      <c r="C84" s="20">
        <v>0.47318287037037038</v>
      </c>
      <c r="D84" s="18">
        <v>9.81</v>
      </c>
      <c r="E84" s="18">
        <v>9.6300000000000008</v>
      </c>
      <c r="F84" s="18">
        <v>9.81</v>
      </c>
      <c r="G84" s="18">
        <v>9.69</v>
      </c>
      <c r="H84" s="18">
        <v>9.6300000000000008</v>
      </c>
      <c r="I84" s="18">
        <v>9.75</v>
      </c>
      <c r="J84" s="18">
        <v>9.8800000000000008</v>
      </c>
      <c r="K84" s="18">
        <v>9.8800000000000008</v>
      </c>
      <c r="L84" s="18">
        <v>9.44</v>
      </c>
      <c r="N84" s="4">
        <v>9.7899999999999991</v>
      </c>
      <c r="O84" s="4">
        <f>N84-'Sonde étalon'!$C$13</f>
        <v>9.9599999999999991</v>
      </c>
      <c r="R84" s="4">
        <f t="shared" si="69"/>
        <v>-0.14999999999999858</v>
      </c>
      <c r="S84" s="4">
        <f t="shared" si="70"/>
        <v>-0.32999999999999829</v>
      </c>
      <c r="T84" s="4">
        <f t="shared" si="71"/>
        <v>-0.14999999999999858</v>
      </c>
      <c r="U84" s="4">
        <f t="shared" si="72"/>
        <v>-0.26999999999999957</v>
      </c>
      <c r="V84" s="4">
        <f t="shared" si="73"/>
        <v>-0.32999999999999829</v>
      </c>
      <c r="W84" s="4">
        <f t="shared" si="74"/>
        <v>-0.20999999999999908</v>
      </c>
      <c r="X84" s="4">
        <f t="shared" si="75"/>
        <v>-7.9999999999998295E-2</v>
      </c>
      <c r="Y84" s="4">
        <f t="shared" si="76"/>
        <v>-7.9999999999998295E-2</v>
      </c>
      <c r="Z84" s="4">
        <f t="shared" si="77"/>
        <v>-0.51999999999999957</v>
      </c>
      <c r="AC84" s="4">
        <f t="shared" si="51"/>
        <v>9.9191000000000003</v>
      </c>
      <c r="AD84" s="4">
        <f t="shared" si="52"/>
        <v>9.8670500000000008</v>
      </c>
      <c r="AE84" s="4">
        <f t="shared" si="53"/>
        <v>9.8999000000000006</v>
      </c>
      <c r="AF84" s="4">
        <f t="shared" si="54"/>
        <v>10.0336</v>
      </c>
      <c r="AG84" s="4">
        <f t="shared" si="55"/>
        <v>10.016</v>
      </c>
      <c r="AH84" s="4">
        <f t="shared" si="56"/>
        <v>10.112</v>
      </c>
      <c r="AI84" s="4">
        <f t="shared" si="57"/>
        <v>9.8444500000000001</v>
      </c>
      <c r="AJ84" s="4">
        <f t="shared" si="58"/>
        <v>9.9748000000000001</v>
      </c>
      <c r="AK84" s="4">
        <f t="shared" si="59"/>
        <v>10.075149999999999</v>
      </c>
      <c r="AN84" s="4">
        <f t="shared" si="60"/>
        <v>-4.0899999999998826E-2</v>
      </c>
      <c r="AO84" s="4">
        <f t="shared" si="61"/>
        <v>-9.2949999999998312E-2</v>
      </c>
      <c r="AP84" s="4">
        <f t="shared" si="62"/>
        <v>-6.0099999999998488E-2</v>
      </c>
      <c r="AQ84" s="4">
        <f t="shared" si="63"/>
        <v>7.3600000000000776E-2</v>
      </c>
      <c r="AR84" s="4">
        <f t="shared" si="64"/>
        <v>5.6000000000000938E-2</v>
      </c>
      <c r="AS84" s="4">
        <f t="shared" si="65"/>
        <v>0.15200000000000102</v>
      </c>
      <c r="AT84" s="4">
        <f t="shared" si="66"/>
        <v>-0.11554999999999893</v>
      </c>
      <c r="AU84" s="4">
        <f t="shared" si="67"/>
        <v>1.4800000000001035E-2</v>
      </c>
      <c r="AV84" s="4">
        <f t="shared" si="68"/>
        <v>0.11514999999999986</v>
      </c>
    </row>
    <row r="85" spans="1:48" x14ac:dyDescent="0.25">
      <c r="A85" s="18">
        <v>85</v>
      </c>
      <c r="B85" s="19">
        <v>43552</v>
      </c>
      <c r="C85" s="20">
        <v>0.47387731481481482</v>
      </c>
      <c r="D85" s="18">
        <v>9.8800000000000008</v>
      </c>
      <c r="E85" s="18">
        <v>9.69</v>
      </c>
      <c r="F85" s="18">
        <v>9.8800000000000008</v>
      </c>
      <c r="G85" s="18">
        <v>9.75</v>
      </c>
      <c r="H85" s="18">
        <v>9.6300000000000008</v>
      </c>
      <c r="I85" s="18">
        <v>9.81</v>
      </c>
      <c r="J85" s="18">
        <v>9.94</v>
      </c>
      <c r="K85" s="18">
        <v>9.8800000000000008</v>
      </c>
      <c r="L85" s="18">
        <v>9.5</v>
      </c>
      <c r="N85" s="4">
        <v>9.83</v>
      </c>
      <c r="O85" s="4">
        <f>N85-'Sonde étalon'!$C$13</f>
        <v>10</v>
      </c>
      <c r="R85" s="4">
        <f t="shared" si="69"/>
        <v>-0.11999999999999922</v>
      </c>
      <c r="S85" s="4">
        <f t="shared" si="70"/>
        <v>-0.3100000000000005</v>
      </c>
      <c r="T85" s="4">
        <f t="shared" si="71"/>
        <v>-0.11999999999999922</v>
      </c>
      <c r="U85" s="4">
        <f t="shared" si="72"/>
        <v>-0.25</v>
      </c>
      <c r="V85" s="4">
        <f t="shared" si="73"/>
        <v>-0.36999999999999922</v>
      </c>
      <c r="W85" s="4">
        <f t="shared" si="74"/>
        <v>-0.1899999999999995</v>
      </c>
      <c r="X85" s="4">
        <f t="shared" si="75"/>
        <v>-6.0000000000000497E-2</v>
      </c>
      <c r="Y85" s="4">
        <f t="shared" si="76"/>
        <v>-0.11999999999999922</v>
      </c>
      <c r="Z85" s="4">
        <f t="shared" si="77"/>
        <v>-0.5</v>
      </c>
      <c r="AC85" s="4">
        <f t="shared" si="51"/>
        <v>9.9891000000000005</v>
      </c>
      <c r="AD85" s="4">
        <f t="shared" si="52"/>
        <v>9.9270499999999995</v>
      </c>
      <c r="AE85" s="4">
        <f t="shared" si="53"/>
        <v>9.9699000000000009</v>
      </c>
      <c r="AF85" s="4">
        <f t="shared" si="54"/>
        <v>10.0936</v>
      </c>
      <c r="AG85" s="4">
        <f t="shared" si="55"/>
        <v>10.016</v>
      </c>
      <c r="AH85" s="4">
        <f t="shared" si="56"/>
        <v>10.172000000000001</v>
      </c>
      <c r="AI85" s="4">
        <f t="shared" si="57"/>
        <v>9.9044499999999989</v>
      </c>
      <c r="AJ85" s="4">
        <f t="shared" si="58"/>
        <v>9.9748000000000001</v>
      </c>
      <c r="AK85" s="4">
        <f t="shared" si="59"/>
        <v>10.135149999999999</v>
      </c>
      <c r="AN85" s="4">
        <f t="shared" si="60"/>
        <v>-1.0899999999999466E-2</v>
      </c>
      <c r="AO85" s="4">
        <f t="shared" si="61"/>
        <v>-7.2950000000000514E-2</v>
      </c>
      <c r="AP85" s="4">
        <f t="shared" si="62"/>
        <v>-3.0099999999999127E-2</v>
      </c>
      <c r="AQ85" s="4">
        <f t="shared" si="63"/>
        <v>9.360000000000035E-2</v>
      </c>
      <c r="AR85" s="4">
        <f t="shared" si="64"/>
        <v>1.6000000000000014E-2</v>
      </c>
      <c r="AS85" s="4">
        <f t="shared" si="65"/>
        <v>0.1720000000000006</v>
      </c>
      <c r="AT85" s="4">
        <f t="shared" si="66"/>
        <v>-9.5550000000001134E-2</v>
      </c>
      <c r="AU85" s="4">
        <f t="shared" si="67"/>
        <v>-2.5199999999999889E-2</v>
      </c>
      <c r="AV85" s="4">
        <f t="shared" si="68"/>
        <v>0.13514999999999944</v>
      </c>
    </row>
    <row r="86" spans="1:48" x14ac:dyDescent="0.25">
      <c r="A86" s="18">
        <v>86</v>
      </c>
      <c r="B86" s="19">
        <v>43552</v>
      </c>
      <c r="C86" s="20">
        <v>0.47457175925925926</v>
      </c>
      <c r="D86" s="18">
        <v>9.8800000000000008</v>
      </c>
      <c r="E86" s="18">
        <v>9.75</v>
      </c>
      <c r="F86" s="18">
        <v>9.94</v>
      </c>
      <c r="G86" s="18">
        <v>9.81</v>
      </c>
      <c r="H86" s="18">
        <v>9.69</v>
      </c>
      <c r="I86" s="18">
        <v>9.8800000000000008</v>
      </c>
      <c r="J86" s="18">
        <v>10</v>
      </c>
      <c r="K86" s="18">
        <v>9.94</v>
      </c>
      <c r="L86" s="18">
        <v>9.56</v>
      </c>
      <c r="N86" s="4">
        <v>9.8699999999999992</v>
      </c>
      <c r="O86" s="4">
        <f>N86-'Sonde étalon'!$C$13</f>
        <v>10.039999999999999</v>
      </c>
      <c r="R86" s="4">
        <f t="shared" si="69"/>
        <v>-0.15999999999999837</v>
      </c>
      <c r="S86" s="4">
        <f t="shared" si="70"/>
        <v>-0.28999999999999915</v>
      </c>
      <c r="T86" s="4">
        <f t="shared" si="71"/>
        <v>-9.9999999999999645E-2</v>
      </c>
      <c r="U86" s="4">
        <f t="shared" si="72"/>
        <v>-0.22999999999999865</v>
      </c>
      <c r="V86" s="4">
        <f t="shared" si="73"/>
        <v>-0.34999999999999964</v>
      </c>
      <c r="W86" s="4">
        <f t="shared" si="74"/>
        <v>-0.15999999999999837</v>
      </c>
      <c r="X86" s="4">
        <f t="shared" si="75"/>
        <v>-3.9999999999999147E-2</v>
      </c>
      <c r="Y86" s="4">
        <f t="shared" si="76"/>
        <v>-9.9999999999999645E-2</v>
      </c>
      <c r="Z86" s="4">
        <f t="shared" si="77"/>
        <v>-0.47999999999999865</v>
      </c>
      <c r="AC86" s="4">
        <f t="shared" si="51"/>
        <v>9.9891000000000005</v>
      </c>
      <c r="AD86" s="4">
        <f t="shared" si="52"/>
        <v>9.98705</v>
      </c>
      <c r="AE86" s="4">
        <f t="shared" si="53"/>
        <v>10.0299</v>
      </c>
      <c r="AF86" s="4">
        <f t="shared" si="54"/>
        <v>10.153600000000001</v>
      </c>
      <c r="AG86" s="4">
        <f t="shared" si="55"/>
        <v>10.075999999999999</v>
      </c>
      <c r="AH86" s="4">
        <f t="shared" si="56"/>
        <v>10.242000000000001</v>
      </c>
      <c r="AI86" s="4">
        <f t="shared" si="57"/>
        <v>9.9644499999999994</v>
      </c>
      <c r="AJ86" s="4">
        <f t="shared" si="58"/>
        <v>10.034799999999999</v>
      </c>
      <c r="AK86" s="4">
        <f t="shared" si="59"/>
        <v>10.19515</v>
      </c>
      <c r="AN86" s="4">
        <f t="shared" si="60"/>
        <v>-5.0899999999998613E-2</v>
      </c>
      <c r="AO86" s="4">
        <f t="shared" si="61"/>
        <v>-5.2949999999999164E-2</v>
      </c>
      <c r="AP86" s="4">
        <f t="shared" si="62"/>
        <v>-1.0099999999999554E-2</v>
      </c>
      <c r="AQ86" s="4">
        <f t="shared" si="63"/>
        <v>0.1136000000000017</v>
      </c>
      <c r="AR86" s="4">
        <f t="shared" si="64"/>
        <v>3.5999999999999588E-2</v>
      </c>
      <c r="AS86" s="4">
        <f t="shared" si="65"/>
        <v>0.20200000000000173</v>
      </c>
      <c r="AT86" s="4">
        <f t="shared" si="66"/>
        <v>-7.5549999999999784E-2</v>
      </c>
      <c r="AU86" s="4">
        <f t="shared" si="67"/>
        <v>-5.2000000000003155E-3</v>
      </c>
      <c r="AV86" s="4">
        <f t="shared" si="68"/>
        <v>0.15515000000000079</v>
      </c>
    </row>
    <row r="87" spans="1:48" x14ac:dyDescent="0.25">
      <c r="A87" s="18">
        <v>87</v>
      </c>
      <c r="B87" s="19">
        <v>43552</v>
      </c>
      <c r="C87" s="20">
        <v>0.4752662037037037</v>
      </c>
      <c r="D87" s="18">
        <v>9.94</v>
      </c>
      <c r="E87" s="18">
        <v>9.75</v>
      </c>
      <c r="F87" s="18">
        <v>9.94</v>
      </c>
      <c r="G87" s="18">
        <v>9.8800000000000008</v>
      </c>
      <c r="H87" s="18">
        <v>9.75</v>
      </c>
      <c r="I87" s="18">
        <v>9.94</v>
      </c>
      <c r="J87" s="18">
        <v>10</v>
      </c>
      <c r="K87" s="18">
        <v>10</v>
      </c>
      <c r="L87" s="18">
        <v>9.6300000000000008</v>
      </c>
      <c r="N87" s="4">
        <v>9.92</v>
      </c>
      <c r="O87" s="4">
        <f>N87-'Sonde étalon'!$C$13</f>
        <v>10.09</v>
      </c>
      <c r="R87" s="4">
        <f t="shared" si="69"/>
        <v>-0.15000000000000036</v>
      </c>
      <c r="S87" s="4">
        <f t="shared" si="70"/>
        <v>-0.33999999999999986</v>
      </c>
      <c r="T87" s="4">
        <f t="shared" si="71"/>
        <v>-0.15000000000000036</v>
      </c>
      <c r="U87" s="4">
        <f t="shared" si="72"/>
        <v>-0.20999999999999908</v>
      </c>
      <c r="V87" s="4">
        <f t="shared" si="73"/>
        <v>-0.33999999999999986</v>
      </c>
      <c r="W87" s="4">
        <f t="shared" si="74"/>
        <v>-0.15000000000000036</v>
      </c>
      <c r="X87" s="4">
        <f t="shared" si="75"/>
        <v>-8.9999999999999858E-2</v>
      </c>
      <c r="Y87" s="4">
        <f t="shared" si="76"/>
        <v>-8.9999999999999858E-2</v>
      </c>
      <c r="Z87" s="4">
        <f t="shared" si="77"/>
        <v>-0.45999999999999908</v>
      </c>
      <c r="AC87" s="4">
        <f t="shared" si="51"/>
        <v>10.049099999999999</v>
      </c>
      <c r="AD87" s="4">
        <f t="shared" si="52"/>
        <v>9.98705</v>
      </c>
      <c r="AE87" s="4">
        <f t="shared" si="53"/>
        <v>10.0299</v>
      </c>
      <c r="AF87" s="4">
        <f t="shared" si="54"/>
        <v>10.223600000000001</v>
      </c>
      <c r="AG87" s="4">
        <f t="shared" si="55"/>
        <v>10.135999999999999</v>
      </c>
      <c r="AH87" s="4">
        <f t="shared" si="56"/>
        <v>10.302</v>
      </c>
      <c r="AI87" s="4">
        <f t="shared" si="57"/>
        <v>9.9644499999999994</v>
      </c>
      <c r="AJ87" s="4">
        <f t="shared" si="58"/>
        <v>10.094799999999999</v>
      </c>
      <c r="AK87" s="4">
        <f t="shared" si="59"/>
        <v>10.26515</v>
      </c>
      <c r="AN87" s="4">
        <f t="shared" si="60"/>
        <v>-4.0900000000000603E-2</v>
      </c>
      <c r="AO87" s="4">
        <f t="shared" si="61"/>
        <v>-0.10294999999999987</v>
      </c>
      <c r="AP87" s="4">
        <f t="shared" si="62"/>
        <v>-6.0100000000000264E-2</v>
      </c>
      <c r="AQ87" s="4">
        <f t="shared" si="63"/>
        <v>0.13360000000000127</v>
      </c>
      <c r="AR87" s="4">
        <f t="shared" si="64"/>
        <v>4.5999999999999375E-2</v>
      </c>
      <c r="AS87" s="4">
        <f t="shared" si="65"/>
        <v>0.21199999999999974</v>
      </c>
      <c r="AT87" s="4">
        <f t="shared" si="66"/>
        <v>-0.12555000000000049</v>
      </c>
      <c r="AU87" s="4">
        <f t="shared" si="67"/>
        <v>4.7999999999994714E-3</v>
      </c>
      <c r="AV87" s="4">
        <f t="shared" si="68"/>
        <v>0.17515000000000036</v>
      </c>
    </row>
    <row r="88" spans="1:48" x14ac:dyDescent="0.25">
      <c r="A88" s="18">
        <v>88</v>
      </c>
      <c r="B88" s="19">
        <v>43552</v>
      </c>
      <c r="C88" s="20">
        <v>0.47596064814814815</v>
      </c>
      <c r="D88" s="18">
        <v>10</v>
      </c>
      <c r="E88" s="18">
        <v>9.81</v>
      </c>
      <c r="F88" s="18">
        <v>10</v>
      </c>
      <c r="G88" s="18">
        <v>9.8800000000000008</v>
      </c>
      <c r="H88" s="18">
        <v>9.81</v>
      </c>
      <c r="I88" s="18">
        <v>10</v>
      </c>
      <c r="J88" s="18">
        <v>10.06</v>
      </c>
      <c r="K88" s="18">
        <v>10</v>
      </c>
      <c r="L88" s="18">
        <v>9.6300000000000008</v>
      </c>
      <c r="N88" s="4">
        <v>9.9600000000000009</v>
      </c>
      <c r="O88" s="4">
        <f>N88-'Sonde étalon'!$C$13</f>
        <v>10.130000000000001</v>
      </c>
      <c r="R88" s="4">
        <f t="shared" si="69"/>
        <v>-0.13000000000000078</v>
      </c>
      <c r="S88" s="4">
        <f t="shared" si="70"/>
        <v>-0.32000000000000028</v>
      </c>
      <c r="T88" s="4">
        <f t="shared" si="71"/>
        <v>-0.13000000000000078</v>
      </c>
      <c r="U88" s="4">
        <f t="shared" si="72"/>
        <v>-0.25</v>
      </c>
      <c r="V88" s="4">
        <f t="shared" si="73"/>
        <v>-0.32000000000000028</v>
      </c>
      <c r="W88" s="4">
        <f t="shared" si="74"/>
        <v>-0.13000000000000078</v>
      </c>
      <c r="X88" s="4">
        <f t="shared" si="75"/>
        <v>-7.0000000000000284E-2</v>
      </c>
      <c r="Y88" s="4">
        <f t="shared" si="76"/>
        <v>-0.13000000000000078</v>
      </c>
      <c r="Z88" s="4">
        <f t="shared" si="77"/>
        <v>-0.5</v>
      </c>
      <c r="AC88" s="4">
        <f t="shared" si="51"/>
        <v>10.1091</v>
      </c>
      <c r="AD88" s="4">
        <f t="shared" si="52"/>
        <v>10.04705</v>
      </c>
      <c r="AE88" s="4">
        <f t="shared" si="53"/>
        <v>10.0899</v>
      </c>
      <c r="AF88" s="4">
        <f t="shared" si="54"/>
        <v>10.223600000000001</v>
      </c>
      <c r="AG88" s="4">
        <f t="shared" si="55"/>
        <v>10.196</v>
      </c>
      <c r="AH88" s="4">
        <f t="shared" si="56"/>
        <v>10.362</v>
      </c>
      <c r="AI88" s="4">
        <f t="shared" si="57"/>
        <v>10.02445</v>
      </c>
      <c r="AJ88" s="4">
        <f t="shared" si="58"/>
        <v>10.094799999999999</v>
      </c>
      <c r="AK88" s="4">
        <f t="shared" si="59"/>
        <v>10.26515</v>
      </c>
      <c r="AN88" s="4">
        <f t="shared" si="60"/>
        <v>-2.0900000000001029E-2</v>
      </c>
      <c r="AO88" s="4">
        <f t="shared" si="61"/>
        <v>-8.2950000000000301E-2</v>
      </c>
      <c r="AP88" s="4">
        <f t="shared" si="62"/>
        <v>-4.0100000000000691E-2</v>
      </c>
      <c r="AQ88" s="4">
        <f t="shared" si="63"/>
        <v>9.360000000000035E-2</v>
      </c>
      <c r="AR88" s="4">
        <f t="shared" si="64"/>
        <v>6.5999999999998948E-2</v>
      </c>
      <c r="AS88" s="4">
        <f t="shared" si="65"/>
        <v>0.23199999999999932</v>
      </c>
      <c r="AT88" s="4">
        <f t="shared" si="66"/>
        <v>-0.10555000000000092</v>
      </c>
      <c r="AU88" s="4">
        <f t="shared" si="67"/>
        <v>-3.5200000000001452E-2</v>
      </c>
      <c r="AV88" s="4">
        <f t="shared" si="68"/>
        <v>0.13514999999999944</v>
      </c>
    </row>
    <row r="89" spans="1:48" x14ac:dyDescent="0.25">
      <c r="A89" s="18">
        <v>89</v>
      </c>
      <c r="B89" s="19">
        <v>43552</v>
      </c>
      <c r="C89" s="20">
        <v>0.47665509259259259</v>
      </c>
      <c r="D89" s="18">
        <v>10.06</v>
      </c>
      <c r="E89" s="18">
        <v>9.8800000000000008</v>
      </c>
      <c r="F89" s="18">
        <v>10.06</v>
      </c>
      <c r="G89" s="18">
        <v>9.94</v>
      </c>
      <c r="H89" s="18">
        <v>9.81</v>
      </c>
      <c r="I89" s="18">
        <v>10</v>
      </c>
      <c r="J89" s="18">
        <v>10.130000000000001</v>
      </c>
      <c r="K89" s="18">
        <v>10.06</v>
      </c>
      <c r="L89" s="18">
        <v>9.69</v>
      </c>
      <c r="N89" s="4">
        <v>10.02</v>
      </c>
      <c r="O89" s="4">
        <f>N89-'Sonde étalon'!$C$13</f>
        <v>10.19</v>
      </c>
      <c r="R89" s="4">
        <f t="shared" si="69"/>
        <v>-0.12999999999999901</v>
      </c>
      <c r="S89" s="4">
        <f t="shared" si="70"/>
        <v>-0.30999999999999872</v>
      </c>
      <c r="T89" s="4">
        <f t="shared" si="71"/>
        <v>-0.12999999999999901</v>
      </c>
      <c r="U89" s="4">
        <f t="shared" si="72"/>
        <v>-0.25</v>
      </c>
      <c r="V89" s="4">
        <f t="shared" si="73"/>
        <v>-0.37999999999999901</v>
      </c>
      <c r="W89" s="4">
        <f t="shared" si="74"/>
        <v>-0.1899999999999995</v>
      </c>
      <c r="X89" s="4">
        <f t="shared" si="75"/>
        <v>-5.9999999999998721E-2</v>
      </c>
      <c r="Y89" s="4">
        <f t="shared" si="76"/>
        <v>-0.12999999999999901</v>
      </c>
      <c r="Z89" s="4">
        <f t="shared" si="77"/>
        <v>-0.5</v>
      </c>
      <c r="AC89" s="4">
        <f t="shared" si="51"/>
        <v>10.1691</v>
      </c>
      <c r="AD89" s="4">
        <f t="shared" si="52"/>
        <v>10.117050000000001</v>
      </c>
      <c r="AE89" s="4">
        <f t="shared" si="53"/>
        <v>10.149900000000001</v>
      </c>
      <c r="AF89" s="4">
        <f t="shared" si="54"/>
        <v>10.2836</v>
      </c>
      <c r="AG89" s="4">
        <f t="shared" si="55"/>
        <v>10.196</v>
      </c>
      <c r="AH89" s="4">
        <f t="shared" si="56"/>
        <v>10.362</v>
      </c>
      <c r="AI89" s="4">
        <f t="shared" si="57"/>
        <v>10.09445</v>
      </c>
      <c r="AJ89" s="4">
        <f t="shared" si="58"/>
        <v>10.1548</v>
      </c>
      <c r="AK89" s="4">
        <f t="shared" si="59"/>
        <v>10.325149999999999</v>
      </c>
      <c r="AN89" s="4">
        <f t="shared" si="60"/>
        <v>-2.0899999999999253E-2</v>
      </c>
      <c r="AO89" s="4">
        <f t="shared" si="61"/>
        <v>-7.2949999999998738E-2</v>
      </c>
      <c r="AP89" s="4">
        <f t="shared" si="62"/>
        <v>-4.0099999999998914E-2</v>
      </c>
      <c r="AQ89" s="4">
        <f t="shared" si="63"/>
        <v>9.360000000000035E-2</v>
      </c>
      <c r="AR89" s="4">
        <f t="shared" si="64"/>
        <v>6.0000000000002274E-3</v>
      </c>
      <c r="AS89" s="4">
        <f t="shared" si="65"/>
        <v>0.1720000000000006</v>
      </c>
      <c r="AT89" s="4">
        <f t="shared" si="66"/>
        <v>-9.5549999999999358E-2</v>
      </c>
      <c r="AU89" s="4">
        <f t="shared" si="67"/>
        <v>-3.5199999999999676E-2</v>
      </c>
      <c r="AV89" s="4">
        <f t="shared" si="68"/>
        <v>0.13514999999999944</v>
      </c>
    </row>
    <row r="90" spans="1:48" x14ac:dyDescent="0.25">
      <c r="A90" s="18">
        <v>90</v>
      </c>
      <c r="B90" s="19">
        <v>43552</v>
      </c>
      <c r="C90" s="20">
        <v>0.47734953703703703</v>
      </c>
      <c r="D90" s="18">
        <v>10</v>
      </c>
      <c r="E90" s="18">
        <v>9.8800000000000008</v>
      </c>
      <c r="F90" s="18">
        <v>10.06</v>
      </c>
      <c r="G90" s="18">
        <v>9.94</v>
      </c>
      <c r="H90" s="18">
        <v>9.81</v>
      </c>
      <c r="I90" s="18">
        <v>9.94</v>
      </c>
      <c r="J90" s="18">
        <v>10.130000000000001</v>
      </c>
      <c r="K90" s="18">
        <v>10.06</v>
      </c>
      <c r="L90" s="18">
        <v>9.6300000000000008</v>
      </c>
      <c r="N90" s="4">
        <v>10.050000000000001</v>
      </c>
      <c r="O90" s="4">
        <f>N90-'Sonde étalon'!$C$13</f>
        <v>10.220000000000001</v>
      </c>
      <c r="R90" s="4">
        <f t="shared" si="69"/>
        <v>-0.22000000000000064</v>
      </c>
      <c r="S90" s="4">
        <f t="shared" si="70"/>
        <v>-0.33999999999999986</v>
      </c>
      <c r="T90" s="4">
        <f t="shared" si="71"/>
        <v>-0.16000000000000014</v>
      </c>
      <c r="U90" s="4">
        <f t="shared" si="72"/>
        <v>-0.28000000000000114</v>
      </c>
      <c r="V90" s="4">
        <f t="shared" si="73"/>
        <v>-0.41000000000000014</v>
      </c>
      <c r="W90" s="4">
        <f t="shared" si="74"/>
        <v>-0.28000000000000114</v>
      </c>
      <c r="X90" s="4">
        <f t="shared" si="75"/>
        <v>-8.9999999999999858E-2</v>
      </c>
      <c r="Y90" s="4">
        <f t="shared" si="76"/>
        <v>-0.16000000000000014</v>
      </c>
      <c r="Z90" s="4">
        <f t="shared" si="77"/>
        <v>-0.58999999999999986</v>
      </c>
      <c r="AC90" s="4">
        <f t="shared" si="51"/>
        <v>10.1091</v>
      </c>
      <c r="AD90" s="4">
        <f t="shared" si="52"/>
        <v>10.117050000000001</v>
      </c>
      <c r="AE90" s="4">
        <f t="shared" si="53"/>
        <v>10.149900000000001</v>
      </c>
      <c r="AF90" s="4">
        <f t="shared" si="54"/>
        <v>10.2836</v>
      </c>
      <c r="AG90" s="4">
        <f t="shared" si="55"/>
        <v>10.196</v>
      </c>
      <c r="AH90" s="4">
        <f t="shared" si="56"/>
        <v>10.302</v>
      </c>
      <c r="AI90" s="4">
        <f t="shared" si="57"/>
        <v>10.09445</v>
      </c>
      <c r="AJ90" s="4">
        <f t="shared" si="58"/>
        <v>10.1548</v>
      </c>
      <c r="AK90" s="4">
        <f t="shared" si="59"/>
        <v>10.26515</v>
      </c>
      <c r="AN90" s="4">
        <f t="shared" si="60"/>
        <v>-0.11090000000000089</v>
      </c>
      <c r="AO90" s="4">
        <f t="shared" si="61"/>
        <v>-0.10294999999999987</v>
      </c>
      <c r="AP90" s="4">
        <f t="shared" si="62"/>
        <v>-7.0100000000000051E-2</v>
      </c>
      <c r="AQ90" s="4">
        <f t="shared" si="63"/>
        <v>6.3599999999999213E-2</v>
      </c>
      <c r="AR90" s="4">
        <f t="shared" si="64"/>
        <v>-2.4000000000000909E-2</v>
      </c>
      <c r="AS90" s="4">
        <f t="shared" si="65"/>
        <v>8.1999999999998963E-2</v>
      </c>
      <c r="AT90" s="4">
        <f t="shared" si="66"/>
        <v>-0.12555000000000049</v>
      </c>
      <c r="AU90" s="4">
        <f t="shared" si="67"/>
        <v>-6.5200000000000813E-2</v>
      </c>
      <c r="AV90" s="4">
        <f t="shared" si="68"/>
        <v>4.5149999999999579E-2</v>
      </c>
    </row>
    <row r="91" spans="1:48" x14ac:dyDescent="0.25">
      <c r="A91" s="18">
        <v>91</v>
      </c>
      <c r="B91" s="19">
        <v>43552</v>
      </c>
      <c r="C91" s="20">
        <v>0.47804398148148147</v>
      </c>
      <c r="D91" s="18">
        <v>9.94</v>
      </c>
      <c r="E91" s="18">
        <v>9.81</v>
      </c>
      <c r="F91" s="18">
        <v>9.94</v>
      </c>
      <c r="G91" s="18">
        <v>9.81</v>
      </c>
      <c r="H91" s="18">
        <v>9.81</v>
      </c>
      <c r="I91" s="18">
        <v>9.69</v>
      </c>
      <c r="J91" s="18">
        <v>10.06</v>
      </c>
      <c r="K91" s="18">
        <v>9.94</v>
      </c>
      <c r="L91" s="18">
        <v>9.5</v>
      </c>
      <c r="N91" s="4">
        <v>10.07</v>
      </c>
      <c r="O91" s="4">
        <f>N91-'Sonde étalon'!$C$13</f>
        <v>10.24</v>
      </c>
      <c r="R91" s="4">
        <f t="shared" si="69"/>
        <v>-0.30000000000000071</v>
      </c>
      <c r="S91" s="4">
        <f t="shared" si="70"/>
        <v>-0.42999999999999972</v>
      </c>
      <c r="T91" s="4">
        <f t="shared" si="71"/>
        <v>-0.30000000000000071</v>
      </c>
      <c r="U91" s="4">
        <f t="shared" si="72"/>
        <v>-0.42999999999999972</v>
      </c>
      <c r="V91" s="4">
        <f t="shared" si="73"/>
        <v>-0.42999999999999972</v>
      </c>
      <c r="W91" s="4">
        <f t="shared" si="74"/>
        <v>-0.55000000000000071</v>
      </c>
      <c r="X91" s="4">
        <f t="shared" si="75"/>
        <v>-0.17999999999999972</v>
      </c>
      <c r="Y91" s="4">
        <f t="shared" si="76"/>
        <v>-0.30000000000000071</v>
      </c>
      <c r="Z91" s="4">
        <f t="shared" si="77"/>
        <v>-0.74000000000000021</v>
      </c>
      <c r="AC91" s="4">
        <f t="shared" si="51"/>
        <v>10.049099999999999</v>
      </c>
      <c r="AD91" s="4">
        <f t="shared" si="52"/>
        <v>10.04705</v>
      </c>
      <c r="AE91" s="4">
        <f t="shared" si="53"/>
        <v>10.0299</v>
      </c>
      <c r="AF91" s="4">
        <f t="shared" si="54"/>
        <v>10.153600000000001</v>
      </c>
      <c r="AG91" s="4">
        <f t="shared" si="55"/>
        <v>10.196</v>
      </c>
      <c r="AH91" s="4">
        <f t="shared" si="56"/>
        <v>10.052</v>
      </c>
      <c r="AI91" s="4">
        <f t="shared" si="57"/>
        <v>10.02445</v>
      </c>
      <c r="AJ91" s="4">
        <f t="shared" si="58"/>
        <v>10.034799999999999</v>
      </c>
      <c r="AK91" s="4">
        <f t="shared" si="59"/>
        <v>10.135149999999999</v>
      </c>
      <c r="AN91" s="4">
        <f t="shared" si="60"/>
        <v>-0.19090000000000096</v>
      </c>
      <c r="AO91" s="4">
        <f t="shared" si="61"/>
        <v>-0.19294999999999973</v>
      </c>
      <c r="AP91" s="4">
        <f t="shared" si="62"/>
        <v>-0.21010000000000062</v>
      </c>
      <c r="AQ91" s="4">
        <f t="shared" si="63"/>
        <v>-8.6399999999999366E-2</v>
      </c>
      <c r="AR91" s="4">
        <f t="shared" si="64"/>
        <v>-4.4000000000000483E-2</v>
      </c>
      <c r="AS91" s="4">
        <f t="shared" si="65"/>
        <v>-0.18800000000000061</v>
      </c>
      <c r="AT91" s="4">
        <f t="shared" si="66"/>
        <v>-0.21555000000000035</v>
      </c>
      <c r="AU91" s="4">
        <f t="shared" si="67"/>
        <v>-0.20520000000000138</v>
      </c>
      <c r="AV91" s="4">
        <f t="shared" si="68"/>
        <v>-0.10485000000000078</v>
      </c>
    </row>
    <row r="92" spans="1:48" x14ac:dyDescent="0.25">
      <c r="A92" s="18">
        <v>92</v>
      </c>
      <c r="B92" s="19">
        <v>43552</v>
      </c>
      <c r="C92" s="20">
        <v>0.47873842592592591</v>
      </c>
      <c r="D92" s="18">
        <v>9.75</v>
      </c>
      <c r="E92" s="18">
        <v>9.75</v>
      </c>
      <c r="F92" s="18">
        <v>9.81</v>
      </c>
      <c r="G92" s="18">
        <v>9.56</v>
      </c>
      <c r="H92" s="18">
        <v>9.6300000000000008</v>
      </c>
      <c r="I92" s="18">
        <v>9.3800000000000008</v>
      </c>
      <c r="J92" s="18">
        <v>9.94</v>
      </c>
      <c r="K92" s="18">
        <v>9.75</v>
      </c>
      <c r="L92" s="18">
        <v>9.25</v>
      </c>
      <c r="N92" s="4">
        <v>9.99</v>
      </c>
      <c r="O92" s="4">
        <f>N92-'Sonde étalon'!$C$13</f>
        <v>10.16</v>
      </c>
      <c r="R92" s="4">
        <f t="shared" si="69"/>
        <v>-0.41000000000000014</v>
      </c>
      <c r="S92" s="4">
        <f t="shared" si="70"/>
        <v>-0.41000000000000014</v>
      </c>
      <c r="T92" s="4">
        <f t="shared" si="71"/>
        <v>-0.34999999999999964</v>
      </c>
      <c r="U92" s="4">
        <f t="shared" si="72"/>
        <v>-0.59999999999999964</v>
      </c>
      <c r="V92" s="4">
        <f t="shared" si="73"/>
        <v>-0.52999999999999936</v>
      </c>
      <c r="W92" s="4">
        <f t="shared" si="74"/>
        <v>-0.77999999999999936</v>
      </c>
      <c r="X92" s="4">
        <f t="shared" si="75"/>
        <v>-0.22000000000000064</v>
      </c>
      <c r="Y92" s="4">
        <f t="shared" si="76"/>
        <v>-0.41000000000000014</v>
      </c>
      <c r="Z92" s="4">
        <f t="shared" si="77"/>
        <v>-0.91000000000000014</v>
      </c>
      <c r="AC92" s="4">
        <f t="shared" si="51"/>
        <v>9.8590999999999998</v>
      </c>
      <c r="AD92" s="4">
        <f t="shared" si="52"/>
        <v>9.98705</v>
      </c>
      <c r="AE92" s="4">
        <f t="shared" si="53"/>
        <v>9.8999000000000006</v>
      </c>
      <c r="AF92" s="4">
        <f t="shared" si="54"/>
        <v>9.9036000000000008</v>
      </c>
      <c r="AG92" s="4">
        <f t="shared" si="55"/>
        <v>10.016</v>
      </c>
      <c r="AH92" s="4">
        <f t="shared" si="56"/>
        <v>9.7420000000000009</v>
      </c>
      <c r="AI92" s="4">
        <f t="shared" si="57"/>
        <v>9.9044499999999989</v>
      </c>
      <c r="AJ92" s="4">
        <f t="shared" si="58"/>
        <v>9.8447999999999993</v>
      </c>
      <c r="AK92" s="4">
        <f t="shared" si="59"/>
        <v>9.8851499999999994</v>
      </c>
      <c r="AN92" s="4">
        <f t="shared" si="60"/>
        <v>-0.30090000000000039</v>
      </c>
      <c r="AO92" s="4">
        <f t="shared" si="61"/>
        <v>-0.17295000000000016</v>
      </c>
      <c r="AP92" s="4">
        <f t="shared" si="62"/>
        <v>-0.26009999999999955</v>
      </c>
      <c r="AQ92" s="4">
        <f t="shared" si="63"/>
        <v>-0.2563999999999993</v>
      </c>
      <c r="AR92" s="4">
        <f t="shared" si="64"/>
        <v>-0.14400000000000013</v>
      </c>
      <c r="AS92" s="4">
        <f t="shared" si="65"/>
        <v>-0.41799999999999926</v>
      </c>
      <c r="AT92" s="4">
        <f t="shared" si="66"/>
        <v>-0.25555000000000128</v>
      </c>
      <c r="AU92" s="4">
        <f t="shared" si="67"/>
        <v>-0.31520000000000081</v>
      </c>
      <c r="AV92" s="4">
        <f t="shared" si="68"/>
        <v>-0.2748500000000007</v>
      </c>
    </row>
    <row r="93" spans="1:48" x14ac:dyDescent="0.25">
      <c r="A93" s="18">
        <v>93</v>
      </c>
      <c r="B93" s="19">
        <v>43552</v>
      </c>
      <c r="C93" s="20">
        <v>0.47943287037037036</v>
      </c>
      <c r="D93" s="18">
        <v>9.56</v>
      </c>
      <c r="E93" s="18">
        <v>9.56</v>
      </c>
      <c r="F93" s="18">
        <v>9.56</v>
      </c>
      <c r="G93" s="18">
        <v>9.25</v>
      </c>
      <c r="H93" s="18">
        <v>9.44</v>
      </c>
      <c r="I93" s="18">
        <v>9</v>
      </c>
      <c r="J93" s="18">
        <v>9.75</v>
      </c>
      <c r="K93" s="18">
        <v>9.5</v>
      </c>
      <c r="L93" s="18">
        <v>8.8800000000000008</v>
      </c>
      <c r="N93" s="4">
        <v>9.82</v>
      </c>
      <c r="O93" s="4">
        <f>N93-'Sonde étalon'!$C$13</f>
        <v>9.99</v>
      </c>
      <c r="R93" s="4">
        <f t="shared" si="69"/>
        <v>-0.42999999999999972</v>
      </c>
      <c r="S93" s="4">
        <f t="shared" si="70"/>
        <v>-0.42999999999999972</v>
      </c>
      <c r="T93" s="4">
        <f t="shared" si="71"/>
        <v>-0.42999999999999972</v>
      </c>
      <c r="U93" s="4">
        <f t="shared" si="72"/>
        <v>-0.74000000000000021</v>
      </c>
      <c r="V93" s="4">
        <f t="shared" si="73"/>
        <v>-0.55000000000000071</v>
      </c>
      <c r="W93" s="4">
        <f t="shared" si="74"/>
        <v>-0.99000000000000021</v>
      </c>
      <c r="X93" s="4">
        <f t="shared" si="75"/>
        <v>-0.24000000000000021</v>
      </c>
      <c r="Y93" s="4">
        <f t="shared" si="76"/>
        <v>-0.49000000000000021</v>
      </c>
      <c r="Z93" s="4">
        <f t="shared" si="77"/>
        <v>-1.1099999999999994</v>
      </c>
      <c r="AC93" s="4">
        <f t="shared" si="51"/>
        <v>9.6691000000000003</v>
      </c>
      <c r="AD93" s="4">
        <f t="shared" si="52"/>
        <v>9.7970500000000005</v>
      </c>
      <c r="AE93" s="4">
        <f t="shared" si="53"/>
        <v>9.6499000000000006</v>
      </c>
      <c r="AF93" s="4">
        <f t="shared" si="54"/>
        <v>9.5936000000000003</v>
      </c>
      <c r="AG93" s="4">
        <f t="shared" si="55"/>
        <v>9.8259999999999987</v>
      </c>
      <c r="AH93" s="4">
        <f t="shared" si="56"/>
        <v>9.3620000000000001</v>
      </c>
      <c r="AI93" s="4">
        <f t="shared" si="57"/>
        <v>9.7144499999999994</v>
      </c>
      <c r="AJ93" s="4">
        <f t="shared" si="58"/>
        <v>9.5947999999999993</v>
      </c>
      <c r="AK93" s="4">
        <f t="shared" si="59"/>
        <v>9.5151500000000002</v>
      </c>
      <c r="AN93" s="4">
        <f t="shared" si="60"/>
        <v>-0.32089999999999996</v>
      </c>
      <c r="AO93" s="4">
        <f t="shared" si="61"/>
        <v>-0.19294999999999973</v>
      </c>
      <c r="AP93" s="4">
        <f t="shared" si="62"/>
        <v>-0.34009999999999962</v>
      </c>
      <c r="AQ93" s="4">
        <f t="shared" si="63"/>
        <v>-0.39639999999999986</v>
      </c>
      <c r="AR93" s="4">
        <f t="shared" si="64"/>
        <v>-0.16400000000000148</v>
      </c>
      <c r="AS93" s="4">
        <f t="shared" si="65"/>
        <v>-0.62800000000000011</v>
      </c>
      <c r="AT93" s="4">
        <f t="shared" si="66"/>
        <v>-0.27555000000000085</v>
      </c>
      <c r="AU93" s="4">
        <f t="shared" si="67"/>
        <v>-0.39520000000000088</v>
      </c>
      <c r="AV93" s="4">
        <f t="shared" si="68"/>
        <v>-0.47484999999999999</v>
      </c>
    </row>
    <row r="94" spans="1:48" x14ac:dyDescent="0.25">
      <c r="A94" s="18">
        <v>94</v>
      </c>
      <c r="B94" s="19">
        <v>43552</v>
      </c>
      <c r="C94" s="20">
        <v>0.4801273148148148</v>
      </c>
      <c r="D94" s="18">
        <v>9.25</v>
      </c>
      <c r="E94" s="18">
        <v>9.31</v>
      </c>
      <c r="F94" s="18">
        <v>9.25</v>
      </c>
      <c r="G94" s="18">
        <v>8.94</v>
      </c>
      <c r="H94" s="18">
        <v>9.1300000000000008</v>
      </c>
      <c r="I94" s="18">
        <v>8.56</v>
      </c>
      <c r="J94" s="18">
        <v>9.5</v>
      </c>
      <c r="K94" s="18">
        <v>9.19</v>
      </c>
      <c r="L94" s="18">
        <v>8.56</v>
      </c>
      <c r="N94" s="4">
        <v>9.57</v>
      </c>
      <c r="O94" s="4">
        <f>N94-'Sonde étalon'!$C$13</f>
        <v>9.74</v>
      </c>
      <c r="R94" s="4">
        <f t="shared" si="69"/>
        <v>-0.49000000000000021</v>
      </c>
      <c r="S94" s="4">
        <f t="shared" si="70"/>
        <v>-0.42999999999999972</v>
      </c>
      <c r="T94" s="4">
        <f t="shared" si="71"/>
        <v>-0.49000000000000021</v>
      </c>
      <c r="U94" s="4">
        <f t="shared" si="72"/>
        <v>-0.80000000000000071</v>
      </c>
      <c r="V94" s="4">
        <f t="shared" si="73"/>
        <v>-0.60999999999999943</v>
      </c>
      <c r="W94" s="4">
        <f t="shared" si="74"/>
        <v>-1.1799999999999997</v>
      </c>
      <c r="X94" s="4">
        <f t="shared" si="75"/>
        <v>-0.24000000000000021</v>
      </c>
      <c r="Y94" s="4">
        <f t="shared" si="76"/>
        <v>-0.55000000000000071</v>
      </c>
      <c r="Z94" s="4">
        <f t="shared" si="77"/>
        <v>-1.1799999999999997</v>
      </c>
      <c r="AC94" s="4">
        <f t="shared" si="51"/>
        <v>9.3590999999999998</v>
      </c>
      <c r="AD94" s="4">
        <f t="shared" si="52"/>
        <v>9.5470500000000005</v>
      </c>
      <c r="AE94" s="4">
        <f t="shared" si="53"/>
        <v>9.3399000000000001</v>
      </c>
      <c r="AF94" s="4">
        <f t="shared" si="54"/>
        <v>9.2835999999999999</v>
      </c>
      <c r="AG94" s="4">
        <f t="shared" si="55"/>
        <v>9.516</v>
      </c>
      <c r="AH94" s="4">
        <f t="shared" si="56"/>
        <v>8.9220000000000006</v>
      </c>
      <c r="AI94" s="4">
        <f t="shared" si="57"/>
        <v>9.4644499999999994</v>
      </c>
      <c r="AJ94" s="4">
        <f t="shared" si="58"/>
        <v>9.2847999999999988</v>
      </c>
      <c r="AK94" s="4">
        <f t="shared" si="59"/>
        <v>9.1951499999999999</v>
      </c>
      <c r="AN94" s="4">
        <f t="shared" si="60"/>
        <v>-0.38090000000000046</v>
      </c>
      <c r="AO94" s="4">
        <f t="shared" si="61"/>
        <v>-0.19294999999999973</v>
      </c>
      <c r="AP94" s="4">
        <f t="shared" si="62"/>
        <v>-0.40010000000000012</v>
      </c>
      <c r="AQ94" s="4">
        <f t="shared" si="63"/>
        <v>-0.45640000000000036</v>
      </c>
      <c r="AR94" s="4">
        <f t="shared" si="64"/>
        <v>-0.2240000000000002</v>
      </c>
      <c r="AS94" s="4">
        <f t="shared" si="65"/>
        <v>-0.81799999999999962</v>
      </c>
      <c r="AT94" s="4">
        <f t="shared" si="66"/>
        <v>-0.27555000000000085</v>
      </c>
      <c r="AU94" s="4">
        <f t="shared" si="67"/>
        <v>-0.45520000000000138</v>
      </c>
      <c r="AV94" s="4">
        <f t="shared" si="68"/>
        <v>-0.54485000000000028</v>
      </c>
    </row>
    <row r="95" spans="1:48" x14ac:dyDescent="0.25">
      <c r="A95" s="18">
        <v>95</v>
      </c>
      <c r="B95" s="19">
        <v>43552</v>
      </c>
      <c r="C95" s="20">
        <v>0.48082175925925924</v>
      </c>
      <c r="D95" s="18">
        <v>9</v>
      </c>
      <c r="E95" s="18">
        <v>9.06</v>
      </c>
      <c r="F95" s="18">
        <v>8.94</v>
      </c>
      <c r="G95" s="18">
        <v>8.56</v>
      </c>
      <c r="H95" s="18">
        <v>8.81</v>
      </c>
      <c r="I95" s="18">
        <v>8.19</v>
      </c>
      <c r="J95" s="18">
        <v>9.19</v>
      </c>
      <c r="K95" s="18">
        <v>8.8800000000000008</v>
      </c>
      <c r="L95" s="18">
        <v>8.19</v>
      </c>
      <c r="N95" s="4">
        <v>9.24</v>
      </c>
      <c r="O95" s="4">
        <f>N95-'Sonde étalon'!$C$13</f>
        <v>9.41</v>
      </c>
      <c r="R95" s="4">
        <f t="shared" si="69"/>
        <v>-0.41000000000000014</v>
      </c>
      <c r="S95" s="4">
        <f t="shared" si="70"/>
        <v>-0.34999999999999964</v>
      </c>
      <c r="T95" s="4">
        <f t="shared" si="71"/>
        <v>-0.47000000000000064</v>
      </c>
      <c r="U95" s="4">
        <f t="shared" si="72"/>
        <v>-0.84999999999999964</v>
      </c>
      <c r="V95" s="4">
        <f t="shared" si="73"/>
        <v>-0.59999999999999964</v>
      </c>
      <c r="W95" s="4">
        <f t="shared" si="74"/>
        <v>-1.2200000000000006</v>
      </c>
      <c r="X95" s="4">
        <f t="shared" si="75"/>
        <v>-0.22000000000000064</v>
      </c>
      <c r="Y95" s="4">
        <f t="shared" si="76"/>
        <v>-0.52999999999999936</v>
      </c>
      <c r="Z95" s="4">
        <f t="shared" si="77"/>
        <v>-1.2200000000000006</v>
      </c>
      <c r="AC95" s="4">
        <f t="shared" si="51"/>
        <v>9.1090999999999998</v>
      </c>
      <c r="AD95" s="4">
        <f t="shared" si="52"/>
        <v>9.2970500000000005</v>
      </c>
      <c r="AE95" s="4">
        <f t="shared" si="53"/>
        <v>9.0298999999999996</v>
      </c>
      <c r="AF95" s="4">
        <f t="shared" si="54"/>
        <v>8.9036000000000008</v>
      </c>
      <c r="AG95" s="4">
        <f t="shared" si="55"/>
        <v>9.1959999999999997</v>
      </c>
      <c r="AH95" s="4">
        <f t="shared" si="56"/>
        <v>8.5519999999999996</v>
      </c>
      <c r="AI95" s="4">
        <f t="shared" si="57"/>
        <v>9.1544499999999989</v>
      </c>
      <c r="AJ95" s="4">
        <f t="shared" si="58"/>
        <v>8.9748000000000001</v>
      </c>
      <c r="AK95" s="4">
        <f t="shared" si="59"/>
        <v>8.8251499999999989</v>
      </c>
      <c r="AN95" s="4">
        <f t="shared" si="60"/>
        <v>-0.30090000000000039</v>
      </c>
      <c r="AO95" s="4">
        <f t="shared" si="61"/>
        <v>-0.11294999999999966</v>
      </c>
      <c r="AP95" s="4">
        <f t="shared" si="62"/>
        <v>-0.38010000000000055</v>
      </c>
      <c r="AQ95" s="4">
        <f t="shared" si="63"/>
        <v>-0.5063999999999993</v>
      </c>
      <c r="AR95" s="4">
        <f t="shared" si="64"/>
        <v>-0.21400000000000041</v>
      </c>
      <c r="AS95" s="4">
        <f t="shared" si="65"/>
        <v>-0.85800000000000054</v>
      </c>
      <c r="AT95" s="4">
        <f t="shared" si="66"/>
        <v>-0.25555000000000128</v>
      </c>
      <c r="AU95" s="4">
        <f t="shared" si="67"/>
        <v>-0.43520000000000003</v>
      </c>
      <c r="AV95" s="4">
        <f t="shared" si="68"/>
        <v>-0.5848500000000012</v>
      </c>
    </row>
    <row r="96" spans="1:48" x14ac:dyDescent="0.25">
      <c r="A96" s="18">
        <v>96</v>
      </c>
      <c r="B96" s="19">
        <v>43552</v>
      </c>
      <c r="C96" s="20">
        <v>0.48151620370370374</v>
      </c>
      <c r="D96" s="18">
        <v>8.69</v>
      </c>
      <c r="E96" s="18">
        <v>8.75</v>
      </c>
      <c r="F96" s="18">
        <v>8.69</v>
      </c>
      <c r="G96" s="18">
        <v>8.25</v>
      </c>
      <c r="H96" s="18">
        <v>8.5</v>
      </c>
      <c r="I96" s="18">
        <v>7.81</v>
      </c>
      <c r="J96" s="18">
        <v>8.94</v>
      </c>
      <c r="K96" s="18">
        <v>8.56</v>
      </c>
      <c r="L96" s="18">
        <v>7.81</v>
      </c>
      <c r="N96" s="4">
        <v>8.91</v>
      </c>
      <c r="O96" s="4">
        <f>N96-'Sonde étalon'!$C$13</f>
        <v>9.08</v>
      </c>
      <c r="R96" s="4">
        <f t="shared" si="69"/>
        <v>-0.39000000000000057</v>
      </c>
      <c r="S96" s="4">
        <f t="shared" si="70"/>
        <v>-0.33000000000000007</v>
      </c>
      <c r="T96" s="4">
        <f t="shared" si="71"/>
        <v>-0.39000000000000057</v>
      </c>
      <c r="U96" s="4">
        <f t="shared" si="72"/>
        <v>-0.83000000000000007</v>
      </c>
      <c r="V96" s="4">
        <f t="shared" si="73"/>
        <v>-0.58000000000000007</v>
      </c>
      <c r="W96" s="4">
        <f t="shared" si="74"/>
        <v>-1.2700000000000005</v>
      </c>
      <c r="X96" s="4">
        <f t="shared" si="75"/>
        <v>-0.14000000000000057</v>
      </c>
      <c r="Y96" s="4">
        <f t="shared" si="76"/>
        <v>-0.51999999999999957</v>
      </c>
      <c r="Z96" s="4">
        <f t="shared" si="77"/>
        <v>-1.2700000000000005</v>
      </c>
      <c r="AC96" s="4">
        <f t="shared" si="51"/>
        <v>8.7990999999999993</v>
      </c>
      <c r="AD96" s="4">
        <f t="shared" si="52"/>
        <v>8.98705</v>
      </c>
      <c r="AE96" s="4">
        <f t="shared" si="53"/>
        <v>8.7798999999999996</v>
      </c>
      <c r="AF96" s="4">
        <f t="shared" si="54"/>
        <v>8.5936000000000003</v>
      </c>
      <c r="AG96" s="4">
        <f t="shared" si="55"/>
        <v>8.8859999999999992</v>
      </c>
      <c r="AH96" s="4">
        <f t="shared" si="56"/>
        <v>8.1719999999999988</v>
      </c>
      <c r="AI96" s="4">
        <f t="shared" si="57"/>
        <v>8.9044499999999989</v>
      </c>
      <c r="AJ96" s="4">
        <f t="shared" si="58"/>
        <v>8.6547999999999998</v>
      </c>
      <c r="AK96" s="4">
        <f t="shared" si="59"/>
        <v>8.4451499999999999</v>
      </c>
      <c r="AN96" s="4">
        <f t="shared" si="60"/>
        <v>-0.28090000000000082</v>
      </c>
      <c r="AO96" s="4">
        <f t="shared" si="61"/>
        <v>-9.2950000000000088E-2</v>
      </c>
      <c r="AP96" s="4">
        <f t="shared" si="62"/>
        <v>-0.30010000000000048</v>
      </c>
      <c r="AQ96" s="4">
        <f t="shared" si="63"/>
        <v>-0.48639999999999972</v>
      </c>
      <c r="AR96" s="4">
        <f t="shared" si="64"/>
        <v>-0.19400000000000084</v>
      </c>
      <c r="AS96" s="4">
        <f t="shared" si="65"/>
        <v>-0.90800000000000125</v>
      </c>
      <c r="AT96" s="4">
        <f t="shared" si="66"/>
        <v>-0.17555000000000121</v>
      </c>
      <c r="AU96" s="4">
        <f t="shared" si="67"/>
        <v>-0.42520000000000024</v>
      </c>
      <c r="AV96" s="4">
        <f t="shared" si="68"/>
        <v>-0.63485000000000014</v>
      </c>
    </row>
    <row r="97" spans="1:48" x14ac:dyDescent="0.25">
      <c r="A97" s="18">
        <v>97</v>
      </c>
      <c r="B97" s="19">
        <v>43552</v>
      </c>
      <c r="C97" s="20">
        <v>0.48221064814814812</v>
      </c>
      <c r="D97" s="18">
        <v>8.3800000000000008</v>
      </c>
      <c r="E97" s="18">
        <v>8.44</v>
      </c>
      <c r="F97" s="18">
        <v>8.3800000000000008</v>
      </c>
      <c r="G97" s="18">
        <v>7.88</v>
      </c>
      <c r="H97" s="18">
        <v>8.19</v>
      </c>
      <c r="I97" s="18">
        <v>7.5</v>
      </c>
      <c r="J97" s="18">
        <v>8.69</v>
      </c>
      <c r="K97" s="18">
        <v>8.31</v>
      </c>
      <c r="L97" s="18">
        <v>7.5</v>
      </c>
      <c r="N97" s="4">
        <v>8.57</v>
      </c>
      <c r="O97" s="4">
        <f>N97-'Sonde étalon'!$C$13</f>
        <v>8.74</v>
      </c>
      <c r="R97" s="4">
        <f t="shared" si="69"/>
        <v>-0.35999999999999943</v>
      </c>
      <c r="S97" s="4">
        <f t="shared" si="70"/>
        <v>-0.30000000000000071</v>
      </c>
      <c r="T97" s="4">
        <f t="shared" si="71"/>
        <v>-0.35999999999999943</v>
      </c>
      <c r="U97" s="4">
        <f t="shared" si="72"/>
        <v>-0.86000000000000032</v>
      </c>
      <c r="V97" s="4">
        <f t="shared" si="73"/>
        <v>-0.55000000000000071</v>
      </c>
      <c r="W97" s="4">
        <f t="shared" si="74"/>
        <v>-1.2400000000000002</v>
      </c>
      <c r="X97" s="4">
        <f t="shared" si="75"/>
        <v>-5.0000000000000711E-2</v>
      </c>
      <c r="Y97" s="4">
        <f t="shared" si="76"/>
        <v>-0.42999999999999972</v>
      </c>
      <c r="Z97" s="4">
        <f t="shared" si="77"/>
        <v>-1.2400000000000002</v>
      </c>
      <c r="AC97" s="4">
        <f t="shared" si="51"/>
        <v>8.4891000000000005</v>
      </c>
      <c r="AD97" s="4">
        <f t="shared" si="52"/>
        <v>8.6770499999999995</v>
      </c>
      <c r="AE97" s="4">
        <f t="shared" si="53"/>
        <v>8.4699000000000009</v>
      </c>
      <c r="AF97" s="4">
        <f t="shared" si="54"/>
        <v>8.2235999999999994</v>
      </c>
      <c r="AG97" s="4">
        <f t="shared" si="55"/>
        <v>8.5759999999999987</v>
      </c>
      <c r="AH97" s="4">
        <f t="shared" si="56"/>
        <v>7.8620000000000001</v>
      </c>
      <c r="AI97" s="4">
        <f t="shared" si="57"/>
        <v>8.6544499999999989</v>
      </c>
      <c r="AJ97" s="4">
        <f t="shared" si="58"/>
        <v>8.4047999999999998</v>
      </c>
      <c r="AK97" s="4">
        <f t="shared" si="59"/>
        <v>8.1351499999999994</v>
      </c>
      <c r="AN97" s="4">
        <f t="shared" si="60"/>
        <v>-0.25089999999999968</v>
      </c>
      <c r="AO97" s="4">
        <f t="shared" si="61"/>
        <v>-6.2950000000000728E-2</v>
      </c>
      <c r="AP97" s="4">
        <f t="shared" si="62"/>
        <v>-0.27009999999999934</v>
      </c>
      <c r="AQ97" s="4">
        <f t="shared" si="63"/>
        <v>-0.51640000000000086</v>
      </c>
      <c r="AR97" s="4">
        <f t="shared" si="64"/>
        <v>-0.16400000000000148</v>
      </c>
      <c r="AS97" s="4">
        <f t="shared" si="65"/>
        <v>-0.87800000000000011</v>
      </c>
      <c r="AT97" s="4">
        <f t="shared" si="66"/>
        <v>-8.5550000000001347E-2</v>
      </c>
      <c r="AU97" s="4">
        <f t="shared" si="67"/>
        <v>-0.33520000000000039</v>
      </c>
      <c r="AV97" s="4">
        <f t="shared" si="68"/>
        <v>-0.60485000000000078</v>
      </c>
    </row>
    <row r="98" spans="1:48" x14ac:dyDescent="0.25">
      <c r="A98" s="18">
        <v>98</v>
      </c>
      <c r="B98" s="19">
        <v>43552</v>
      </c>
      <c r="C98" s="20">
        <v>0.48290509259259262</v>
      </c>
      <c r="D98" s="18">
        <v>8.1300000000000008</v>
      </c>
      <c r="E98" s="18">
        <v>8.19</v>
      </c>
      <c r="F98" s="18">
        <v>8.06</v>
      </c>
      <c r="G98" s="18">
        <v>7.56</v>
      </c>
      <c r="H98" s="18">
        <v>7.88</v>
      </c>
      <c r="I98" s="18">
        <v>7.19</v>
      </c>
      <c r="J98" s="18">
        <v>8.3800000000000008</v>
      </c>
      <c r="K98" s="18">
        <v>8</v>
      </c>
      <c r="L98" s="18">
        <v>7.19</v>
      </c>
      <c r="N98" s="4">
        <v>8.23</v>
      </c>
      <c r="O98" s="4">
        <f>N98-'Sonde étalon'!$C$13</f>
        <v>8.4</v>
      </c>
      <c r="R98" s="4">
        <f t="shared" si="69"/>
        <v>-0.26999999999999957</v>
      </c>
      <c r="S98" s="4">
        <f t="shared" si="70"/>
        <v>-0.21000000000000085</v>
      </c>
      <c r="T98" s="4">
        <f t="shared" si="71"/>
        <v>-0.33999999999999986</v>
      </c>
      <c r="U98" s="4">
        <f t="shared" si="72"/>
        <v>-0.84000000000000075</v>
      </c>
      <c r="V98" s="4">
        <f t="shared" si="73"/>
        <v>-0.52000000000000046</v>
      </c>
      <c r="W98" s="4">
        <f t="shared" si="74"/>
        <v>-1.21</v>
      </c>
      <c r="X98" s="4">
        <f t="shared" si="75"/>
        <v>-1.9999999999999574E-2</v>
      </c>
      <c r="Y98" s="4">
        <f t="shared" si="76"/>
        <v>-0.40000000000000036</v>
      </c>
      <c r="Z98" s="4">
        <f t="shared" si="77"/>
        <v>-1.21</v>
      </c>
      <c r="AC98" s="4">
        <f t="shared" si="51"/>
        <v>8.2391000000000005</v>
      </c>
      <c r="AD98" s="4">
        <f t="shared" si="52"/>
        <v>8.4270499999999995</v>
      </c>
      <c r="AE98" s="4">
        <f t="shared" si="53"/>
        <v>8.1499000000000006</v>
      </c>
      <c r="AF98" s="4">
        <f t="shared" si="54"/>
        <v>7.9035999999999991</v>
      </c>
      <c r="AG98" s="4">
        <f t="shared" si="55"/>
        <v>8.266</v>
      </c>
      <c r="AH98" s="4">
        <f t="shared" si="56"/>
        <v>7.5520000000000005</v>
      </c>
      <c r="AI98" s="4">
        <f t="shared" si="57"/>
        <v>8.3444500000000001</v>
      </c>
      <c r="AJ98" s="4">
        <f t="shared" si="58"/>
        <v>8.0947999999999993</v>
      </c>
      <c r="AK98" s="4">
        <f t="shared" si="59"/>
        <v>7.8251500000000007</v>
      </c>
      <c r="AN98" s="4">
        <f t="shared" si="60"/>
        <v>-0.16089999999999982</v>
      </c>
      <c r="AO98" s="4">
        <f t="shared" si="61"/>
        <v>2.704999999999913E-2</v>
      </c>
      <c r="AP98" s="4">
        <f t="shared" si="62"/>
        <v>-0.25009999999999977</v>
      </c>
      <c r="AQ98" s="4">
        <f t="shared" si="63"/>
        <v>-0.49640000000000128</v>
      </c>
      <c r="AR98" s="4">
        <f t="shared" si="64"/>
        <v>-0.13400000000000034</v>
      </c>
      <c r="AS98" s="4">
        <f t="shared" si="65"/>
        <v>-0.84799999999999986</v>
      </c>
      <c r="AT98" s="4">
        <f t="shared" si="66"/>
        <v>-5.555000000000021E-2</v>
      </c>
      <c r="AU98" s="4">
        <f t="shared" si="67"/>
        <v>-0.30520000000000103</v>
      </c>
      <c r="AV98" s="4">
        <f t="shared" si="68"/>
        <v>-0.57484999999999964</v>
      </c>
    </row>
    <row r="99" spans="1:48" x14ac:dyDescent="0.25">
      <c r="A99" s="18">
        <v>99</v>
      </c>
      <c r="B99" s="19">
        <v>43552</v>
      </c>
      <c r="C99" s="20">
        <v>0.48359953703703701</v>
      </c>
      <c r="D99" s="18">
        <v>7.88</v>
      </c>
      <c r="E99" s="18">
        <v>7.94</v>
      </c>
      <c r="F99" s="18">
        <v>7.81</v>
      </c>
      <c r="G99" s="18">
        <v>7.31</v>
      </c>
      <c r="H99" s="18">
        <v>7.63</v>
      </c>
      <c r="I99" s="18">
        <v>6.94</v>
      </c>
      <c r="J99" s="18">
        <v>8.1300000000000008</v>
      </c>
      <c r="K99" s="18">
        <v>7.75</v>
      </c>
      <c r="L99" s="18">
        <v>6.88</v>
      </c>
      <c r="N99" s="4">
        <v>7.94</v>
      </c>
      <c r="O99" s="4">
        <f>N99-'Sonde étalon'!$C$13</f>
        <v>8.1100000000000012</v>
      </c>
      <c r="R99" s="4">
        <f t="shared" si="69"/>
        <v>-0.23000000000000131</v>
      </c>
      <c r="S99" s="4">
        <f t="shared" si="70"/>
        <v>-0.17000000000000082</v>
      </c>
      <c r="T99" s="4">
        <f t="shared" si="71"/>
        <v>-0.3000000000000016</v>
      </c>
      <c r="U99" s="4">
        <f t="shared" si="72"/>
        <v>-0.8000000000000016</v>
      </c>
      <c r="V99" s="4">
        <f t="shared" si="73"/>
        <v>-0.48000000000000131</v>
      </c>
      <c r="W99" s="4">
        <f t="shared" si="74"/>
        <v>-1.1700000000000008</v>
      </c>
      <c r="X99" s="4">
        <f t="shared" si="75"/>
        <v>1.9999999999999574E-2</v>
      </c>
      <c r="Y99" s="4">
        <f t="shared" si="76"/>
        <v>-0.36000000000000121</v>
      </c>
      <c r="Z99" s="4">
        <f t="shared" si="77"/>
        <v>-1.2300000000000013</v>
      </c>
      <c r="AC99" s="4">
        <f t="shared" si="51"/>
        <v>7.9890999999999996</v>
      </c>
      <c r="AD99" s="4">
        <f t="shared" si="52"/>
        <v>8.1770499999999995</v>
      </c>
      <c r="AE99" s="4">
        <f t="shared" si="53"/>
        <v>7.8998999999999997</v>
      </c>
      <c r="AF99" s="4">
        <f t="shared" si="54"/>
        <v>7.6535999999999991</v>
      </c>
      <c r="AG99" s="4">
        <f t="shared" si="55"/>
        <v>8.016</v>
      </c>
      <c r="AH99" s="4">
        <f t="shared" si="56"/>
        <v>7.3020000000000005</v>
      </c>
      <c r="AI99" s="4">
        <f t="shared" si="57"/>
        <v>8.0944500000000001</v>
      </c>
      <c r="AJ99" s="4">
        <f t="shared" si="58"/>
        <v>7.8448000000000002</v>
      </c>
      <c r="AK99" s="4">
        <f t="shared" si="59"/>
        <v>7.5151500000000002</v>
      </c>
      <c r="AN99" s="4">
        <f t="shared" si="60"/>
        <v>-0.12090000000000156</v>
      </c>
      <c r="AO99" s="4">
        <f t="shared" si="61"/>
        <v>6.7049999999998278E-2</v>
      </c>
      <c r="AP99" s="4">
        <f t="shared" si="62"/>
        <v>-0.21010000000000151</v>
      </c>
      <c r="AQ99" s="4">
        <f t="shared" si="63"/>
        <v>-0.45640000000000214</v>
      </c>
      <c r="AR99" s="4">
        <f t="shared" si="64"/>
        <v>-9.4000000000001194E-2</v>
      </c>
      <c r="AS99" s="4">
        <f t="shared" si="65"/>
        <v>-0.80800000000000072</v>
      </c>
      <c r="AT99" s="4">
        <f t="shared" si="66"/>
        <v>-1.5550000000001063E-2</v>
      </c>
      <c r="AU99" s="4">
        <f t="shared" si="67"/>
        <v>-0.26520000000000099</v>
      </c>
      <c r="AV99" s="4">
        <f t="shared" si="68"/>
        <v>-0.59485000000000099</v>
      </c>
    </row>
    <row r="100" spans="1:48" x14ac:dyDescent="0.25">
      <c r="A100" s="18">
        <v>100</v>
      </c>
      <c r="B100" s="19">
        <v>43552</v>
      </c>
      <c r="C100" s="20">
        <v>0.48429398148148151</v>
      </c>
      <c r="D100" s="18">
        <v>7.63</v>
      </c>
      <c r="E100" s="18">
        <v>7.69</v>
      </c>
      <c r="F100" s="18">
        <v>7.56</v>
      </c>
      <c r="G100" s="18">
        <v>7.06</v>
      </c>
      <c r="H100" s="18">
        <v>7.38</v>
      </c>
      <c r="I100" s="18">
        <v>6.63</v>
      </c>
      <c r="J100" s="18">
        <v>7.88</v>
      </c>
      <c r="K100" s="18">
        <v>7.5</v>
      </c>
      <c r="L100" s="18">
        <v>6.63</v>
      </c>
      <c r="N100" s="4">
        <v>7.65</v>
      </c>
      <c r="O100" s="4">
        <f>N100-'Sonde étalon'!$C$13</f>
        <v>7.82</v>
      </c>
      <c r="R100" s="4">
        <f t="shared" si="69"/>
        <v>-0.19000000000000039</v>
      </c>
      <c r="S100" s="4">
        <f t="shared" si="70"/>
        <v>-0.12999999999999989</v>
      </c>
      <c r="T100" s="4">
        <f t="shared" si="71"/>
        <v>-0.26000000000000068</v>
      </c>
      <c r="U100" s="4">
        <f t="shared" si="72"/>
        <v>-0.76000000000000068</v>
      </c>
      <c r="V100" s="4">
        <f t="shared" si="73"/>
        <v>-0.44000000000000039</v>
      </c>
      <c r="W100" s="4">
        <f t="shared" si="74"/>
        <v>-1.1900000000000004</v>
      </c>
      <c r="X100" s="4">
        <f t="shared" si="75"/>
        <v>5.9999999999999609E-2</v>
      </c>
      <c r="Y100" s="4">
        <f t="shared" si="76"/>
        <v>-0.32000000000000028</v>
      </c>
      <c r="Z100" s="4">
        <f t="shared" si="77"/>
        <v>-1.1900000000000004</v>
      </c>
      <c r="AC100" s="4">
        <f t="shared" si="51"/>
        <v>7.7390999999999996</v>
      </c>
      <c r="AD100" s="4">
        <f t="shared" si="52"/>
        <v>7.9270500000000004</v>
      </c>
      <c r="AE100" s="4">
        <f t="shared" si="53"/>
        <v>7.6498999999999997</v>
      </c>
      <c r="AF100" s="4">
        <f t="shared" si="54"/>
        <v>7.4035999999999991</v>
      </c>
      <c r="AG100" s="4">
        <f t="shared" si="55"/>
        <v>7.766</v>
      </c>
      <c r="AH100" s="4">
        <f t="shared" si="56"/>
        <v>6.992</v>
      </c>
      <c r="AI100" s="4">
        <f t="shared" si="57"/>
        <v>7.8444500000000001</v>
      </c>
      <c r="AJ100" s="4">
        <f t="shared" si="58"/>
        <v>7.5948000000000002</v>
      </c>
      <c r="AK100" s="4">
        <f t="shared" si="59"/>
        <v>7.2651500000000002</v>
      </c>
      <c r="AN100" s="4">
        <f t="shared" si="60"/>
        <v>-8.0900000000000638E-2</v>
      </c>
      <c r="AO100" s="4">
        <f t="shared" si="61"/>
        <v>0.10705000000000009</v>
      </c>
      <c r="AP100" s="4">
        <f t="shared" si="62"/>
        <v>-0.17010000000000058</v>
      </c>
      <c r="AQ100" s="4">
        <f t="shared" si="63"/>
        <v>-0.41640000000000121</v>
      </c>
      <c r="AR100" s="4">
        <f t="shared" si="64"/>
        <v>-5.400000000000027E-2</v>
      </c>
      <c r="AS100" s="4">
        <f t="shared" si="65"/>
        <v>-0.82800000000000029</v>
      </c>
      <c r="AT100" s="4">
        <f t="shared" si="66"/>
        <v>2.4449999999999861E-2</v>
      </c>
      <c r="AU100" s="4">
        <f t="shared" si="67"/>
        <v>-0.22520000000000007</v>
      </c>
      <c r="AV100" s="4">
        <f t="shared" si="68"/>
        <v>-0.55485000000000007</v>
      </c>
    </row>
    <row r="101" spans="1:48" x14ac:dyDescent="0.25">
      <c r="A101" s="18">
        <v>101</v>
      </c>
      <c r="B101" s="19">
        <v>43552</v>
      </c>
      <c r="C101" s="20">
        <v>0.48498842592592589</v>
      </c>
      <c r="D101" s="18">
        <v>7.38</v>
      </c>
      <c r="E101" s="18">
        <v>7.44</v>
      </c>
      <c r="F101" s="18">
        <v>7.31</v>
      </c>
      <c r="G101" s="18">
        <v>6.81</v>
      </c>
      <c r="H101" s="18">
        <v>7.13</v>
      </c>
      <c r="I101" s="18">
        <v>6.38</v>
      </c>
      <c r="J101" s="18">
        <v>7.69</v>
      </c>
      <c r="K101" s="18">
        <v>7.25</v>
      </c>
      <c r="L101" s="18">
        <v>6.38</v>
      </c>
      <c r="N101" s="4">
        <v>7.39</v>
      </c>
      <c r="O101" s="4">
        <f>N101-'Sonde étalon'!$C$13</f>
        <v>7.56</v>
      </c>
      <c r="R101" s="4">
        <f t="shared" si="69"/>
        <v>-0.17999999999999972</v>
      </c>
      <c r="S101" s="4">
        <f t="shared" si="70"/>
        <v>-0.11999999999999922</v>
      </c>
      <c r="T101" s="4">
        <f t="shared" si="71"/>
        <v>-0.25</v>
      </c>
      <c r="U101" s="4">
        <f t="shared" si="72"/>
        <v>-0.75</v>
      </c>
      <c r="V101" s="4">
        <f t="shared" si="73"/>
        <v>-0.42999999999999972</v>
      </c>
      <c r="W101" s="4">
        <f t="shared" si="74"/>
        <v>-1.1799999999999997</v>
      </c>
      <c r="X101" s="4">
        <f t="shared" si="75"/>
        <v>0.13000000000000078</v>
      </c>
      <c r="Y101" s="4">
        <f t="shared" si="76"/>
        <v>-0.30999999999999961</v>
      </c>
      <c r="Z101" s="4">
        <f t="shared" si="77"/>
        <v>-1.1799999999999997</v>
      </c>
      <c r="AC101" s="4">
        <f t="shared" si="51"/>
        <v>7.4890999999999996</v>
      </c>
      <c r="AD101" s="4">
        <f t="shared" si="52"/>
        <v>7.6770500000000004</v>
      </c>
      <c r="AE101" s="4">
        <f t="shared" si="53"/>
        <v>7.3998999999999997</v>
      </c>
      <c r="AF101" s="4">
        <f t="shared" si="54"/>
        <v>7.1535999999999991</v>
      </c>
      <c r="AG101" s="4">
        <f t="shared" si="55"/>
        <v>7.516</v>
      </c>
      <c r="AH101" s="4">
        <f t="shared" si="56"/>
        <v>6.742</v>
      </c>
      <c r="AI101" s="4">
        <f t="shared" si="57"/>
        <v>7.6544500000000006</v>
      </c>
      <c r="AJ101" s="4">
        <f t="shared" si="58"/>
        <v>7.3448000000000002</v>
      </c>
      <c r="AK101" s="4">
        <f t="shared" si="59"/>
        <v>7.0151500000000002</v>
      </c>
      <c r="AN101" s="4">
        <f t="shared" si="60"/>
        <v>-7.0899999999999963E-2</v>
      </c>
      <c r="AO101" s="4">
        <f t="shared" si="61"/>
        <v>0.11705000000000076</v>
      </c>
      <c r="AP101" s="4">
        <f t="shared" si="62"/>
        <v>-0.16009999999999991</v>
      </c>
      <c r="AQ101" s="4">
        <f t="shared" si="63"/>
        <v>-0.40640000000000054</v>
      </c>
      <c r="AR101" s="4">
        <f t="shared" si="64"/>
        <v>-4.3999999999999595E-2</v>
      </c>
      <c r="AS101" s="4">
        <f t="shared" si="65"/>
        <v>-0.81799999999999962</v>
      </c>
      <c r="AT101" s="4">
        <f t="shared" si="66"/>
        <v>9.4450000000001033E-2</v>
      </c>
      <c r="AU101" s="4">
        <f t="shared" si="67"/>
        <v>-0.21519999999999939</v>
      </c>
      <c r="AV101" s="4">
        <f t="shared" si="68"/>
        <v>-0.54484999999999939</v>
      </c>
    </row>
    <row r="102" spans="1:48" x14ac:dyDescent="0.25">
      <c r="A102" s="18">
        <v>102</v>
      </c>
      <c r="B102" s="19">
        <v>43552</v>
      </c>
      <c r="C102" s="20">
        <v>0.48568287037037039</v>
      </c>
      <c r="D102" s="18">
        <v>7.13</v>
      </c>
      <c r="E102" s="18">
        <v>7.25</v>
      </c>
      <c r="F102" s="18">
        <v>7.13</v>
      </c>
      <c r="G102" s="18">
        <v>6.56</v>
      </c>
      <c r="H102" s="18">
        <v>6.88</v>
      </c>
      <c r="I102" s="18">
        <v>6.19</v>
      </c>
      <c r="J102" s="18">
        <v>7.44</v>
      </c>
      <c r="K102" s="18">
        <v>7</v>
      </c>
      <c r="L102" s="18">
        <v>6.13</v>
      </c>
      <c r="N102" s="4">
        <v>7.15</v>
      </c>
      <c r="O102" s="4">
        <f>N102-'Sonde étalon'!$C$13</f>
        <v>7.32</v>
      </c>
      <c r="R102" s="4">
        <f t="shared" si="69"/>
        <v>-0.19000000000000039</v>
      </c>
      <c r="S102" s="4">
        <f t="shared" si="70"/>
        <v>-7.0000000000000284E-2</v>
      </c>
      <c r="T102" s="4">
        <f t="shared" si="71"/>
        <v>-0.19000000000000039</v>
      </c>
      <c r="U102" s="4">
        <f t="shared" si="72"/>
        <v>-0.76000000000000068</v>
      </c>
      <c r="V102" s="4">
        <f t="shared" si="73"/>
        <v>-0.44000000000000039</v>
      </c>
      <c r="W102" s="4">
        <f t="shared" si="74"/>
        <v>-1.1299999999999999</v>
      </c>
      <c r="X102" s="4">
        <f t="shared" si="75"/>
        <v>0.12000000000000011</v>
      </c>
      <c r="Y102" s="4">
        <f t="shared" si="76"/>
        <v>-0.32000000000000028</v>
      </c>
      <c r="Z102" s="4">
        <f t="shared" si="77"/>
        <v>-1.1900000000000004</v>
      </c>
      <c r="AC102" s="4">
        <f t="shared" si="51"/>
        <v>7.2390999999999996</v>
      </c>
      <c r="AD102" s="4">
        <f t="shared" si="52"/>
        <v>7.48705</v>
      </c>
      <c r="AE102" s="4">
        <f t="shared" si="53"/>
        <v>7.2199</v>
      </c>
      <c r="AF102" s="4">
        <f t="shared" si="54"/>
        <v>6.9035999999999991</v>
      </c>
      <c r="AG102" s="4">
        <f t="shared" si="55"/>
        <v>7.266</v>
      </c>
      <c r="AH102" s="4">
        <f t="shared" si="56"/>
        <v>6.5520000000000005</v>
      </c>
      <c r="AI102" s="4">
        <f t="shared" si="57"/>
        <v>7.4044500000000006</v>
      </c>
      <c r="AJ102" s="4">
        <f t="shared" si="58"/>
        <v>7.0948000000000002</v>
      </c>
      <c r="AK102" s="4">
        <f t="shared" si="59"/>
        <v>6.7651500000000002</v>
      </c>
      <c r="AN102" s="4">
        <f t="shared" si="60"/>
        <v>-8.0900000000000638E-2</v>
      </c>
      <c r="AO102" s="4">
        <f t="shared" si="61"/>
        <v>0.1670499999999997</v>
      </c>
      <c r="AP102" s="4">
        <f t="shared" si="62"/>
        <v>-0.1001000000000003</v>
      </c>
      <c r="AQ102" s="4">
        <f t="shared" si="63"/>
        <v>-0.41640000000000121</v>
      </c>
      <c r="AR102" s="4">
        <f t="shared" si="64"/>
        <v>-5.400000000000027E-2</v>
      </c>
      <c r="AS102" s="4">
        <f t="shared" si="65"/>
        <v>-0.76799999999999979</v>
      </c>
      <c r="AT102" s="4">
        <f t="shared" si="66"/>
        <v>8.4450000000000358E-2</v>
      </c>
      <c r="AU102" s="4">
        <f t="shared" si="67"/>
        <v>-0.22520000000000007</v>
      </c>
      <c r="AV102" s="4">
        <f t="shared" si="68"/>
        <v>-0.55485000000000007</v>
      </c>
    </row>
    <row r="103" spans="1:48" x14ac:dyDescent="0.25">
      <c r="A103" s="18">
        <v>103</v>
      </c>
      <c r="B103" s="19">
        <v>43552</v>
      </c>
      <c r="C103" s="20">
        <v>0.48637731481481478</v>
      </c>
      <c r="D103" s="18">
        <v>6.94</v>
      </c>
      <c r="E103" s="18">
        <v>7</v>
      </c>
      <c r="F103" s="18">
        <v>6.88</v>
      </c>
      <c r="G103" s="18">
        <v>6.38</v>
      </c>
      <c r="H103" s="18">
        <v>6.69</v>
      </c>
      <c r="I103" s="18">
        <v>5.94</v>
      </c>
      <c r="J103" s="18">
        <v>7.25</v>
      </c>
      <c r="K103" s="18">
        <v>6.81</v>
      </c>
      <c r="L103" s="18">
        <v>5.94</v>
      </c>
      <c r="N103" s="4">
        <v>6.91</v>
      </c>
      <c r="O103" s="4">
        <f>N103-'Sonde étalon'!$C$13</f>
        <v>7.08</v>
      </c>
      <c r="R103" s="4">
        <f t="shared" si="69"/>
        <v>-0.13999999999999968</v>
      </c>
      <c r="S103" s="4">
        <f t="shared" si="70"/>
        <v>-8.0000000000000071E-2</v>
      </c>
      <c r="T103" s="4">
        <f t="shared" si="71"/>
        <v>-0.20000000000000018</v>
      </c>
      <c r="U103" s="4">
        <f t="shared" si="72"/>
        <v>-0.70000000000000018</v>
      </c>
      <c r="V103" s="4">
        <f t="shared" si="73"/>
        <v>-0.38999999999999968</v>
      </c>
      <c r="W103" s="4">
        <f t="shared" si="74"/>
        <v>-1.1399999999999997</v>
      </c>
      <c r="X103" s="4">
        <f t="shared" si="75"/>
        <v>0.16999999999999993</v>
      </c>
      <c r="Y103" s="4">
        <f t="shared" si="76"/>
        <v>-0.27000000000000046</v>
      </c>
      <c r="Z103" s="4">
        <f t="shared" si="77"/>
        <v>-1.1399999999999997</v>
      </c>
      <c r="AC103" s="4">
        <f t="shared" si="51"/>
        <v>7.0491000000000001</v>
      </c>
      <c r="AD103" s="4">
        <f t="shared" si="52"/>
        <v>7.23705</v>
      </c>
      <c r="AE103" s="4">
        <f t="shared" si="53"/>
        <v>6.9699</v>
      </c>
      <c r="AF103" s="4">
        <f t="shared" si="54"/>
        <v>6.7235999999999994</v>
      </c>
      <c r="AG103" s="4">
        <f t="shared" si="55"/>
        <v>7.0760000000000005</v>
      </c>
      <c r="AH103" s="4">
        <f t="shared" si="56"/>
        <v>6.3020000000000005</v>
      </c>
      <c r="AI103" s="4">
        <f t="shared" si="57"/>
        <v>7.2144500000000003</v>
      </c>
      <c r="AJ103" s="4">
        <f t="shared" si="58"/>
        <v>6.9047999999999998</v>
      </c>
      <c r="AK103" s="4">
        <f t="shared" si="59"/>
        <v>6.5751500000000007</v>
      </c>
      <c r="AN103" s="4">
        <f t="shared" si="60"/>
        <v>-3.0899999999999928E-2</v>
      </c>
      <c r="AO103" s="4">
        <f t="shared" si="61"/>
        <v>0.15704999999999991</v>
      </c>
      <c r="AP103" s="4">
        <f t="shared" si="62"/>
        <v>-0.11010000000000009</v>
      </c>
      <c r="AQ103" s="4">
        <f t="shared" si="63"/>
        <v>-0.35640000000000072</v>
      </c>
      <c r="AR103" s="4">
        <f t="shared" si="64"/>
        <v>-3.9999999999995595E-3</v>
      </c>
      <c r="AS103" s="4">
        <f t="shared" si="65"/>
        <v>-0.77799999999999958</v>
      </c>
      <c r="AT103" s="4">
        <f t="shared" si="66"/>
        <v>0.13445000000000018</v>
      </c>
      <c r="AU103" s="4">
        <f t="shared" si="67"/>
        <v>-0.17520000000000024</v>
      </c>
      <c r="AV103" s="4">
        <f t="shared" si="68"/>
        <v>-0.50484999999999935</v>
      </c>
    </row>
    <row r="104" spans="1:48" x14ac:dyDescent="0.25">
      <c r="A104" s="18">
        <v>104</v>
      </c>
      <c r="B104" s="19">
        <v>43552</v>
      </c>
      <c r="C104" s="20">
        <v>0.48707175925925927</v>
      </c>
      <c r="D104" s="18">
        <v>6.75</v>
      </c>
      <c r="E104" s="18">
        <v>6.81</v>
      </c>
      <c r="F104" s="18">
        <v>6.69</v>
      </c>
      <c r="G104" s="18">
        <v>6.13</v>
      </c>
      <c r="H104" s="18">
        <v>6.44</v>
      </c>
      <c r="I104" s="18">
        <v>5.75</v>
      </c>
      <c r="J104" s="18">
        <v>7.06</v>
      </c>
      <c r="K104" s="18">
        <v>6.63</v>
      </c>
      <c r="L104" s="18">
        <v>5.69</v>
      </c>
      <c r="N104" s="4">
        <v>6.69</v>
      </c>
      <c r="O104" s="4">
        <f>N104-'Sonde étalon'!$C$13</f>
        <v>6.86</v>
      </c>
      <c r="R104" s="4">
        <f t="shared" si="69"/>
        <v>-0.11000000000000032</v>
      </c>
      <c r="S104" s="4">
        <f t="shared" si="70"/>
        <v>-5.0000000000000711E-2</v>
      </c>
      <c r="T104" s="4">
        <f t="shared" si="71"/>
        <v>-0.16999999999999993</v>
      </c>
      <c r="U104" s="4">
        <f t="shared" si="72"/>
        <v>-0.73000000000000043</v>
      </c>
      <c r="V104" s="4">
        <f t="shared" si="73"/>
        <v>-0.41999999999999993</v>
      </c>
      <c r="W104" s="4">
        <f t="shared" si="74"/>
        <v>-1.1100000000000003</v>
      </c>
      <c r="X104" s="4">
        <f t="shared" si="75"/>
        <v>0.19999999999999929</v>
      </c>
      <c r="Y104" s="4">
        <f t="shared" si="76"/>
        <v>-0.23000000000000043</v>
      </c>
      <c r="Z104" s="4">
        <f t="shared" si="77"/>
        <v>-1.17</v>
      </c>
      <c r="AC104" s="4">
        <f t="shared" si="51"/>
        <v>6.8590999999999998</v>
      </c>
      <c r="AD104" s="4">
        <f t="shared" si="52"/>
        <v>7.0470499999999996</v>
      </c>
      <c r="AE104" s="4">
        <f t="shared" si="53"/>
        <v>6.7799000000000005</v>
      </c>
      <c r="AF104" s="4">
        <f t="shared" si="54"/>
        <v>6.4735999999999994</v>
      </c>
      <c r="AG104" s="4">
        <f t="shared" si="55"/>
        <v>6.8260000000000005</v>
      </c>
      <c r="AH104" s="4">
        <f t="shared" si="56"/>
        <v>6.1120000000000001</v>
      </c>
      <c r="AI104" s="4">
        <f t="shared" si="57"/>
        <v>7.0244499999999999</v>
      </c>
      <c r="AJ104" s="4">
        <f t="shared" si="58"/>
        <v>6.7248000000000001</v>
      </c>
      <c r="AK104" s="4">
        <f t="shared" si="59"/>
        <v>6.3251500000000007</v>
      </c>
      <c r="AN104" s="4">
        <f t="shared" si="60"/>
        <v>-9.0000000000056701E-4</v>
      </c>
      <c r="AO104" s="4">
        <f t="shared" si="61"/>
        <v>0.18704999999999927</v>
      </c>
      <c r="AP104" s="4">
        <f t="shared" si="62"/>
        <v>-8.0099999999999838E-2</v>
      </c>
      <c r="AQ104" s="4">
        <f t="shared" si="63"/>
        <v>-0.38640000000000096</v>
      </c>
      <c r="AR104" s="4">
        <f t="shared" si="64"/>
        <v>-3.3999999999999808E-2</v>
      </c>
      <c r="AS104" s="4">
        <f t="shared" si="65"/>
        <v>-0.74800000000000022</v>
      </c>
      <c r="AT104" s="4">
        <f t="shared" si="66"/>
        <v>0.16444999999999954</v>
      </c>
      <c r="AU104" s="4">
        <f t="shared" si="67"/>
        <v>-0.13520000000000021</v>
      </c>
      <c r="AV104" s="4">
        <f t="shared" si="68"/>
        <v>-0.5348499999999996</v>
      </c>
    </row>
    <row r="105" spans="1:48" x14ac:dyDescent="0.25">
      <c r="A105" s="18">
        <v>105</v>
      </c>
      <c r="B105" s="19">
        <v>43552</v>
      </c>
      <c r="C105" s="20">
        <v>0.48776620370370366</v>
      </c>
      <c r="D105" s="18">
        <v>6.5</v>
      </c>
      <c r="E105" s="18">
        <v>6.63</v>
      </c>
      <c r="F105" s="18">
        <v>6.5</v>
      </c>
      <c r="G105" s="18">
        <v>5.94</v>
      </c>
      <c r="H105" s="18">
        <v>6.25</v>
      </c>
      <c r="I105" s="18">
        <v>5.56</v>
      </c>
      <c r="J105" s="18">
        <v>6.81</v>
      </c>
      <c r="K105" s="18">
        <v>6.38</v>
      </c>
      <c r="L105" s="18">
        <v>5.5</v>
      </c>
      <c r="N105" s="4">
        <v>6.48</v>
      </c>
      <c r="O105" s="4">
        <f>N105-'Sonde étalon'!$C$13</f>
        <v>6.65</v>
      </c>
      <c r="R105" s="4">
        <f t="shared" si="69"/>
        <v>-0.15000000000000036</v>
      </c>
      <c r="S105" s="4">
        <f t="shared" si="70"/>
        <v>-2.0000000000000462E-2</v>
      </c>
      <c r="T105" s="4">
        <f t="shared" si="71"/>
        <v>-0.15000000000000036</v>
      </c>
      <c r="U105" s="4">
        <f t="shared" si="72"/>
        <v>-0.71</v>
      </c>
      <c r="V105" s="4">
        <f t="shared" si="73"/>
        <v>-0.40000000000000036</v>
      </c>
      <c r="W105" s="4">
        <f t="shared" si="74"/>
        <v>-1.0900000000000007</v>
      </c>
      <c r="X105" s="4">
        <f t="shared" si="75"/>
        <v>0.15999999999999925</v>
      </c>
      <c r="Y105" s="4">
        <f t="shared" si="76"/>
        <v>-0.27000000000000046</v>
      </c>
      <c r="Z105" s="4">
        <f t="shared" si="77"/>
        <v>-1.1500000000000004</v>
      </c>
      <c r="AC105" s="4">
        <f t="shared" si="51"/>
        <v>6.6090999999999998</v>
      </c>
      <c r="AD105" s="4">
        <f t="shared" si="52"/>
        <v>6.8670499999999999</v>
      </c>
      <c r="AE105" s="4">
        <f t="shared" si="53"/>
        <v>6.5899000000000001</v>
      </c>
      <c r="AF105" s="4">
        <f t="shared" si="54"/>
        <v>6.2835999999999999</v>
      </c>
      <c r="AG105" s="4">
        <f t="shared" si="55"/>
        <v>6.6360000000000001</v>
      </c>
      <c r="AH105" s="4">
        <f t="shared" si="56"/>
        <v>5.9219999999999997</v>
      </c>
      <c r="AI105" s="4">
        <f t="shared" si="57"/>
        <v>6.7744499999999999</v>
      </c>
      <c r="AJ105" s="4">
        <f t="shared" si="58"/>
        <v>6.4748000000000001</v>
      </c>
      <c r="AK105" s="4">
        <f t="shared" si="59"/>
        <v>6.1351500000000003</v>
      </c>
      <c r="AN105" s="4">
        <f t="shared" si="60"/>
        <v>-4.0900000000000603E-2</v>
      </c>
      <c r="AO105" s="4">
        <f t="shared" si="61"/>
        <v>0.21704999999999952</v>
      </c>
      <c r="AP105" s="4">
        <f t="shared" si="62"/>
        <v>-6.0100000000000264E-2</v>
      </c>
      <c r="AQ105" s="4">
        <f t="shared" si="63"/>
        <v>-0.3664000000000005</v>
      </c>
      <c r="AR105" s="4">
        <f t="shared" si="64"/>
        <v>-1.4000000000000234E-2</v>
      </c>
      <c r="AS105" s="4">
        <f t="shared" si="65"/>
        <v>-0.72800000000000065</v>
      </c>
      <c r="AT105" s="4">
        <f t="shared" si="66"/>
        <v>0.12444999999999951</v>
      </c>
      <c r="AU105" s="4">
        <f t="shared" si="67"/>
        <v>-0.17520000000000024</v>
      </c>
      <c r="AV105" s="4">
        <f t="shared" si="68"/>
        <v>-0.51485000000000003</v>
      </c>
    </row>
    <row r="106" spans="1:48" x14ac:dyDescent="0.25">
      <c r="A106" s="18">
        <v>106</v>
      </c>
      <c r="B106" s="19">
        <v>43552</v>
      </c>
      <c r="C106" s="20">
        <v>0.48846064814814816</v>
      </c>
      <c r="D106" s="18">
        <v>6.31</v>
      </c>
      <c r="E106" s="18">
        <v>6.38</v>
      </c>
      <c r="F106" s="18">
        <v>6.31</v>
      </c>
      <c r="G106" s="18">
        <v>5.75</v>
      </c>
      <c r="H106" s="18">
        <v>6.06</v>
      </c>
      <c r="I106" s="18">
        <v>5.38</v>
      </c>
      <c r="J106" s="18">
        <v>6.63</v>
      </c>
      <c r="K106" s="18">
        <v>6.19</v>
      </c>
      <c r="L106" s="18">
        <v>5.31</v>
      </c>
      <c r="N106" s="4">
        <v>6.27</v>
      </c>
      <c r="O106" s="4">
        <f>N106-'Sonde étalon'!$C$13</f>
        <v>6.4399999999999995</v>
      </c>
      <c r="R106" s="4">
        <f t="shared" si="69"/>
        <v>-0.12999999999999989</v>
      </c>
      <c r="S106" s="4">
        <f t="shared" si="70"/>
        <v>-5.9999999999999609E-2</v>
      </c>
      <c r="T106" s="4">
        <f t="shared" si="71"/>
        <v>-0.12999999999999989</v>
      </c>
      <c r="U106" s="4">
        <f t="shared" si="72"/>
        <v>-0.6899999999999995</v>
      </c>
      <c r="V106" s="4">
        <f t="shared" si="73"/>
        <v>-0.37999999999999989</v>
      </c>
      <c r="W106" s="4">
        <f t="shared" si="74"/>
        <v>-1.0599999999999996</v>
      </c>
      <c r="X106" s="4">
        <f t="shared" si="75"/>
        <v>0.19000000000000039</v>
      </c>
      <c r="Y106" s="4">
        <f t="shared" si="76"/>
        <v>-0.24999999999999911</v>
      </c>
      <c r="Z106" s="4">
        <f t="shared" si="77"/>
        <v>-1.1299999999999999</v>
      </c>
      <c r="AC106" s="4">
        <f t="shared" si="51"/>
        <v>6.4190999999999994</v>
      </c>
      <c r="AD106" s="4">
        <f t="shared" si="52"/>
        <v>6.6170499999999999</v>
      </c>
      <c r="AE106" s="4">
        <f t="shared" si="53"/>
        <v>6.3998999999999997</v>
      </c>
      <c r="AF106" s="4">
        <f t="shared" si="54"/>
        <v>6.0935999999999995</v>
      </c>
      <c r="AG106" s="4">
        <f t="shared" si="55"/>
        <v>6.4459999999999997</v>
      </c>
      <c r="AH106" s="4">
        <f t="shared" si="56"/>
        <v>5.742</v>
      </c>
      <c r="AI106" s="4">
        <f t="shared" si="57"/>
        <v>6.5944500000000001</v>
      </c>
      <c r="AJ106" s="4">
        <f t="shared" si="58"/>
        <v>6.2848000000000006</v>
      </c>
      <c r="AK106" s="4">
        <f t="shared" si="59"/>
        <v>5.9451499999999999</v>
      </c>
      <c r="AN106" s="4">
        <f t="shared" si="60"/>
        <v>-2.0900000000000141E-2</v>
      </c>
      <c r="AO106" s="4">
        <f t="shared" si="61"/>
        <v>0.17705000000000037</v>
      </c>
      <c r="AP106" s="4">
        <f t="shared" si="62"/>
        <v>-4.0099999999999802E-2</v>
      </c>
      <c r="AQ106" s="4">
        <f t="shared" si="63"/>
        <v>-0.34640000000000004</v>
      </c>
      <c r="AR106" s="4">
        <f t="shared" si="64"/>
        <v>6.0000000000002274E-3</v>
      </c>
      <c r="AS106" s="4">
        <f t="shared" si="65"/>
        <v>-0.69799999999999951</v>
      </c>
      <c r="AT106" s="4">
        <f t="shared" si="66"/>
        <v>0.15445000000000064</v>
      </c>
      <c r="AU106" s="4">
        <f t="shared" si="67"/>
        <v>-0.15519999999999889</v>
      </c>
      <c r="AV106" s="4">
        <f t="shared" si="68"/>
        <v>-0.49484999999999957</v>
      </c>
    </row>
    <row r="107" spans="1:48" x14ac:dyDescent="0.25">
      <c r="A107" s="18">
        <v>107</v>
      </c>
      <c r="B107" s="19">
        <v>43552</v>
      </c>
      <c r="C107" s="20">
        <v>0.48915509259259254</v>
      </c>
      <c r="D107" s="18">
        <v>6.13</v>
      </c>
      <c r="E107" s="18">
        <v>6.19</v>
      </c>
      <c r="F107" s="18">
        <v>6.13</v>
      </c>
      <c r="G107" s="18">
        <v>5.56</v>
      </c>
      <c r="H107" s="18">
        <v>5.88</v>
      </c>
      <c r="I107" s="18">
        <v>5.19</v>
      </c>
      <c r="J107" s="18">
        <v>6.44</v>
      </c>
      <c r="K107" s="18">
        <v>6</v>
      </c>
      <c r="L107" s="18">
        <v>5.13</v>
      </c>
      <c r="N107" s="4">
        <v>6.08</v>
      </c>
      <c r="O107" s="4">
        <f>N107-'Sonde étalon'!$C$13</f>
        <v>6.25</v>
      </c>
      <c r="R107" s="4">
        <f t="shared" si="69"/>
        <v>-0.12000000000000011</v>
      </c>
      <c r="S107" s="4">
        <f t="shared" si="70"/>
        <v>-5.9999999999999609E-2</v>
      </c>
      <c r="T107" s="4">
        <f t="shared" si="71"/>
        <v>-0.12000000000000011</v>
      </c>
      <c r="U107" s="4">
        <f t="shared" si="72"/>
        <v>-0.69000000000000039</v>
      </c>
      <c r="V107" s="4">
        <f t="shared" si="73"/>
        <v>-0.37000000000000011</v>
      </c>
      <c r="W107" s="4">
        <f t="shared" si="74"/>
        <v>-1.0599999999999996</v>
      </c>
      <c r="X107" s="4">
        <f t="shared" si="75"/>
        <v>0.19000000000000039</v>
      </c>
      <c r="Y107" s="4">
        <f t="shared" si="76"/>
        <v>-0.25</v>
      </c>
      <c r="Z107" s="4">
        <f t="shared" si="77"/>
        <v>-1.1200000000000001</v>
      </c>
      <c r="AC107" s="4">
        <f t="shared" si="51"/>
        <v>6.2390999999999996</v>
      </c>
      <c r="AD107" s="4">
        <f t="shared" si="52"/>
        <v>6.4270500000000004</v>
      </c>
      <c r="AE107" s="4">
        <f t="shared" si="53"/>
        <v>6.2199</v>
      </c>
      <c r="AF107" s="4">
        <f t="shared" si="54"/>
        <v>5.9035999999999991</v>
      </c>
      <c r="AG107" s="4">
        <f t="shared" si="55"/>
        <v>6.266</v>
      </c>
      <c r="AH107" s="4">
        <f t="shared" si="56"/>
        <v>5.5520000000000005</v>
      </c>
      <c r="AI107" s="4">
        <f t="shared" si="57"/>
        <v>6.4044500000000006</v>
      </c>
      <c r="AJ107" s="4">
        <f t="shared" si="58"/>
        <v>6.0948000000000002</v>
      </c>
      <c r="AK107" s="4">
        <f t="shared" si="59"/>
        <v>5.7651500000000002</v>
      </c>
      <c r="AN107" s="4">
        <f t="shared" si="60"/>
        <v>-1.0900000000000354E-2</v>
      </c>
      <c r="AO107" s="4">
        <f t="shared" si="61"/>
        <v>0.17705000000000037</v>
      </c>
      <c r="AP107" s="4">
        <f t="shared" si="62"/>
        <v>-3.0100000000000016E-2</v>
      </c>
      <c r="AQ107" s="4">
        <f t="shared" si="63"/>
        <v>-0.34640000000000093</v>
      </c>
      <c r="AR107" s="4">
        <f t="shared" si="64"/>
        <v>1.6000000000000014E-2</v>
      </c>
      <c r="AS107" s="4">
        <f t="shared" si="65"/>
        <v>-0.69799999999999951</v>
      </c>
      <c r="AT107" s="4">
        <f t="shared" si="66"/>
        <v>0.15445000000000064</v>
      </c>
      <c r="AU107" s="4">
        <f t="shared" si="67"/>
        <v>-0.15519999999999978</v>
      </c>
      <c r="AV107" s="4">
        <f t="shared" si="68"/>
        <v>-0.48484999999999978</v>
      </c>
    </row>
    <row r="108" spans="1:48" x14ac:dyDescent="0.25">
      <c r="A108" s="18">
        <v>108</v>
      </c>
      <c r="B108" s="19">
        <v>43552</v>
      </c>
      <c r="C108" s="20">
        <v>0.48984953703703704</v>
      </c>
      <c r="D108" s="18">
        <v>5.94</v>
      </c>
      <c r="E108" s="18">
        <v>6.06</v>
      </c>
      <c r="F108" s="18">
        <v>5.94</v>
      </c>
      <c r="G108" s="18">
        <v>5.38</v>
      </c>
      <c r="H108" s="18">
        <v>5.69</v>
      </c>
      <c r="I108" s="18">
        <v>5</v>
      </c>
      <c r="J108" s="18">
        <v>6.31</v>
      </c>
      <c r="K108" s="18">
        <v>5.88</v>
      </c>
      <c r="L108" s="18">
        <v>4.9400000000000004</v>
      </c>
      <c r="N108" s="4">
        <v>5.9</v>
      </c>
      <c r="O108" s="4">
        <f>N108-'Sonde étalon'!$C$13</f>
        <v>6.07</v>
      </c>
      <c r="R108" s="4">
        <f t="shared" si="69"/>
        <v>-0.12999999999999989</v>
      </c>
      <c r="S108" s="4">
        <f t="shared" si="70"/>
        <v>-1.0000000000000675E-2</v>
      </c>
      <c r="T108" s="4">
        <f t="shared" si="71"/>
        <v>-0.12999999999999989</v>
      </c>
      <c r="U108" s="4">
        <f t="shared" si="72"/>
        <v>-0.69000000000000039</v>
      </c>
      <c r="V108" s="4">
        <f t="shared" si="73"/>
        <v>-0.37999999999999989</v>
      </c>
      <c r="W108" s="4">
        <f t="shared" si="74"/>
        <v>-1.0700000000000003</v>
      </c>
      <c r="X108" s="4">
        <f t="shared" si="75"/>
        <v>0.23999999999999932</v>
      </c>
      <c r="Y108" s="4">
        <f t="shared" si="76"/>
        <v>-0.19000000000000039</v>
      </c>
      <c r="Z108" s="4">
        <f t="shared" si="77"/>
        <v>-1.1299999999999999</v>
      </c>
      <c r="AC108" s="4">
        <f t="shared" si="51"/>
        <v>6.0491000000000001</v>
      </c>
      <c r="AD108" s="4">
        <f t="shared" si="52"/>
        <v>6.2970499999999996</v>
      </c>
      <c r="AE108" s="4">
        <f t="shared" si="53"/>
        <v>6.0299000000000005</v>
      </c>
      <c r="AF108" s="4">
        <f t="shared" si="54"/>
        <v>5.7235999999999994</v>
      </c>
      <c r="AG108" s="4">
        <f t="shared" si="55"/>
        <v>6.0760000000000005</v>
      </c>
      <c r="AH108" s="4">
        <f t="shared" si="56"/>
        <v>5.3620000000000001</v>
      </c>
      <c r="AI108" s="4">
        <f t="shared" si="57"/>
        <v>6.2744499999999999</v>
      </c>
      <c r="AJ108" s="4">
        <f t="shared" si="58"/>
        <v>5.9748000000000001</v>
      </c>
      <c r="AK108" s="4">
        <f t="shared" si="59"/>
        <v>5.5751500000000007</v>
      </c>
      <c r="AN108" s="4">
        <f t="shared" si="60"/>
        <v>-2.0900000000000141E-2</v>
      </c>
      <c r="AO108" s="4">
        <f t="shared" si="61"/>
        <v>0.22704999999999931</v>
      </c>
      <c r="AP108" s="4">
        <f t="shared" si="62"/>
        <v>-4.0099999999999802E-2</v>
      </c>
      <c r="AQ108" s="4">
        <f t="shared" si="63"/>
        <v>-0.34640000000000093</v>
      </c>
      <c r="AR108" s="4">
        <f t="shared" si="64"/>
        <v>6.0000000000002274E-3</v>
      </c>
      <c r="AS108" s="4">
        <f t="shared" si="65"/>
        <v>-0.70800000000000018</v>
      </c>
      <c r="AT108" s="4">
        <f t="shared" si="66"/>
        <v>0.20444999999999958</v>
      </c>
      <c r="AU108" s="4">
        <f t="shared" si="67"/>
        <v>-9.5200000000000173E-2</v>
      </c>
      <c r="AV108" s="4">
        <f t="shared" si="68"/>
        <v>-0.49484999999999957</v>
      </c>
    </row>
    <row r="109" spans="1:48" x14ac:dyDescent="0.25">
      <c r="A109" s="18">
        <v>109</v>
      </c>
      <c r="B109" s="19">
        <v>43552</v>
      </c>
      <c r="C109" s="20">
        <v>0.49054398148148143</v>
      </c>
      <c r="D109" s="18">
        <v>5.81</v>
      </c>
      <c r="E109" s="18">
        <v>5.88</v>
      </c>
      <c r="F109" s="18">
        <v>5.75</v>
      </c>
      <c r="G109" s="18">
        <v>5.19</v>
      </c>
      <c r="H109" s="18">
        <v>5.5</v>
      </c>
      <c r="I109" s="18">
        <v>4.8099999999999996</v>
      </c>
      <c r="J109" s="18">
        <v>6.13</v>
      </c>
      <c r="K109" s="18">
        <v>5.69</v>
      </c>
      <c r="L109" s="18">
        <v>4.75</v>
      </c>
      <c r="N109" s="4">
        <v>5.72</v>
      </c>
      <c r="O109" s="4">
        <f>N109-'Sonde étalon'!$C$13</f>
        <v>5.89</v>
      </c>
      <c r="R109" s="4">
        <f t="shared" si="69"/>
        <v>-8.0000000000000071E-2</v>
      </c>
      <c r="S109" s="4">
        <f t="shared" si="70"/>
        <v>-9.9999999999997868E-3</v>
      </c>
      <c r="T109" s="4">
        <f t="shared" si="71"/>
        <v>-0.13999999999999968</v>
      </c>
      <c r="U109" s="4">
        <f t="shared" si="72"/>
        <v>-0.69999999999999929</v>
      </c>
      <c r="V109" s="4">
        <f t="shared" si="73"/>
        <v>-0.38999999999999968</v>
      </c>
      <c r="W109" s="4">
        <f t="shared" si="74"/>
        <v>-1.08</v>
      </c>
      <c r="X109" s="4">
        <f t="shared" si="75"/>
        <v>0.24000000000000021</v>
      </c>
      <c r="Y109" s="4">
        <f t="shared" si="76"/>
        <v>-0.19999999999999929</v>
      </c>
      <c r="Z109" s="4">
        <f t="shared" si="77"/>
        <v>-1.1399999999999997</v>
      </c>
      <c r="AC109" s="4">
        <f t="shared" si="51"/>
        <v>5.9190999999999994</v>
      </c>
      <c r="AD109" s="4">
        <f t="shared" si="52"/>
        <v>6.1170499999999999</v>
      </c>
      <c r="AE109" s="4">
        <f t="shared" si="53"/>
        <v>5.8399000000000001</v>
      </c>
      <c r="AF109" s="4">
        <f t="shared" si="54"/>
        <v>5.5335999999999999</v>
      </c>
      <c r="AG109" s="4">
        <f t="shared" si="55"/>
        <v>5.8860000000000001</v>
      </c>
      <c r="AH109" s="4">
        <f t="shared" si="56"/>
        <v>5.1719999999999997</v>
      </c>
      <c r="AI109" s="4">
        <f t="shared" si="57"/>
        <v>6.0944500000000001</v>
      </c>
      <c r="AJ109" s="4">
        <f t="shared" si="58"/>
        <v>5.7848000000000006</v>
      </c>
      <c r="AK109" s="4">
        <f t="shared" si="59"/>
        <v>5.3851500000000003</v>
      </c>
      <c r="AN109" s="4">
        <f t="shared" si="60"/>
        <v>2.9099999999999682E-2</v>
      </c>
      <c r="AO109" s="4">
        <f t="shared" si="61"/>
        <v>0.2270500000000002</v>
      </c>
      <c r="AP109" s="4">
        <f t="shared" si="62"/>
        <v>-5.0099999999999589E-2</v>
      </c>
      <c r="AQ109" s="4">
        <f t="shared" si="63"/>
        <v>-0.35639999999999983</v>
      </c>
      <c r="AR109" s="4">
        <f t="shared" si="64"/>
        <v>-3.9999999999995595E-3</v>
      </c>
      <c r="AS109" s="4">
        <f t="shared" si="65"/>
        <v>-0.71799999999999997</v>
      </c>
      <c r="AT109" s="4">
        <f t="shared" si="66"/>
        <v>0.20445000000000046</v>
      </c>
      <c r="AU109" s="4">
        <f t="shared" si="67"/>
        <v>-0.10519999999999907</v>
      </c>
      <c r="AV109" s="4">
        <f t="shared" si="68"/>
        <v>-0.50484999999999935</v>
      </c>
    </row>
    <row r="110" spans="1:48" x14ac:dyDescent="0.25">
      <c r="A110" s="18">
        <v>110</v>
      </c>
      <c r="B110" s="19">
        <v>43552</v>
      </c>
      <c r="C110" s="20">
        <v>0.49123842592592593</v>
      </c>
      <c r="D110" s="18">
        <v>5.63</v>
      </c>
      <c r="E110" s="18">
        <v>5.69</v>
      </c>
      <c r="F110" s="18">
        <v>5.56</v>
      </c>
      <c r="G110" s="18">
        <v>5</v>
      </c>
      <c r="H110" s="18">
        <v>5.31</v>
      </c>
      <c r="I110" s="18">
        <v>4.63</v>
      </c>
      <c r="J110" s="18">
        <v>5.94</v>
      </c>
      <c r="K110" s="18">
        <v>5.5</v>
      </c>
      <c r="L110" s="18">
        <v>4.63</v>
      </c>
      <c r="N110" s="4">
        <v>5.53</v>
      </c>
      <c r="O110" s="4">
        <f>N110-'Sonde étalon'!$C$13</f>
        <v>5.7</v>
      </c>
      <c r="R110" s="4">
        <f t="shared" si="69"/>
        <v>-7.0000000000000284E-2</v>
      </c>
      <c r="S110" s="4">
        <f t="shared" si="70"/>
        <v>-9.9999999999997868E-3</v>
      </c>
      <c r="T110" s="4">
        <f t="shared" si="71"/>
        <v>-0.14000000000000057</v>
      </c>
      <c r="U110" s="4">
        <f t="shared" si="72"/>
        <v>-0.70000000000000018</v>
      </c>
      <c r="V110" s="4">
        <f t="shared" si="73"/>
        <v>-0.39000000000000057</v>
      </c>
      <c r="W110" s="4">
        <f t="shared" si="74"/>
        <v>-1.0700000000000003</v>
      </c>
      <c r="X110" s="4">
        <f t="shared" si="75"/>
        <v>0.24000000000000021</v>
      </c>
      <c r="Y110" s="4">
        <f t="shared" si="76"/>
        <v>-0.20000000000000018</v>
      </c>
      <c r="Z110" s="4">
        <f t="shared" si="77"/>
        <v>-1.0700000000000003</v>
      </c>
      <c r="AC110" s="4">
        <f t="shared" si="51"/>
        <v>5.7390999999999996</v>
      </c>
      <c r="AD110" s="4">
        <f t="shared" si="52"/>
        <v>5.9270500000000004</v>
      </c>
      <c r="AE110" s="4">
        <f t="shared" si="53"/>
        <v>5.6498999999999997</v>
      </c>
      <c r="AF110" s="4">
        <f t="shared" si="54"/>
        <v>5.3435999999999995</v>
      </c>
      <c r="AG110" s="4">
        <f t="shared" si="55"/>
        <v>5.6959999999999997</v>
      </c>
      <c r="AH110" s="4">
        <f t="shared" si="56"/>
        <v>4.992</v>
      </c>
      <c r="AI110" s="4">
        <f t="shared" si="57"/>
        <v>5.9044500000000006</v>
      </c>
      <c r="AJ110" s="4">
        <f t="shared" si="58"/>
        <v>5.5948000000000002</v>
      </c>
      <c r="AK110" s="4">
        <f t="shared" si="59"/>
        <v>5.2651500000000002</v>
      </c>
      <c r="AN110" s="4">
        <f t="shared" si="60"/>
        <v>3.9099999999999469E-2</v>
      </c>
      <c r="AO110" s="4">
        <f t="shared" si="61"/>
        <v>0.2270500000000002</v>
      </c>
      <c r="AP110" s="4">
        <f t="shared" si="62"/>
        <v>-5.0100000000000477E-2</v>
      </c>
      <c r="AQ110" s="4">
        <f t="shared" si="63"/>
        <v>-0.35640000000000072</v>
      </c>
      <c r="AR110" s="4">
        <f t="shared" si="64"/>
        <v>-4.0000000000004476E-3</v>
      </c>
      <c r="AS110" s="4">
        <f t="shared" si="65"/>
        <v>-0.70800000000000018</v>
      </c>
      <c r="AT110" s="4">
        <f t="shared" si="66"/>
        <v>0.20445000000000046</v>
      </c>
      <c r="AU110" s="4">
        <f t="shared" si="67"/>
        <v>-0.10519999999999996</v>
      </c>
      <c r="AV110" s="4">
        <f t="shared" si="68"/>
        <v>-0.43484999999999996</v>
      </c>
    </row>
    <row r="111" spans="1:48" x14ac:dyDescent="0.25">
      <c r="A111" s="18">
        <v>111</v>
      </c>
      <c r="B111" s="19">
        <v>43552</v>
      </c>
      <c r="C111" s="20">
        <v>0.49193287037037042</v>
      </c>
      <c r="D111" s="18">
        <v>5.44</v>
      </c>
      <c r="E111" s="18">
        <v>5.5</v>
      </c>
      <c r="F111" s="18">
        <v>5.44</v>
      </c>
      <c r="G111" s="18">
        <v>4.88</v>
      </c>
      <c r="H111" s="18">
        <v>5.13</v>
      </c>
      <c r="I111" s="18">
        <v>4.5</v>
      </c>
      <c r="J111" s="18">
        <v>5.81</v>
      </c>
      <c r="K111" s="18">
        <v>5.38</v>
      </c>
      <c r="L111" s="18">
        <v>4.4400000000000004</v>
      </c>
      <c r="N111" s="4">
        <v>5.36</v>
      </c>
      <c r="O111" s="4">
        <f>N111-'Sonde étalon'!$C$13</f>
        <v>5.53</v>
      </c>
      <c r="R111" s="4">
        <f t="shared" si="69"/>
        <v>-8.9999999999999858E-2</v>
      </c>
      <c r="S111" s="4">
        <f t="shared" si="70"/>
        <v>-3.0000000000000249E-2</v>
      </c>
      <c r="T111" s="4">
        <f t="shared" si="71"/>
        <v>-8.9999999999999858E-2</v>
      </c>
      <c r="U111" s="4">
        <f t="shared" si="72"/>
        <v>-0.65000000000000036</v>
      </c>
      <c r="V111" s="4">
        <f t="shared" si="73"/>
        <v>-0.40000000000000036</v>
      </c>
      <c r="W111" s="4">
        <f t="shared" si="74"/>
        <v>-1.0300000000000002</v>
      </c>
      <c r="X111" s="4">
        <f t="shared" si="75"/>
        <v>0.27999999999999936</v>
      </c>
      <c r="Y111" s="4">
        <f t="shared" si="76"/>
        <v>-0.15000000000000036</v>
      </c>
      <c r="Z111" s="4">
        <f t="shared" si="77"/>
        <v>-1.0899999999999999</v>
      </c>
      <c r="AC111" s="4">
        <f t="shared" si="51"/>
        <v>5.5491000000000001</v>
      </c>
      <c r="AD111" s="4">
        <f t="shared" si="52"/>
        <v>5.73705</v>
      </c>
      <c r="AE111" s="4">
        <f t="shared" si="53"/>
        <v>5.5299000000000005</v>
      </c>
      <c r="AF111" s="4">
        <f t="shared" si="54"/>
        <v>5.2235999999999994</v>
      </c>
      <c r="AG111" s="4">
        <f t="shared" si="55"/>
        <v>5.516</v>
      </c>
      <c r="AH111" s="4">
        <f t="shared" si="56"/>
        <v>4.8620000000000001</v>
      </c>
      <c r="AI111" s="4">
        <f t="shared" si="57"/>
        <v>5.7744499999999999</v>
      </c>
      <c r="AJ111" s="4">
        <f t="shared" si="58"/>
        <v>5.4748000000000001</v>
      </c>
      <c r="AK111" s="4">
        <f t="shared" si="59"/>
        <v>5.0751500000000007</v>
      </c>
      <c r="AN111" s="4">
        <f t="shared" si="60"/>
        <v>1.9099999999999895E-2</v>
      </c>
      <c r="AO111" s="4">
        <f t="shared" si="61"/>
        <v>0.20704999999999973</v>
      </c>
      <c r="AP111" s="4">
        <f t="shared" si="62"/>
        <v>-9.9999999999766942E-5</v>
      </c>
      <c r="AQ111" s="4">
        <f t="shared" si="63"/>
        <v>-0.30640000000000089</v>
      </c>
      <c r="AR111" s="4">
        <f t="shared" si="64"/>
        <v>-1.4000000000000234E-2</v>
      </c>
      <c r="AS111" s="4">
        <f t="shared" si="65"/>
        <v>-0.66800000000000015</v>
      </c>
      <c r="AT111" s="4">
        <f t="shared" si="66"/>
        <v>0.24444999999999961</v>
      </c>
      <c r="AU111" s="4">
        <f t="shared" si="67"/>
        <v>-5.5200000000000138E-2</v>
      </c>
      <c r="AV111" s="4">
        <f t="shared" si="68"/>
        <v>-0.45484999999999953</v>
      </c>
    </row>
    <row r="112" spans="1:48" x14ac:dyDescent="0.25">
      <c r="A112" s="18">
        <v>112</v>
      </c>
      <c r="B112" s="19">
        <v>43552</v>
      </c>
      <c r="C112" s="20">
        <v>0.49262731481481481</v>
      </c>
      <c r="D112" s="18">
        <v>5.31</v>
      </c>
      <c r="E112" s="18">
        <v>5.31</v>
      </c>
      <c r="F112" s="18">
        <v>5.25</v>
      </c>
      <c r="G112" s="18">
        <v>4.6900000000000004</v>
      </c>
      <c r="H112" s="18">
        <v>5</v>
      </c>
      <c r="I112" s="18">
        <v>4.38</v>
      </c>
      <c r="J112" s="18">
        <v>5.63</v>
      </c>
      <c r="K112" s="18">
        <v>5.19</v>
      </c>
      <c r="L112" s="18">
        <v>4.25</v>
      </c>
      <c r="N112" s="4">
        <v>5.21</v>
      </c>
      <c r="O112" s="4">
        <f>N112-'Sonde étalon'!$C$13</f>
        <v>5.38</v>
      </c>
      <c r="R112" s="4">
        <f t="shared" si="69"/>
        <v>-7.0000000000000284E-2</v>
      </c>
      <c r="S112" s="4">
        <f t="shared" si="70"/>
        <v>-7.0000000000000284E-2</v>
      </c>
      <c r="T112" s="4">
        <f t="shared" si="71"/>
        <v>-0.12999999999999989</v>
      </c>
      <c r="U112" s="4">
        <f t="shared" si="72"/>
        <v>-0.6899999999999995</v>
      </c>
      <c r="V112" s="4">
        <f t="shared" si="73"/>
        <v>-0.37999999999999989</v>
      </c>
      <c r="W112" s="4">
        <f t="shared" si="74"/>
        <v>-1</v>
      </c>
      <c r="X112" s="4">
        <f t="shared" si="75"/>
        <v>0.25</v>
      </c>
      <c r="Y112" s="4">
        <f t="shared" si="76"/>
        <v>-0.1899999999999995</v>
      </c>
      <c r="Z112" s="4">
        <f t="shared" si="77"/>
        <v>-1.1299999999999999</v>
      </c>
      <c r="AC112" s="4">
        <f t="shared" si="51"/>
        <v>5.4190999999999994</v>
      </c>
      <c r="AD112" s="4">
        <f t="shared" si="52"/>
        <v>5.5470499999999996</v>
      </c>
      <c r="AE112" s="4">
        <f t="shared" si="53"/>
        <v>5.3399000000000001</v>
      </c>
      <c r="AF112" s="4">
        <f t="shared" si="54"/>
        <v>5.0335999999999999</v>
      </c>
      <c r="AG112" s="4">
        <f t="shared" si="55"/>
        <v>5.3860000000000001</v>
      </c>
      <c r="AH112" s="4">
        <f t="shared" si="56"/>
        <v>4.742</v>
      </c>
      <c r="AI112" s="4">
        <f t="shared" si="57"/>
        <v>5.5944500000000001</v>
      </c>
      <c r="AJ112" s="4">
        <f t="shared" si="58"/>
        <v>5.2848000000000006</v>
      </c>
      <c r="AK112" s="4">
        <f t="shared" si="59"/>
        <v>4.8851500000000003</v>
      </c>
      <c r="AN112" s="4">
        <f t="shared" si="60"/>
        <v>3.9099999999999469E-2</v>
      </c>
      <c r="AO112" s="4">
        <f t="shared" si="61"/>
        <v>0.1670499999999997</v>
      </c>
      <c r="AP112" s="4">
        <f t="shared" si="62"/>
        <v>-4.0099999999999802E-2</v>
      </c>
      <c r="AQ112" s="4">
        <f t="shared" si="63"/>
        <v>-0.34640000000000004</v>
      </c>
      <c r="AR112" s="4">
        <f t="shared" si="64"/>
        <v>6.0000000000002274E-3</v>
      </c>
      <c r="AS112" s="4">
        <f t="shared" si="65"/>
        <v>-0.6379999999999999</v>
      </c>
      <c r="AT112" s="4">
        <f t="shared" si="66"/>
        <v>0.21445000000000025</v>
      </c>
      <c r="AU112" s="4">
        <f t="shared" si="67"/>
        <v>-9.5199999999999285E-2</v>
      </c>
      <c r="AV112" s="4">
        <f t="shared" si="68"/>
        <v>-0.49484999999999957</v>
      </c>
    </row>
    <row r="113" spans="1:48" x14ac:dyDescent="0.25">
      <c r="A113" s="18">
        <v>113</v>
      </c>
      <c r="B113" s="19">
        <v>43552</v>
      </c>
      <c r="C113" s="20">
        <v>0.49332175925925931</v>
      </c>
      <c r="D113" s="18">
        <v>5.13</v>
      </c>
      <c r="E113" s="18">
        <v>5.19</v>
      </c>
      <c r="F113" s="18">
        <v>5.13</v>
      </c>
      <c r="G113" s="18">
        <v>4.5</v>
      </c>
      <c r="H113" s="18">
        <v>4.8099999999999996</v>
      </c>
      <c r="I113" s="18">
        <v>4.1900000000000004</v>
      </c>
      <c r="J113" s="18">
        <v>5.5</v>
      </c>
      <c r="K113" s="18">
        <v>5.0599999999999996</v>
      </c>
      <c r="L113" s="18">
        <v>4.13</v>
      </c>
      <c r="N113" s="4">
        <v>5.04</v>
      </c>
      <c r="O113" s="4">
        <f>N113-'Sonde étalon'!$C$13</f>
        <v>5.21</v>
      </c>
      <c r="R113" s="4">
        <f t="shared" si="69"/>
        <v>-8.0000000000000071E-2</v>
      </c>
      <c r="S113" s="4">
        <f t="shared" si="70"/>
        <v>-1.9999999999999574E-2</v>
      </c>
      <c r="T113" s="4">
        <f t="shared" si="71"/>
        <v>-8.0000000000000071E-2</v>
      </c>
      <c r="U113" s="4">
        <f t="shared" si="72"/>
        <v>-0.71</v>
      </c>
      <c r="V113" s="4">
        <f t="shared" si="73"/>
        <v>-0.40000000000000036</v>
      </c>
      <c r="W113" s="4">
        <f t="shared" si="74"/>
        <v>-1.0199999999999996</v>
      </c>
      <c r="X113" s="4">
        <f t="shared" si="75"/>
        <v>0.29000000000000004</v>
      </c>
      <c r="Y113" s="4">
        <f t="shared" si="76"/>
        <v>-0.15000000000000036</v>
      </c>
      <c r="Z113" s="4">
        <f t="shared" si="77"/>
        <v>-1.08</v>
      </c>
      <c r="AC113" s="4">
        <f t="shared" si="51"/>
        <v>5.2390999999999996</v>
      </c>
      <c r="AD113" s="4">
        <f t="shared" si="52"/>
        <v>5.4270500000000004</v>
      </c>
      <c r="AE113" s="4">
        <f t="shared" si="53"/>
        <v>5.2199</v>
      </c>
      <c r="AF113" s="4">
        <f t="shared" si="54"/>
        <v>4.8435999999999995</v>
      </c>
      <c r="AG113" s="4">
        <f t="shared" si="55"/>
        <v>5.1959999999999997</v>
      </c>
      <c r="AH113" s="4">
        <f t="shared" si="56"/>
        <v>4.5520000000000005</v>
      </c>
      <c r="AI113" s="4">
        <f t="shared" si="57"/>
        <v>5.4644500000000003</v>
      </c>
      <c r="AJ113" s="4">
        <f t="shared" si="58"/>
        <v>5.1547999999999998</v>
      </c>
      <c r="AK113" s="4">
        <f t="shared" si="59"/>
        <v>4.7651500000000002</v>
      </c>
      <c r="AN113" s="4">
        <f t="shared" si="60"/>
        <v>2.9099999999999682E-2</v>
      </c>
      <c r="AO113" s="4">
        <f t="shared" si="61"/>
        <v>0.21705000000000041</v>
      </c>
      <c r="AP113" s="4">
        <f t="shared" si="62"/>
        <v>9.9000000000000199E-3</v>
      </c>
      <c r="AQ113" s="4">
        <f t="shared" si="63"/>
        <v>-0.3664000000000005</v>
      </c>
      <c r="AR113" s="4">
        <f t="shared" si="64"/>
        <v>-1.4000000000000234E-2</v>
      </c>
      <c r="AS113" s="4">
        <f t="shared" si="65"/>
        <v>-0.65799999999999947</v>
      </c>
      <c r="AT113" s="4">
        <f t="shared" si="66"/>
        <v>0.25445000000000029</v>
      </c>
      <c r="AU113" s="4">
        <f t="shared" si="67"/>
        <v>-5.5200000000000138E-2</v>
      </c>
      <c r="AV113" s="4">
        <f t="shared" si="68"/>
        <v>-0.44484999999999975</v>
      </c>
    </row>
    <row r="114" spans="1:48" x14ac:dyDescent="0.25">
      <c r="A114" s="18">
        <v>114</v>
      </c>
      <c r="B114" s="19">
        <v>43552</v>
      </c>
      <c r="C114" s="20">
        <v>0.49401620370370369</v>
      </c>
      <c r="D114" s="18">
        <v>5</v>
      </c>
      <c r="E114" s="18">
        <v>5</v>
      </c>
      <c r="F114" s="18">
        <v>4.9400000000000004</v>
      </c>
      <c r="G114" s="18">
        <v>4.38</v>
      </c>
      <c r="H114" s="18">
        <v>4.6900000000000004</v>
      </c>
      <c r="I114" s="18">
        <v>4</v>
      </c>
      <c r="J114" s="18">
        <v>5.31</v>
      </c>
      <c r="K114" s="18">
        <v>4.88</v>
      </c>
      <c r="L114" s="18">
        <v>3.94</v>
      </c>
      <c r="N114" s="4">
        <v>4.8899999999999997</v>
      </c>
      <c r="O114" s="4">
        <f>N114-'Sonde étalon'!$C$13</f>
        <v>5.0599999999999996</v>
      </c>
      <c r="R114" s="4">
        <f t="shared" si="69"/>
        <v>-5.9999999999999609E-2</v>
      </c>
      <c r="S114" s="4">
        <f t="shared" si="70"/>
        <v>-5.9999999999999609E-2</v>
      </c>
      <c r="T114" s="4">
        <f t="shared" si="71"/>
        <v>-0.11999999999999922</v>
      </c>
      <c r="U114" s="4">
        <f t="shared" si="72"/>
        <v>-0.67999999999999972</v>
      </c>
      <c r="V114" s="4">
        <f t="shared" si="73"/>
        <v>-0.36999999999999922</v>
      </c>
      <c r="W114" s="4">
        <f t="shared" si="74"/>
        <v>-1.0599999999999996</v>
      </c>
      <c r="X114" s="4">
        <f t="shared" si="75"/>
        <v>0.25</v>
      </c>
      <c r="Y114" s="4">
        <f t="shared" si="76"/>
        <v>-0.17999999999999972</v>
      </c>
      <c r="Z114" s="4">
        <f t="shared" si="77"/>
        <v>-1.1199999999999997</v>
      </c>
      <c r="AC114" s="4">
        <f t="shared" si="51"/>
        <v>5.1090999999999998</v>
      </c>
      <c r="AD114" s="4">
        <f t="shared" si="52"/>
        <v>5.23705</v>
      </c>
      <c r="AE114" s="4">
        <f t="shared" si="53"/>
        <v>5.0299000000000005</v>
      </c>
      <c r="AF114" s="4">
        <f t="shared" si="54"/>
        <v>4.7235999999999994</v>
      </c>
      <c r="AG114" s="4">
        <f t="shared" si="55"/>
        <v>5.0760000000000005</v>
      </c>
      <c r="AH114" s="4">
        <f t="shared" si="56"/>
        <v>4.3620000000000001</v>
      </c>
      <c r="AI114" s="4">
        <f t="shared" si="57"/>
        <v>5.2744499999999999</v>
      </c>
      <c r="AJ114" s="4">
        <f t="shared" si="58"/>
        <v>4.9748000000000001</v>
      </c>
      <c r="AK114" s="4">
        <f t="shared" si="59"/>
        <v>4.5751499999999998</v>
      </c>
      <c r="AN114" s="4">
        <f t="shared" si="60"/>
        <v>4.9100000000000144E-2</v>
      </c>
      <c r="AO114" s="4">
        <f t="shared" si="61"/>
        <v>0.17705000000000037</v>
      </c>
      <c r="AP114" s="4">
        <f t="shared" si="62"/>
        <v>-3.0099999999999127E-2</v>
      </c>
      <c r="AQ114" s="4">
        <f t="shared" si="63"/>
        <v>-0.33640000000000025</v>
      </c>
      <c r="AR114" s="4">
        <f t="shared" si="64"/>
        <v>1.6000000000000902E-2</v>
      </c>
      <c r="AS114" s="4">
        <f t="shared" si="65"/>
        <v>-0.69799999999999951</v>
      </c>
      <c r="AT114" s="4">
        <f t="shared" si="66"/>
        <v>0.21445000000000025</v>
      </c>
      <c r="AU114" s="4">
        <f t="shared" si="67"/>
        <v>-8.5199999999999498E-2</v>
      </c>
      <c r="AV114" s="4">
        <f t="shared" si="68"/>
        <v>-0.48484999999999978</v>
      </c>
    </row>
    <row r="115" spans="1:48" x14ac:dyDescent="0.25">
      <c r="A115" s="18">
        <v>115</v>
      </c>
      <c r="B115" s="19">
        <v>43552</v>
      </c>
      <c r="C115" s="20">
        <v>0.49471064814814819</v>
      </c>
      <c r="D115" s="18">
        <v>4.8099999999999996</v>
      </c>
      <c r="E115" s="18">
        <v>4.88</v>
      </c>
      <c r="F115" s="18">
        <v>4.8099999999999996</v>
      </c>
      <c r="G115" s="18">
        <v>4.1900000000000004</v>
      </c>
      <c r="H115" s="18">
        <v>4.5</v>
      </c>
      <c r="I115" s="18">
        <v>3.88</v>
      </c>
      <c r="J115" s="18">
        <v>5.19</v>
      </c>
      <c r="K115" s="18">
        <v>4.75</v>
      </c>
      <c r="L115" s="18">
        <v>3.75</v>
      </c>
      <c r="N115" s="4">
        <v>4.7300000000000004</v>
      </c>
      <c r="O115" s="4">
        <f>N115-'Sonde étalon'!$C$13</f>
        <v>4.9000000000000004</v>
      </c>
      <c r="R115" s="4">
        <f t="shared" si="69"/>
        <v>-9.0000000000000746E-2</v>
      </c>
      <c r="S115" s="4">
        <f t="shared" si="70"/>
        <v>-2.0000000000000462E-2</v>
      </c>
      <c r="T115" s="4">
        <f t="shared" si="71"/>
        <v>-9.0000000000000746E-2</v>
      </c>
      <c r="U115" s="4">
        <f t="shared" si="72"/>
        <v>-0.71</v>
      </c>
      <c r="V115" s="4">
        <f t="shared" si="73"/>
        <v>-0.40000000000000036</v>
      </c>
      <c r="W115" s="4">
        <f t="shared" si="74"/>
        <v>-1.0200000000000005</v>
      </c>
      <c r="X115" s="4">
        <f t="shared" si="75"/>
        <v>0.29000000000000004</v>
      </c>
      <c r="Y115" s="4">
        <f t="shared" si="76"/>
        <v>-0.15000000000000036</v>
      </c>
      <c r="Z115" s="4">
        <f t="shared" si="77"/>
        <v>-1.1500000000000004</v>
      </c>
      <c r="AC115" s="4">
        <f t="shared" si="51"/>
        <v>4.9190999999999994</v>
      </c>
      <c r="AD115" s="4">
        <f t="shared" si="52"/>
        <v>5.1170499999999999</v>
      </c>
      <c r="AE115" s="4">
        <f t="shared" si="53"/>
        <v>4.8998999999999997</v>
      </c>
      <c r="AF115" s="4">
        <f t="shared" si="54"/>
        <v>4.5335999999999999</v>
      </c>
      <c r="AG115" s="4">
        <f t="shared" si="55"/>
        <v>4.8860000000000001</v>
      </c>
      <c r="AH115" s="4">
        <f t="shared" si="56"/>
        <v>4.242</v>
      </c>
      <c r="AI115" s="4">
        <f t="shared" si="57"/>
        <v>5.1544500000000006</v>
      </c>
      <c r="AJ115" s="4">
        <f t="shared" si="58"/>
        <v>4.8448000000000002</v>
      </c>
      <c r="AK115" s="4">
        <f t="shared" si="59"/>
        <v>4.3851500000000003</v>
      </c>
      <c r="AN115" s="4">
        <f t="shared" si="60"/>
        <v>1.9099999999999007E-2</v>
      </c>
      <c r="AO115" s="4">
        <f t="shared" si="61"/>
        <v>0.21704999999999952</v>
      </c>
      <c r="AP115" s="4">
        <f t="shared" si="62"/>
        <v>-1.0000000000065512E-4</v>
      </c>
      <c r="AQ115" s="4">
        <f t="shared" si="63"/>
        <v>-0.3664000000000005</v>
      </c>
      <c r="AR115" s="4">
        <f t="shared" si="64"/>
        <v>-1.4000000000000234E-2</v>
      </c>
      <c r="AS115" s="4">
        <f t="shared" si="65"/>
        <v>-0.65800000000000036</v>
      </c>
      <c r="AT115" s="4">
        <f t="shared" si="66"/>
        <v>0.25445000000000029</v>
      </c>
      <c r="AU115" s="4">
        <f t="shared" si="67"/>
        <v>-5.5200000000000138E-2</v>
      </c>
      <c r="AV115" s="4">
        <f t="shared" si="68"/>
        <v>-0.51485000000000003</v>
      </c>
    </row>
    <row r="116" spans="1:48" x14ac:dyDescent="0.25">
      <c r="A116" s="18">
        <v>116</v>
      </c>
      <c r="B116" s="19">
        <v>43552</v>
      </c>
      <c r="C116" s="20">
        <v>0.49540509259259258</v>
      </c>
      <c r="D116" s="18">
        <v>4.6900000000000004</v>
      </c>
      <c r="E116" s="18">
        <v>4.75</v>
      </c>
      <c r="F116" s="18">
        <v>4.6900000000000004</v>
      </c>
      <c r="G116" s="18">
        <v>4.0599999999999996</v>
      </c>
      <c r="H116" s="18">
        <v>4.38</v>
      </c>
      <c r="I116" s="18">
        <v>3.75</v>
      </c>
      <c r="J116" s="18">
        <v>5</v>
      </c>
      <c r="K116" s="18">
        <v>4.5599999999999996</v>
      </c>
      <c r="L116" s="18">
        <v>3.63</v>
      </c>
      <c r="N116" s="4">
        <v>4.57</v>
      </c>
      <c r="O116" s="4">
        <f>N116-'Sonde étalon'!$C$13</f>
        <v>4.74</v>
      </c>
      <c r="R116" s="4">
        <f t="shared" si="69"/>
        <v>-4.9999999999999822E-2</v>
      </c>
      <c r="S116" s="4">
        <f t="shared" si="70"/>
        <v>9.9999999999997868E-3</v>
      </c>
      <c r="T116" s="4">
        <f t="shared" si="71"/>
        <v>-4.9999999999999822E-2</v>
      </c>
      <c r="U116" s="4">
        <f t="shared" si="72"/>
        <v>-0.6800000000000006</v>
      </c>
      <c r="V116" s="4">
        <f t="shared" si="73"/>
        <v>-0.36000000000000032</v>
      </c>
      <c r="W116" s="4">
        <f t="shared" si="74"/>
        <v>-0.99000000000000021</v>
      </c>
      <c r="X116" s="4">
        <f t="shared" si="75"/>
        <v>0.25999999999999979</v>
      </c>
      <c r="Y116" s="4">
        <f t="shared" si="76"/>
        <v>-0.1800000000000006</v>
      </c>
      <c r="Z116" s="4">
        <f t="shared" si="77"/>
        <v>-1.1100000000000003</v>
      </c>
      <c r="AC116" s="4">
        <f t="shared" si="51"/>
        <v>4.7991000000000001</v>
      </c>
      <c r="AD116" s="4">
        <f t="shared" si="52"/>
        <v>4.98705</v>
      </c>
      <c r="AE116" s="4">
        <f t="shared" si="53"/>
        <v>4.7799000000000005</v>
      </c>
      <c r="AF116" s="4">
        <f t="shared" si="54"/>
        <v>4.4035999999999991</v>
      </c>
      <c r="AG116" s="4">
        <f t="shared" si="55"/>
        <v>4.766</v>
      </c>
      <c r="AH116" s="4">
        <f t="shared" si="56"/>
        <v>4.1120000000000001</v>
      </c>
      <c r="AI116" s="4">
        <f t="shared" si="57"/>
        <v>4.9644500000000003</v>
      </c>
      <c r="AJ116" s="4">
        <f t="shared" si="58"/>
        <v>4.6547999999999998</v>
      </c>
      <c r="AK116" s="4">
        <f t="shared" si="59"/>
        <v>4.2651500000000002</v>
      </c>
      <c r="AN116" s="4">
        <f t="shared" si="60"/>
        <v>5.909999999999993E-2</v>
      </c>
      <c r="AO116" s="4">
        <f t="shared" si="61"/>
        <v>0.24704999999999977</v>
      </c>
      <c r="AP116" s="4">
        <f t="shared" si="62"/>
        <v>3.9900000000000269E-2</v>
      </c>
      <c r="AQ116" s="4">
        <f t="shared" si="63"/>
        <v>-0.33640000000000114</v>
      </c>
      <c r="AR116" s="4">
        <f t="shared" si="64"/>
        <v>2.5999999999999801E-2</v>
      </c>
      <c r="AS116" s="4">
        <f t="shared" si="65"/>
        <v>-0.62800000000000011</v>
      </c>
      <c r="AT116" s="4">
        <f t="shared" si="66"/>
        <v>0.22445000000000004</v>
      </c>
      <c r="AU116" s="4">
        <f t="shared" si="67"/>
        <v>-8.5200000000000387E-2</v>
      </c>
      <c r="AV116" s="4">
        <f t="shared" si="68"/>
        <v>-0.47484999999999999</v>
      </c>
    </row>
    <row r="117" spans="1:48" x14ac:dyDescent="0.25">
      <c r="A117" s="18">
        <v>117</v>
      </c>
      <c r="B117" s="19">
        <v>43552</v>
      </c>
      <c r="C117" s="20">
        <v>0.49609953703703707</v>
      </c>
      <c r="D117" s="18">
        <v>4.5</v>
      </c>
      <c r="E117" s="18">
        <v>4.5599999999999996</v>
      </c>
      <c r="F117" s="18">
        <v>4.5</v>
      </c>
      <c r="G117" s="18">
        <v>3.94</v>
      </c>
      <c r="H117" s="18">
        <v>4.1900000000000004</v>
      </c>
      <c r="I117" s="18">
        <v>3.56</v>
      </c>
      <c r="J117" s="18">
        <v>4.88</v>
      </c>
      <c r="K117" s="18">
        <v>4.4400000000000004</v>
      </c>
      <c r="L117" s="18">
        <v>3.5</v>
      </c>
      <c r="N117" s="4">
        <v>4.42</v>
      </c>
      <c r="O117" s="4">
        <f>N117-'Sonde étalon'!$C$13</f>
        <v>4.59</v>
      </c>
      <c r="R117" s="4">
        <f t="shared" si="69"/>
        <v>-8.9999999999999858E-2</v>
      </c>
      <c r="S117" s="4">
        <f t="shared" si="70"/>
        <v>-3.0000000000000249E-2</v>
      </c>
      <c r="T117" s="4">
        <f t="shared" si="71"/>
        <v>-8.9999999999999858E-2</v>
      </c>
      <c r="U117" s="4">
        <f t="shared" si="72"/>
        <v>-0.64999999999999991</v>
      </c>
      <c r="V117" s="4">
        <f t="shared" si="73"/>
        <v>-0.39999999999999947</v>
      </c>
      <c r="W117" s="4">
        <f t="shared" si="74"/>
        <v>-1.0299999999999998</v>
      </c>
      <c r="X117" s="4">
        <f t="shared" si="75"/>
        <v>0.29000000000000004</v>
      </c>
      <c r="Y117" s="4">
        <f t="shared" si="76"/>
        <v>-0.14999999999999947</v>
      </c>
      <c r="Z117" s="4">
        <f t="shared" si="77"/>
        <v>-1.0899999999999999</v>
      </c>
      <c r="AC117" s="4">
        <f t="shared" si="51"/>
        <v>4.6090999999999998</v>
      </c>
      <c r="AD117" s="4">
        <f t="shared" si="52"/>
        <v>4.7970499999999996</v>
      </c>
      <c r="AE117" s="4">
        <f t="shared" si="53"/>
        <v>4.5899000000000001</v>
      </c>
      <c r="AF117" s="4">
        <f t="shared" si="54"/>
        <v>4.2835999999999999</v>
      </c>
      <c r="AG117" s="4">
        <f t="shared" si="55"/>
        <v>4.5760000000000005</v>
      </c>
      <c r="AH117" s="4">
        <f t="shared" si="56"/>
        <v>3.9219999999999997</v>
      </c>
      <c r="AI117" s="4">
        <f t="shared" si="57"/>
        <v>4.8444500000000001</v>
      </c>
      <c r="AJ117" s="4">
        <f t="shared" si="58"/>
        <v>4.5348000000000006</v>
      </c>
      <c r="AK117" s="4">
        <f t="shared" si="59"/>
        <v>4.1351500000000003</v>
      </c>
      <c r="AN117" s="4">
        <f t="shared" si="60"/>
        <v>1.9099999999999895E-2</v>
      </c>
      <c r="AO117" s="4">
        <f t="shared" si="61"/>
        <v>0.20704999999999973</v>
      </c>
      <c r="AP117" s="4">
        <f t="shared" si="62"/>
        <v>-9.9999999999766942E-5</v>
      </c>
      <c r="AQ117" s="4">
        <f t="shared" si="63"/>
        <v>-0.30640000000000001</v>
      </c>
      <c r="AR117" s="4">
        <f t="shared" si="64"/>
        <v>-1.3999999999999346E-2</v>
      </c>
      <c r="AS117" s="4">
        <f t="shared" si="65"/>
        <v>-0.66800000000000015</v>
      </c>
      <c r="AT117" s="4">
        <f t="shared" si="66"/>
        <v>0.25445000000000029</v>
      </c>
      <c r="AU117" s="4">
        <f t="shared" si="67"/>
        <v>-5.519999999999925E-2</v>
      </c>
      <c r="AV117" s="4">
        <f t="shared" si="68"/>
        <v>-0.45484999999999953</v>
      </c>
    </row>
    <row r="118" spans="1:48" x14ac:dyDescent="0.25">
      <c r="A118" s="18">
        <v>118</v>
      </c>
      <c r="B118" s="19">
        <v>43552</v>
      </c>
      <c r="C118" s="20">
        <v>0.49679398148148146</v>
      </c>
      <c r="D118" s="18">
        <v>4.38</v>
      </c>
      <c r="E118" s="18">
        <v>4.4400000000000004</v>
      </c>
      <c r="F118" s="18">
        <v>4.38</v>
      </c>
      <c r="G118" s="18">
        <v>3.81</v>
      </c>
      <c r="H118" s="18">
        <v>4.0599999999999996</v>
      </c>
      <c r="I118" s="18">
        <v>3.5</v>
      </c>
      <c r="J118" s="18">
        <v>4.75</v>
      </c>
      <c r="K118" s="18">
        <v>4.3099999999999996</v>
      </c>
      <c r="L118" s="18">
        <v>3.38</v>
      </c>
      <c r="N118" s="4">
        <v>4.28</v>
      </c>
      <c r="O118" s="4">
        <f>N118-'Sonde étalon'!$C$13</f>
        <v>4.45</v>
      </c>
      <c r="R118" s="4">
        <f t="shared" si="69"/>
        <v>-7.0000000000000284E-2</v>
      </c>
      <c r="S118" s="4">
        <f t="shared" si="70"/>
        <v>-9.9999999999997868E-3</v>
      </c>
      <c r="T118" s="4">
        <f t="shared" si="71"/>
        <v>-7.0000000000000284E-2</v>
      </c>
      <c r="U118" s="4">
        <f t="shared" si="72"/>
        <v>-0.64000000000000012</v>
      </c>
      <c r="V118" s="4">
        <f t="shared" si="73"/>
        <v>-0.39000000000000057</v>
      </c>
      <c r="W118" s="4">
        <f t="shared" si="74"/>
        <v>-0.95000000000000018</v>
      </c>
      <c r="X118" s="4">
        <f t="shared" si="75"/>
        <v>0.29999999999999982</v>
      </c>
      <c r="Y118" s="4">
        <f t="shared" si="76"/>
        <v>-0.14000000000000057</v>
      </c>
      <c r="Z118" s="4">
        <f t="shared" si="77"/>
        <v>-1.0700000000000003</v>
      </c>
      <c r="AC118" s="4">
        <f t="shared" si="51"/>
        <v>4.4890999999999996</v>
      </c>
      <c r="AD118" s="4">
        <f t="shared" si="52"/>
        <v>4.6770500000000004</v>
      </c>
      <c r="AE118" s="4">
        <f t="shared" si="53"/>
        <v>4.4699</v>
      </c>
      <c r="AF118" s="4">
        <f t="shared" si="54"/>
        <v>4.1536</v>
      </c>
      <c r="AG118" s="4">
        <f t="shared" si="55"/>
        <v>4.4459999999999997</v>
      </c>
      <c r="AH118" s="4">
        <f t="shared" si="56"/>
        <v>3.8619999999999997</v>
      </c>
      <c r="AI118" s="4">
        <f t="shared" si="57"/>
        <v>4.7144500000000003</v>
      </c>
      <c r="AJ118" s="4">
        <f t="shared" si="58"/>
        <v>4.4047999999999998</v>
      </c>
      <c r="AK118" s="4">
        <f t="shared" si="59"/>
        <v>4.0151500000000002</v>
      </c>
      <c r="AN118" s="4">
        <f t="shared" si="60"/>
        <v>3.9099999999999469E-2</v>
      </c>
      <c r="AO118" s="4">
        <f t="shared" si="61"/>
        <v>0.2270500000000002</v>
      </c>
      <c r="AP118" s="4">
        <f t="shared" si="62"/>
        <v>1.9899999999999807E-2</v>
      </c>
      <c r="AQ118" s="4">
        <f t="shared" si="63"/>
        <v>-0.29640000000000022</v>
      </c>
      <c r="AR118" s="4">
        <f t="shared" si="64"/>
        <v>-4.0000000000004476E-3</v>
      </c>
      <c r="AS118" s="4">
        <f t="shared" si="65"/>
        <v>-0.58800000000000052</v>
      </c>
      <c r="AT118" s="4">
        <f t="shared" si="66"/>
        <v>0.26445000000000007</v>
      </c>
      <c r="AU118" s="4">
        <f t="shared" si="67"/>
        <v>-4.5200000000000351E-2</v>
      </c>
      <c r="AV118" s="4">
        <f t="shared" si="68"/>
        <v>-0.43484999999999996</v>
      </c>
    </row>
    <row r="119" spans="1:48" x14ac:dyDescent="0.25">
      <c r="A119" s="18">
        <v>119</v>
      </c>
      <c r="B119" s="19">
        <v>43552</v>
      </c>
      <c r="C119" s="20">
        <v>0.49748842592592596</v>
      </c>
      <c r="D119" s="18">
        <v>4.3099999999999996</v>
      </c>
      <c r="E119" s="18">
        <v>4.3099999999999996</v>
      </c>
      <c r="F119" s="18">
        <v>4.3099999999999996</v>
      </c>
      <c r="G119" s="18">
        <v>3.75</v>
      </c>
      <c r="H119" s="18">
        <v>4</v>
      </c>
      <c r="I119" s="18">
        <v>3.5</v>
      </c>
      <c r="J119" s="18">
        <v>4.63</v>
      </c>
      <c r="K119" s="18">
        <v>4.25</v>
      </c>
      <c r="L119" s="18">
        <v>3.38</v>
      </c>
      <c r="N119" s="4">
        <v>4.13</v>
      </c>
      <c r="O119" s="4">
        <f>N119-'Sonde étalon'!$C$13</f>
        <v>4.3</v>
      </c>
      <c r="R119" s="4">
        <f t="shared" si="69"/>
        <v>9.9999999999997868E-3</v>
      </c>
      <c r="S119" s="4">
        <f t="shared" si="70"/>
        <v>9.9999999999997868E-3</v>
      </c>
      <c r="T119" s="4">
        <f t="shared" si="71"/>
        <v>9.9999999999997868E-3</v>
      </c>
      <c r="U119" s="4">
        <f t="shared" si="72"/>
        <v>-0.54999999999999982</v>
      </c>
      <c r="V119" s="4">
        <f t="shared" si="73"/>
        <v>-0.29999999999999982</v>
      </c>
      <c r="W119" s="4">
        <f t="shared" si="74"/>
        <v>-0.79999999999999982</v>
      </c>
      <c r="X119" s="4">
        <f t="shared" si="75"/>
        <v>0.33000000000000007</v>
      </c>
      <c r="Y119" s="4">
        <f t="shared" si="76"/>
        <v>-4.9999999999999822E-2</v>
      </c>
      <c r="Z119" s="4">
        <f t="shared" si="77"/>
        <v>-0.91999999999999993</v>
      </c>
      <c r="AC119" s="4">
        <f t="shared" si="51"/>
        <v>4.4190999999999994</v>
      </c>
      <c r="AD119" s="4">
        <f t="shared" si="52"/>
        <v>4.5470499999999996</v>
      </c>
      <c r="AE119" s="4">
        <f t="shared" si="53"/>
        <v>4.3998999999999997</v>
      </c>
      <c r="AF119" s="4">
        <f t="shared" si="54"/>
        <v>4.0935999999999995</v>
      </c>
      <c r="AG119" s="4">
        <f t="shared" si="55"/>
        <v>4.3860000000000001</v>
      </c>
      <c r="AH119" s="4">
        <f t="shared" si="56"/>
        <v>3.8619999999999997</v>
      </c>
      <c r="AI119" s="4">
        <f t="shared" si="57"/>
        <v>4.5944500000000001</v>
      </c>
      <c r="AJ119" s="4">
        <f t="shared" si="58"/>
        <v>4.3448000000000002</v>
      </c>
      <c r="AK119" s="4">
        <f t="shared" si="59"/>
        <v>4.0151500000000002</v>
      </c>
      <c r="AN119" s="4">
        <f t="shared" si="60"/>
        <v>0.11909999999999954</v>
      </c>
      <c r="AO119" s="4">
        <f t="shared" si="61"/>
        <v>0.24704999999999977</v>
      </c>
      <c r="AP119" s="4">
        <f t="shared" si="62"/>
        <v>9.9899999999999878E-2</v>
      </c>
      <c r="AQ119" s="4">
        <f t="shared" si="63"/>
        <v>-0.20640000000000036</v>
      </c>
      <c r="AR119" s="4">
        <f t="shared" si="64"/>
        <v>8.6000000000000298E-2</v>
      </c>
      <c r="AS119" s="4">
        <f t="shared" si="65"/>
        <v>-0.43800000000000017</v>
      </c>
      <c r="AT119" s="4">
        <f t="shared" si="66"/>
        <v>0.29445000000000032</v>
      </c>
      <c r="AU119" s="4">
        <f t="shared" si="67"/>
        <v>4.4800000000000395E-2</v>
      </c>
      <c r="AV119" s="4">
        <f t="shared" si="68"/>
        <v>-0.2848499999999996</v>
      </c>
    </row>
    <row r="120" spans="1:48" x14ac:dyDescent="0.25">
      <c r="A120" s="18">
        <v>120</v>
      </c>
      <c r="B120" s="19">
        <v>43552</v>
      </c>
      <c r="C120" s="20">
        <v>0.49818287037037035</v>
      </c>
      <c r="D120" s="18">
        <v>4.3099999999999996</v>
      </c>
      <c r="E120" s="18">
        <v>4.3099999999999996</v>
      </c>
      <c r="F120" s="18">
        <v>4.3099999999999996</v>
      </c>
      <c r="G120" s="18">
        <v>3.75</v>
      </c>
      <c r="H120" s="18">
        <v>3.94</v>
      </c>
      <c r="I120" s="18">
        <v>3.56</v>
      </c>
      <c r="J120" s="18">
        <v>4.63</v>
      </c>
      <c r="K120" s="18">
        <v>4.25</v>
      </c>
      <c r="L120" s="18">
        <v>3.38</v>
      </c>
      <c r="N120" s="4">
        <v>4.04</v>
      </c>
      <c r="O120" s="4">
        <f>N120-'Sonde étalon'!$C$13</f>
        <v>4.21</v>
      </c>
      <c r="R120" s="4">
        <f t="shared" si="69"/>
        <v>9.9999999999999645E-2</v>
      </c>
      <c r="S120" s="4">
        <f t="shared" si="70"/>
        <v>9.9999999999999645E-2</v>
      </c>
      <c r="T120" s="4">
        <f t="shared" si="71"/>
        <v>9.9999999999999645E-2</v>
      </c>
      <c r="U120" s="4">
        <f t="shared" si="72"/>
        <v>-0.45999999999999996</v>
      </c>
      <c r="V120" s="4">
        <f t="shared" si="73"/>
        <v>-0.27</v>
      </c>
      <c r="W120" s="4">
        <f t="shared" si="74"/>
        <v>-0.64999999999999991</v>
      </c>
      <c r="X120" s="4">
        <f t="shared" si="75"/>
        <v>0.41999999999999993</v>
      </c>
      <c r="Y120" s="4">
        <f t="shared" si="76"/>
        <v>4.0000000000000036E-2</v>
      </c>
      <c r="Z120" s="4">
        <f t="shared" si="77"/>
        <v>-0.83000000000000007</v>
      </c>
      <c r="AC120" s="4">
        <f t="shared" si="51"/>
        <v>4.4190999999999994</v>
      </c>
      <c r="AD120" s="4">
        <f t="shared" si="52"/>
        <v>4.5470499999999996</v>
      </c>
      <c r="AE120" s="4">
        <f t="shared" si="53"/>
        <v>4.3998999999999997</v>
      </c>
      <c r="AF120" s="4">
        <f t="shared" si="54"/>
        <v>4.0935999999999995</v>
      </c>
      <c r="AG120" s="4">
        <f t="shared" si="55"/>
        <v>4.3259999999999996</v>
      </c>
      <c r="AH120" s="4">
        <f t="shared" si="56"/>
        <v>3.9219999999999997</v>
      </c>
      <c r="AI120" s="4">
        <f t="shared" si="57"/>
        <v>4.5944500000000001</v>
      </c>
      <c r="AJ120" s="4">
        <f t="shared" si="58"/>
        <v>4.3448000000000002</v>
      </c>
      <c r="AK120" s="4">
        <f t="shared" si="59"/>
        <v>4.0151500000000002</v>
      </c>
      <c r="AN120" s="4">
        <f t="shared" si="60"/>
        <v>0.2090999999999994</v>
      </c>
      <c r="AO120" s="4">
        <f t="shared" si="61"/>
        <v>0.33704999999999963</v>
      </c>
      <c r="AP120" s="4">
        <f t="shared" si="62"/>
        <v>0.18989999999999974</v>
      </c>
      <c r="AQ120" s="4">
        <f t="shared" si="63"/>
        <v>-0.1164000000000005</v>
      </c>
      <c r="AR120" s="4">
        <f t="shared" si="64"/>
        <v>0.11599999999999966</v>
      </c>
      <c r="AS120" s="4">
        <f t="shared" si="65"/>
        <v>-0.28800000000000026</v>
      </c>
      <c r="AT120" s="4">
        <f t="shared" si="66"/>
        <v>0.38445000000000018</v>
      </c>
      <c r="AU120" s="4">
        <f t="shared" si="67"/>
        <v>0.13480000000000025</v>
      </c>
      <c r="AV120" s="4">
        <f t="shared" si="68"/>
        <v>-0.19484999999999975</v>
      </c>
    </row>
    <row r="121" spans="1:48" x14ac:dyDescent="0.25">
      <c r="A121" s="18">
        <v>121</v>
      </c>
      <c r="B121" s="19">
        <v>43552</v>
      </c>
      <c r="C121" s="20">
        <v>0.49887731481481484</v>
      </c>
      <c r="D121" s="18">
        <v>4.3099999999999996</v>
      </c>
      <c r="E121" s="18">
        <v>4.25</v>
      </c>
      <c r="F121" s="18">
        <v>4.25</v>
      </c>
      <c r="G121" s="18">
        <v>3.81</v>
      </c>
      <c r="H121" s="18">
        <v>3.94</v>
      </c>
      <c r="I121" s="18">
        <v>3.63</v>
      </c>
      <c r="J121" s="18">
        <v>4.5599999999999996</v>
      </c>
      <c r="K121" s="18">
        <v>4.25</v>
      </c>
      <c r="L121" s="18">
        <v>3.44</v>
      </c>
      <c r="N121" s="4">
        <v>4.0199999999999996</v>
      </c>
      <c r="O121" s="4">
        <f>N121-'Sonde étalon'!$C$13</f>
        <v>4.1899999999999995</v>
      </c>
      <c r="R121" s="4">
        <f t="shared" si="69"/>
        <v>0.12000000000000011</v>
      </c>
      <c r="S121" s="4">
        <f t="shared" si="70"/>
        <v>6.0000000000000497E-2</v>
      </c>
      <c r="T121" s="4">
        <f t="shared" si="71"/>
        <v>6.0000000000000497E-2</v>
      </c>
      <c r="U121" s="4">
        <f t="shared" si="72"/>
        <v>-0.37999999999999945</v>
      </c>
      <c r="V121" s="4">
        <f t="shared" si="73"/>
        <v>-0.24999999999999956</v>
      </c>
      <c r="W121" s="4">
        <f t="shared" si="74"/>
        <v>-0.55999999999999961</v>
      </c>
      <c r="X121" s="4">
        <f t="shared" si="75"/>
        <v>0.37000000000000011</v>
      </c>
      <c r="Y121" s="4">
        <f t="shared" si="76"/>
        <v>6.0000000000000497E-2</v>
      </c>
      <c r="Z121" s="4">
        <f t="shared" si="77"/>
        <v>-0.74999999999999956</v>
      </c>
      <c r="AC121" s="4">
        <f t="shared" si="51"/>
        <v>4.4190999999999994</v>
      </c>
      <c r="AD121" s="4">
        <f t="shared" si="52"/>
        <v>4.48705</v>
      </c>
      <c r="AE121" s="4">
        <f t="shared" si="53"/>
        <v>4.3399000000000001</v>
      </c>
      <c r="AF121" s="4">
        <f t="shared" si="54"/>
        <v>4.1536</v>
      </c>
      <c r="AG121" s="4">
        <f t="shared" si="55"/>
        <v>4.3259999999999996</v>
      </c>
      <c r="AH121" s="4">
        <f t="shared" si="56"/>
        <v>3.9919999999999995</v>
      </c>
      <c r="AI121" s="4">
        <f t="shared" si="57"/>
        <v>4.5244499999999999</v>
      </c>
      <c r="AJ121" s="4">
        <f t="shared" si="58"/>
        <v>4.3448000000000002</v>
      </c>
      <c r="AK121" s="4">
        <f t="shared" si="59"/>
        <v>4.0751499999999998</v>
      </c>
      <c r="AN121" s="4">
        <f t="shared" si="60"/>
        <v>0.22909999999999986</v>
      </c>
      <c r="AO121" s="4">
        <f t="shared" si="61"/>
        <v>0.29705000000000048</v>
      </c>
      <c r="AP121" s="4">
        <f t="shared" si="62"/>
        <v>0.14990000000000059</v>
      </c>
      <c r="AQ121" s="4">
        <f t="shared" si="63"/>
        <v>-3.6399999999999544E-2</v>
      </c>
      <c r="AR121" s="4">
        <f t="shared" si="64"/>
        <v>0.13600000000000012</v>
      </c>
      <c r="AS121" s="4">
        <f t="shared" si="65"/>
        <v>-0.19799999999999995</v>
      </c>
      <c r="AT121" s="4">
        <f t="shared" si="66"/>
        <v>0.33445000000000036</v>
      </c>
      <c r="AU121" s="4">
        <f t="shared" si="67"/>
        <v>0.15480000000000071</v>
      </c>
      <c r="AV121" s="4">
        <f t="shared" si="68"/>
        <v>-0.11484999999999967</v>
      </c>
    </row>
    <row r="122" spans="1:48" x14ac:dyDescent="0.25">
      <c r="A122" s="18">
        <v>122</v>
      </c>
      <c r="B122" s="19">
        <v>43552</v>
      </c>
      <c r="C122" s="20">
        <v>0.49957175925925923</v>
      </c>
      <c r="D122" s="18">
        <v>4.3099999999999996</v>
      </c>
      <c r="E122" s="18">
        <v>4.25</v>
      </c>
      <c r="F122" s="18">
        <v>4.3099999999999996</v>
      </c>
      <c r="G122" s="18">
        <v>3.88</v>
      </c>
      <c r="H122" s="18">
        <v>3.94</v>
      </c>
      <c r="I122" s="18">
        <v>3.75</v>
      </c>
      <c r="J122" s="18">
        <v>4.63</v>
      </c>
      <c r="K122" s="18">
        <v>4.25</v>
      </c>
      <c r="L122" s="18">
        <v>3.5</v>
      </c>
      <c r="N122" s="4">
        <v>4.04</v>
      </c>
      <c r="O122" s="4">
        <f>N122-'Sonde étalon'!$C$13</f>
        <v>4.21</v>
      </c>
      <c r="R122" s="4">
        <f t="shared" si="69"/>
        <v>9.9999999999999645E-2</v>
      </c>
      <c r="S122" s="4">
        <f t="shared" si="70"/>
        <v>4.0000000000000036E-2</v>
      </c>
      <c r="T122" s="4">
        <f t="shared" si="71"/>
        <v>9.9999999999999645E-2</v>
      </c>
      <c r="U122" s="4">
        <f t="shared" si="72"/>
        <v>-0.33000000000000007</v>
      </c>
      <c r="V122" s="4">
        <f t="shared" si="73"/>
        <v>-0.27</v>
      </c>
      <c r="W122" s="4">
        <f t="shared" si="74"/>
        <v>-0.45999999999999996</v>
      </c>
      <c r="X122" s="4">
        <f t="shared" si="75"/>
        <v>0.41999999999999993</v>
      </c>
      <c r="Y122" s="4">
        <f t="shared" si="76"/>
        <v>4.0000000000000036E-2</v>
      </c>
      <c r="Z122" s="4">
        <f t="shared" si="77"/>
        <v>-0.71</v>
      </c>
      <c r="AC122" s="4">
        <f t="shared" si="51"/>
        <v>4.4190999999999994</v>
      </c>
      <c r="AD122" s="4">
        <f t="shared" si="52"/>
        <v>4.48705</v>
      </c>
      <c r="AE122" s="4">
        <f t="shared" si="53"/>
        <v>4.3998999999999997</v>
      </c>
      <c r="AF122" s="4">
        <f t="shared" si="54"/>
        <v>4.2235999999999994</v>
      </c>
      <c r="AG122" s="4">
        <f t="shared" si="55"/>
        <v>4.3259999999999996</v>
      </c>
      <c r="AH122" s="4">
        <f t="shared" si="56"/>
        <v>4.1120000000000001</v>
      </c>
      <c r="AI122" s="4">
        <f t="shared" si="57"/>
        <v>4.5944500000000001</v>
      </c>
      <c r="AJ122" s="4">
        <f t="shared" si="58"/>
        <v>4.3448000000000002</v>
      </c>
      <c r="AK122" s="4">
        <f t="shared" si="59"/>
        <v>4.1351500000000003</v>
      </c>
      <c r="AN122" s="4">
        <f t="shared" si="60"/>
        <v>0.2090999999999994</v>
      </c>
      <c r="AO122" s="4">
        <f t="shared" si="61"/>
        <v>0.27705000000000002</v>
      </c>
      <c r="AP122" s="4">
        <f t="shared" si="62"/>
        <v>0.18989999999999974</v>
      </c>
      <c r="AQ122" s="4">
        <f t="shared" si="63"/>
        <v>1.359999999999939E-2</v>
      </c>
      <c r="AR122" s="4">
        <f t="shared" si="64"/>
        <v>0.11599999999999966</v>
      </c>
      <c r="AS122" s="4">
        <f t="shared" si="65"/>
        <v>-9.7999999999999865E-2</v>
      </c>
      <c r="AT122" s="4">
        <f t="shared" si="66"/>
        <v>0.38445000000000018</v>
      </c>
      <c r="AU122" s="4">
        <f t="shared" si="67"/>
        <v>0.13480000000000025</v>
      </c>
      <c r="AV122" s="4">
        <f t="shared" si="68"/>
        <v>-7.4849999999999639E-2</v>
      </c>
    </row>
    <row r="123" spans="1:48" x14ac:dyDescent="0.25">
      <c r="A123" s="18">
        <v>123</v>
      </c>
      <c r="B123" s="19">
        <v>43552</v>
      </c>
      <c r="C123" s="20">
        <v>0.50026620370370367</v>
      </c>
      <c r="D123" s="18">
        <v>4.38</v>
      </c>
      <c r="E123" s="18">
        <v>4.3099999999999996</v>
      </c>
      <c r="F123" s="18">
        <v>4.3099999999999996</v>
      </c>
      <c r="G123" s="18">
        <v>3.88</v>
      </c>
      <c r="H123" s="18">
        <v>4</v>
      </c>
      <c r="I123" s="18">
        <v>3.81</v>
      </c>
      <c r="J123" s="18">
        <v>4.63</v>
      </c>
      <c r="K123" s="18">
        <v>4.3099999999999996</v>
      </c>
      <c r="L123" s="18">
        <v>3.56</v>
      </c>
      <c r="N123" s="4">
        <v>4.08</v>
      </c>
      <c r="O123" s="4">
        <f>N123-'Sonde étalon'!$C$13</f>
        <v>4.25</v>
      </c>
      <c r="R123" s="4">
        <f t="shared" si="69"/>
        <v>0.12999999999999989</v>
      </c>
      <c r="S123" s="4">
        <f t="shared" si="70"/>
        <v>5.9999999999999609E-2</v>
      </c>
      <c r="T123" s="4">
        <f t="shared" si="71"/>
        <v>5.9999999999999609E-2</v>
      </c>
      <c r="U123" s="4">
        <f t="shared" si="72"/>
        <v>-0.37000000000000011</v>
      </c>
      <c r="V123" s="4">
        <f t="shared" si="73"/>
        <v>-0.25</v>
      </c>
      <c r="W123" s="4">
        <f t="shared" si="74"/>
        <v>-0.43999999999999995</v>
      </c>
      <c r="X123" s="4">
        <f t="shared" si="75"/>
        <v>0.37999999999999989</v>
      </c>
      <c r="Y123" s="4">
        <f t="shared" si="76"/>
        <v>5.9999999999999609E-2</v>
      </c>
      <c r="Z123" s="4">
        <f t="shared" si="77"/>
        <v>-0.69</v>
      </c>
      <c r="AC123" s="4">
        <f t="shared" si="51"/>
        <v>4.4890999999999996</v>
      </c>
      <c r="AD123" s="4">
        <f t="shared" si="52"/>
        <v>4.5470499999999996</v>
      </c>
      <c r="AE123" s="4">
        <f t="shared" si="53"/>
        <v>4.3998999999999997</v>
      </c>
      <c r="AF123" s="4">
        <f t="shared" si="54"/>
        <v>4.2235999999999994</v>
      </c>
      <c r="AG123" s="4">
        <f t="shared" si="55"/>
        <v>4.3860000000000001</v>
      </c>
      <c r="AH123" s="4">
        <f t="shared" si="56"/>
        <v>4.1719999999999997</v>
      </c>
      <c r="AI123" s="4">
        <f t="shared" si="57"/>
        <v>4.5944500000000001</v>
      </c>
      <c r="AJ123" s="4">
        <f t="shared" si="58"/>
        <v>4.4047999999999998</v>
      </c>
      <c r="AK123" s="4">
        <f t="shared" si="59"/>
        <v>4.1951499999999999</v>
      </c>
      <c r="AN123" s="4">
        <f t="shared" si="60"/>
        <v>0.23909999999999965</v>
      </c>
      <c r="AO123" s="4">
        <f t="shared" si="61"/>
        <v>0.29704999999999959</v>
      </c>
      <c r="AP123" s="4">
        <f t="shared" si="62"/>
        <v>0.1498999999999997</v>
      </c>
      <c r="AQ123" s="4">
        <f t="shared" si="63"/>
        <v>-2.6400000000000645E-2</v>
      </c>
      <c r="AR123" s="4">
        <f t="shared" si="64"/>
        <v>0.13600000000000012</v>
      </c>
      <c r="AS123" s="4">
        <f t="shared" si="65"/>
        <v>-7.8000000000000291E-2</v>
      </c>
      <c r="AT123" s="4">
        <f t="shared" si="66"/>
        <v>0.34445000000000014</v>
      </c>
      <c r="AU123" s="4">
        <f t="shared" si="67"/>
        <v>0.15479999999999983</v>
      </c>
      <c r="AV123" s="4">
        <f t="shared" si="68"/>
        <v>-5.4850000000000065E-2</v>
      </c>
    </row>
    <row r="124" spans="1:48" x14ac:dyDescent="0.25">
      <c r="A124" s="18">
        <v>124</v>
      </c>
      <c r="B124" s="19">
        <v>43552</v>
      </c>
      <c r="C124" s="20">
        <v>0.50096064814814811</v>
      </c>
      <c r="D124" s="18">
        <v>4.38</v>
      </c>
      <c r="E124" s="18">
        <v>4.3099999999999996</v>
      </c>
      <c r="F124" s="18">
        <v>4.38</v>
      </c>
      <c r="G124" s="18">
        <v>4</v>
      </c>
      <c r="H124" s="18">
        <v>4.0599999999999996</v>
      </c>
      <c r="I124" s="18">
        <v>3.88</v>
      </c>
      <c r="J124" s="18">
        <v>4.6900000000000004</v>
      </c>
      <c r="K124" s="18">
        <v>4.38</v>
      </c>
      <c r="L124" s="18">
        <v>3.69</v>
      </c>
      <c r="N124" s="4">
        <v>4.13</v>
      </c>
      <c r="O124" s="4">
        <f>N124-'Sonde étalon'!$C$13</f>
        <v>4.3</v>
      </c>
      <c r="R124" s="4">
        <f t="shared" si="69"/>
        <v>8.0000000000000071E-2</v>
      </c>
      <c r="S124" s="4">
        <f t="shared" si="70"/>
        <v>9.9999999999997868E-3</v>
      </c>
      <c r="T124" s="4">
        <f t="shared" si="71"/>
        <v>8.0000000000000071E-2</v>
      </c>
      <c r="U124" s="4">
        <f t="shared" si="72"/>
        <v>-0.29999999999999982</v>
      </c>
      <c r="V124" s="4">
        <f t="shared" si="73"/>
        <v>-0.24000000000000021</v>
      </c>
      <c r="W124" s="4">
        <f t="shared" si="74"/>
        <v>-0.41999999999999993</v>
      </c>
      <c r="X124" s="4">
        <f t="shared" si="75"/>
        <v>0.39000000000000057</v>
      </c>
      <c r="Y124" s="4">
        <f t="shared" si="76"/>
        <v>8.0000000000000071E-2</v>
      </c>
      <c r="Z124" s="4">
        <f t="shared" si="77"/>
        <v>-0.60999999999999988</v>
      </c>
      <c r="AC124" s="4">
        <f t="shared" si="51"/>
        <v>4.4890999999999996</v>
      </c>
      <c r="AD124" s="4">
        <f t="shared" si="52"/>
        <v>4.5470499999999996</v>
      </c>
      <c r="AE124" s="4">
        <f t="shared" si="53"/>
        <v>4.4699</v>
      </c>
      <c r="AF124" s="4">
        <f t="shared" si="54"/>
        <v>4.3435999999999995</v>
      </c>
      <c r="AG124" s="4">
        <f t="shared" si="55"/>
        <v>4.4459999999999997</v>
      </c>
      <c r="AH124" s="4">
        <f t="shared" si="56"/>
        <v>4.242</v>
      </c>
      <c r="AI124" s="4">
        <f t="shared" si="57"/>
        <v>4.6544500000000006</v>
      </c>
      <c r="AJ124" s="4">
        <f t="shared" si="58"/>
        <v>4.4748000000000001</v>
      </c>
      <c r="AK124" s="4">
        <f t="shared" si="59"/>
        <v>4.3251499999999998</v>
      </c>
      <c r="AN124" s="4">
        <f t="shared" si="60"/>
        <v>0.18909999999999982</v>
      </c>
      <c r="AO124" s="4">
        <f t="shared" si="61"/>
        <v>0.24704999999999977</v>
      </c>
      <c r="AP124" s="4">
        <f t="shared" si="62"/>
        <v>0.16990000000000016</v>
      </c>
      <c r="AQ124" s="4">
        <f t="shared" si="63"/>
        <v>4.3599999999999639E-2</v>
      </c>
      <c r="AR124" s="4">
        <f t="shared" si="64"/>
        <v>0.14599999999999991</v>
      </c>
      <c r="AS124" s="4">
        <f t="shared" si="65"/>
        <v>-5.7999999999999829E-2</v>
      </c>
      <c r="AT124" s="4">
        <f t="shared" si="66"/>
        <v>0.35445000000000082</v>
      </c>
      <c r="AU124" s="4">
        <f t="shared" si="67"/>
        <v>0.17480000000000029</v>
      </c>
      <c r="AV124" s="4">
        <f t="shared" si="68"/>
        <v>2.5150000000000006E-2</v>
      </c>
    </row>
    <row r="125" spans="1:48" x14ac:dyDescent="0.25">
      <c r="A125" s="18">
        <v>125</v>
      </c>
      <c r="B125" s="19">
        <v>43552</v>
      </c>
      <c r="C125" s="20">
        <v>0.50165509259259256</v>
      </c>
      <c r="D125" s="18">
        <v>4.4400000000000004</v>
      </c>
      <c r="E125" s="18">
        <v>4.38</v>
      </c>
      <c r="F125" s="18">
        <v>4.4400000000000004</v>
      </c>
      <c r="G125" s="18">
        <v>4.0599999999999996</v>
      </c>
      <c r="H125" s="18">
        <v>4.13</v>
      </c>
      <c r="I125" s="18">
        <v>4</v>
      </c>
      <c r="J125" s="18">
        <v>4.6900000000000004</v>
      </c>
      <c r="K125" s="18">
        <v>4.4400000000000004</v>
      </c>
      <c r="L125" s="18">
        <v>3.75</v>
      </c>
      <c r="N125" s="4">
        <v>4.2</v>
      </c>
      <c r="O125" s="4">
        <f>N125-'Sonde étalon'!$C$13</f>
        <v>4.37</v>
      </c>
      <c r="R125" s="4">
        <f t="shared" si="69"/>
        <v>7.0000000000000284E-2</v>
      </c>
      <c r="S125" s="4">
        <f t="shared" si="70"/>
        <v>9.9999999999997868E-3</v>
      </c>
      <c r="T125" s="4">
        <f t="shared" si="71"/>
        <v>7.0000000000000284E-2</v>
      </c>
      <c r="U125" s="4">
        <f t="shared" si="72"/>
        <v>-0.3100000000000005</v>
      </c>
      <c r="V125" s="4">
        <f t="shared" si="73"/>
        <v>-0.24000000000000021</v>
      </c>
      <c r="W125" s="4">
        <f t="shared" si="74"/>
        <v>-0.37000000000000011</v>
      </c>
      <c r="X125" s="4">
        <f t="shared" si="75"/>
        <v>0.32000000000000028</v>
      </c>
      <c r="Y125" s="4">
        <f t="shared" si="76"/>
        <v>7.0000000000000284E-2</v>
      </c>
      <c r="Z125" s="4">
        <f t="shared" si="77"/>
        <v>-0.62000000000000011</v>
      </c>
      <c r="AC125" s="4">
        <f t="shared" si="51"/>
        <v>4.5491000000000001</v>
      </c>
      <c r="AD125" s="4">
        <f t="shared" si="52"/>
        <v>4.6170499999999999</v>
      </c>
      <c r="AE125" s="4">
        <f t="shared" si="53"/>
        <v>4.5299000000000005</v>
      </c>
      <c r="AF125" s="4">
        <f t="shared" si="54"/>
        <v>4.4035999999999991</v>
      </c>
      <c r="AG125" s="4">
        <f t="shared" si="55"/>
        <v>4.516</v>
      </c>
      <c r="AH125" s="4">
        <f t="shared" si="56"/>
        <v>4.3620000000000001</v>
      </c>
      <c r="AI125" s="4">
        <f t="shared" si="57"/>
        <v>4.6544500000000006</v>
      </c>
      <c r="AJ125" s="4">
        <f t="shared" si="58"/>
        <v>4.5348000000000006</v>
      </c>
      <c r="AK125" s="4">
        <f t="shared" si="59"/>
        <v>4.3851500000000003</v>
      </c>
      <c r="AN125" s="4">
        <f t="shared" si="60"/>
        <v>0.17910000000000004</v>
      </c>
      <c r="AO125" s="4">
        <f t="shared" si="61"/>
        <v>0.24704999999999977</v>
      </c>
      <c r="AP125" s="4">
        <f t="shared" si="62"/>
        <v>0.15990000000000038</v>
      </c>
      <c r="AQ125" s="4">
        <f t="shared" si="63"/>
        <v>3.3599999999998964E-2</v>
      </c>
      <c r="AR125" s="4">
        <f t="shared" si="64"/>
        <v>0.14599999999999991</v>
      </c>
      <c r="AS125" s="4">
        <f t="shared" si="65"/>
        <v>-8.0000000000000071E-3</v>
      </c>
      <c r="AT125" s="4">
        <f t="shared" si="66"/>
        <v>0.28445000000000054</v>
      </c>
      <c r="AU125" s="4">
        <f t="shared" si="67"/>
        <v>0.1648000000000005</v>
      </c>
      <c r="AV125" s="4">
        <f t="shared" si="68"/>
        <v>1.5150000000000219E-2</v>
      </c>
    </row>
    <row r="126" spans="1:48" x14ac:dyDescent="0.25">
      <c r="A126" s="18">
        <v>126</v>
      </c>
      <c r="B126" s="19">
        <v>43552</v>
      </c>
      <c r="C126" s="20">
        <v>0.50234953703703711</v>
      </c>
      <c r="D126" s="18">
        <v>4.5</v>
      </c>
      <c r="E126" s="18">
        <v>4.4400000000000004</v>
      </c>
      <c r="F126" s="18">
        <v>4.5</v>
      </c>
      <c r="G126" s="18">
        <v>4.13</v>
      </c>
      <c r="H126" s="18">
        <v>4.1900000000000004</v>
      </c>
      <c r="I126" s="18">
        <v>4.0599999999999996</v>
      </c>
      <c r="J126" s="18">
        <v>4.75</v>
      </c>
      <c r="K126" s="18">
        <v>4.5</v>
      </c>
      <c r="L126" s="18">
        <v>3.81</v>
      </c>
      <c r="N126" s="4">
        <v>4.2699999999999996</v>
      </c>
      <c r="O126" s="4">
        <f>N126-'Sonde étalon'!$C$13</f>
        <v>4.4399999999999995</v>
      </c>
      <c r="R126" s="4">
        <f t="shared" si="69"/>
        <v>6.0000000000000497E-2</v>
      </c>
      <c r="S126" s="4">
        <f t="shared" si="70"/>
        <v>0</v>
      </c>
      <c r="T126" s="4">
        <f t="shared" si="71"/>
        <v>6.0000000000000497E-2</v>
      </c>
      <c r="U126" s="4">
        <f t="shared" si="72"/>
        <v>-0.30999999999999961</v>
      </c>
      <c r="V126" s="4">
        <f t="shared" si="73"/>
        <v>-0.24999999999999911</v>
      </c>
      <c r="W126" s="4">
        <f t="shared" si="74"/>
        <v>-0.37999999999999989</v>
      </c>
      <c r="X126" s="4">
        <f t="shared" si="75"/>
        <v>0.3100000000000005</v>
      </c>
      <c r="Y126" s="4">
        <f t="shared" si="76"/>
        <v>6.0000000000000497E-2</v>
      </c>
      <c r="Z126" s="4">
        <f t="shared" si="77"/>
        <v>-0.62999999999999945</v>
      </c>
      <c r="AC126" s="4">
        <f t="shared" si="51"/>
        <v>4.6090999999999998</v>
      </c>
      <c r="AD126" s="4">
        <f t="shared" si="52"/>
        <v>4.6770500000000004</v>
      </c>
      <c r="AE126" s="4">
        <f t="shared" si="53"/>
        <v>4.5899000000000001</v>
      </c>
      <c r="AF126" s="4">
        <f t="shared" si="54"/>
        <v>4.4735999999999994</v>
      </c>
      <c r="AG126" s="4">
        <f t="shared" si="55"/>
        <v>4.5760000000000005</v>
      </c>
      <c r="AH126" s="4">
        <f t="shared" si="56"/>
        <v>4.4219999999999997</v>
      </c>
      <c r="AI126" s="4">
        <f t="shared" si="57"/>
        <v>4.7144500000000003</v>
      </c>
      <c r="AJ126" s="4">
        <f t="shared" si="58"/>
        <v>4.5948000000000002</v>
      </c>
      <c r="AK126" s="4">
        <f t="shared" si="59"/>
        <v>4.4451499999999999</v>
      </c>
      <c r="AN126" s="4">
        <f t="shared" si="60"/>
        <v>0.16910000000000025</v>
      </c>
      <c r="AO126" s="4">
        <f t="shared" si="61"/>
        <v>0.23705000000000087</v>
      </c>
      <c r="AP126" s="4">
        <f t="shared" si="62"/>
        <v>0.14990000000000059</v>
      </c>
      <c r="AQ126" s="4">
        <f t="shared" si="63"/>
        <v>3.3599999999999852E-2</v>
      </c>
      <c r="AR126" s="4">
        <f t="shared" si="64"/>
        <v>0.13600000000000101</v>
      </c>
      <c r="AS126" s="4">
        <f t="shared" si="65"/>
        <v>-1.7999999999999794E-2</v>
      </c>
      <c r="AT126" s="4">
        <f t="shared" si="66"/>
        <v>0.27445000000000075</v>
      </c>
      <c r="AU126" s="4">
        <f t="shared" si="67"/>
        <v>0.15480000000000071</v>
      </c>
      <c r="AV126" s="4">
        <f t="shared" si="68"/>
        <v>5.150000000000432E-3</v>
      </c>
    </row>
    <row r="127" spans="1:48" x14ac:dyDescent="0.25">
      <c r="A127" s="18">
        <v>127</v>
      </c>
      <c r="B127" s="19">
        <v>43552</v>
      </c>
      <c r="C127" s="20">
        <v>0.50304398148148144</v>
      </c>
      <c r="D127" s="18">
        <v>4.63</v>
      </c>
      <c r="E127" s="18">
        <v>4.5</v>
      </c>
      <c r="F127" s="18">
        <v>4.63</v>
      </c>
      <c r="G127" s="18">
        <v>4.25</v>
      </c>
      <c r="H127" s="18">
        <v>4.25</v>
      </c>
      <c r="I127" s="18">
        <v>4.1900000000000004</v>
      </c>
      <c r="J127" s="18">
        <v>4.8099999999999996</v>
      </c>
      <c r="K127" s="18">
        <v>4.5599999999999996</v>
      </c>
      <c r="L127" s="18">
        <v>3.94</v>
      </c>
      <c r="N127" s="4">
        <v>4.3499999999999996</v>
      </c>
      <c r="O127" s="4">
        <f>N127-'Sonde étalon'!$C$13</f>
        <v>4.5199999999999996</v>
      </c>
      <c r="R127" s="4">
        <f t="shared" si="69"/>
        <v>0.11000000000000032</v>
      </c>
      <c r="S127" s="4">
        <f t="shared" si="70"/>
        <v>-1.9999999999999574E-2</v>
      </c>
      <c r="T127" s="4">
        <f t="shared" si="71"/>
        <v>0.11000000000000032</v>
      </c>
      <c r="U127" s="4">
        <f t="shared" si="72"/>
        <v>-0.26999999999999957</v>
      </c>
      <c r="V127" s="4">
        <f t="shared" si="73"/>
        <v>-0.26999999999999957</v>
      </c>
      <c r="W127" s="4">
        <f t="shared" si="74"/>
        <v>-0.32999999999999918</v>
      </c>
      <c r="X127" s="4">
        <f t="shared" si="75"/>
        <v>0.29000000000000004</v>
      </c>
      <c r="Y127" s="4">
        <f t="shared" si="76"/>
        <v>4.0000000000000036E-2</v>
      </c>
      <c r="Z127" s="4">
        <f t="shared" si="77"/>
        <v>-0.57999999999999963</v>
      </c>
      <c r="AC127" s="4">
        <f t="shared" si="51"/>
        <v>4.7390999999999996</v>
      </c>
      <c r="AD127" s="4">
        <f t="shared" si="52"/>
        <v>4.73705</v>
      </c>
      <c r="AE127" s="4">
        <f t="shared" si="53"/>
        <v>4.7199</v>
      </c>
      <c r="AF127" s="4">
        <f t="shared" si="54"/>
        <v>4.5935999999999995</v>
      </c>
      <c r="AG127" s="4">
        <f t="shared" si="55"/>
        <v>4.6360000000000001</v>
      </c>
      <c r="AH127" s="4">
        <f t="shared" si="56"/>
        <v>4.5520000000000005</v>
      </c>
      <c r="AI127" s="4">
        <f t="shared" si="57"/>
        <v>4.7744499999999999</v>
      </c>
      <c r="AJ127" s="4">
        <f t="shared" si="58"/>
        <v>4.6547999999999998</v>
      </c>
      <c r="AK127" s="4">
        <f t="shared" si="59"/>
        <v>4.5751499999999998</v>
      </c>
      <c r="AN127" s="4">
        <f t="shared" si="60"/>
        <v>0.21910000000000007</v>
      </c>
      <c r="AO127" s="4">
        <f t="shared" si="61"/>
        <v>0.21705000000000041</v>
      </c>
      <c r="AP127" s="4">
        <f t="shared" si="62"/>
        <v>0.19990000000000041</v>
      </c>
      <c r="AQ127" s="4">
        <f t="shared" si="63"/>
        <v>7.3599999999999888E-2</v>
      </c>
      <c r="AR127" s="4">
        <f t="shared" si="64"/>
        <v>0.11600000000000055</v>
      </c>
      <c r="AS127" s="4">
        <f t="shared" si="65"/>
        <v>3.2000000000000917E-2</v>
      </c>
      <c r="AT127" s="4">
        <f t="shared" si="66"/>
        <v>0.25445000000000029</v>
      </c>
      <c r="AU127" s="4">
        <f t="shared" si="67"/>
        <v>0.13480000000000025</v>
      </c>
      <c r="AV127" s="4">
        <f t="shared" si="68"/>
        <v>5.5150000000000254E-2</v>
      </c>
    </row>
    <row r="128" spans="1:48" x14ac:dyDescent="0.25">
      <c r="A128" s="18">
        <v>128</v>
      </c>
      <c r="B128" s="19">
        <v>43552</v>
      </c>
      <c r="C128" s="20">
        <v>0.50373842592592599</v>
      </c>
      <c r="D128" s="18">
        <v>4.6900000000000004</v>
      </c>
      <c r="E128" s="18">
        <v>4.5599999999999996</v>
      </c>
      <c r="F128" s="18">
        <v>4.6900000000000004</v>
      </c>
      <c r="G128" s="18">
        <v>4.3099999999999996</v>
      </c>
      <c r="H128" s="18">
        <v>4.3099999999999996</v>
      </c>
      <c r="I128" s="18">
        <v>4.3099999999999996</v>
      </c>
      <c r="J128" s="18">
        <v>4.88</v>
      </c>
      <c r="K128" s="18">
        <v>4.6900000000000004</v>
      </c>
      <c r="L128" s="18">
        <v>4</v>
      </c>
      <c r="N128" s="4">
        <v>4.43</v>
      </c>
      <c r="O128" s="4">
        <f>N128-'Sonde étalon'!$C$13</f>
        <v>4.5999999999999996</v>
      </c>
      <c r="R128" s="4">
        <f t="shared" si="69"/>
        <v>9.0000000000000746E-2</v>
      </c>
      <c r="S128" s="4">
        <f t="shared" si="70"/>
        <v>-4.0000000000000036E-2</v>
      </c>
      <c r="T128" s="4">
        <f t="shared" si="71"/>
        <v>9.0000000000000746E-2</v>
      </c>
      <c r="U128" s="4">
        <f t="shared" si="72"/>
        <v>-0.29000000000000004</v>
      </c>
      <c r="V128" s="4">
        <f t="shared" si="73"/>
        <v>-0.29000000000000004</v>
      </c>
      <c r="W128" s="4">
        <f t="shared" si="74"/>
        <v>-0.29000000000000004</v>
      </c>
      <c r="X128" s="4">
        <f t="shared" si="75"/>
        <v>0.28000000000000025</v>
      </c>
      <c r="Y128" s="4">
        <f t="shared" si="76"/>
        <v>9.0000000000000746E-2</v>
      </c>
      <c r="Z128" s="4">
        <f t="shared" si="77"/>
        <v>-0.59999999999999964</v>
      </c>
      <c r="AC128" s="4">
        <f t="shared" si="51"/>
        <v>4.7991000000000001</v>
      </c>
      <c r="AD128" s="4">
        <f t="shared" si="52"/>
        <v>4.7970499999999996</v>
      </c>
      <c r="AE128" s="4">
        <f t="shared" si="53"/>
        <v>4.7799000000000005</v>
      </c>
      <c r="AF128" s="4">
        <f t="shared" si="54"/>
        <v>4.6535999999999991</v>
      </c>
      <c r="AG128" s="4">
        <f t="shared" si="55"/>
        <v>4.6959999999999997</v>
      </c>
      <c r="AH128" s="4">
        <f t="shared" si="56"/>
        <v>4.6719999999999997</v>
      </c>
      <c r="AI128" s="4">
        <f t="shared" si="57"/>
        <v>4.8444500000000001</v>
      </c>
      <c r="AJ128" s="4">
        <f t="shared" si="58"/>
        <v>4.7848000000000006</v>
      </c>
      <c r="AK128" s="4">
        <f t="shared" si="59"/>
        <v>4.6351500000000003</v>
      </c>
      <c r="AN128" s="4">
        <f t="shared" si="60"/>
        <v>0.1991000000000005</v>
      </c>
      <c r="AO128" s="4">
        <f t="shared" si="61"/>
        <v>0.19704999999999995</v>
      </c>
      <c r="AP128" s="4">
        <f t="shared" si="62"/>
        <v>0.17990000000000084</v>
      </c>
      <c r="AQ128" s="4">
        <f t="shared" si="63"/>
        <v>5.3599999999999426E-2</v>
      </c>
      <c r="AR128" s="4">
        <f t="shared" si="64"/>
        <v>9.6000000000000085E-2</v>
      </c>
      <c r="AS128" s="4">
        <f t="shared" si="65"/>
        <v>7.2000000000000064E-2</v>
      </c>
      <c r="AT128" s="4">
        <f t="shared" si="66"/>
        <v>0.2444500000000005</v>
      </c>
      <c r="AU128" s="4">
        <f t="shared" si="67"/>
        <v>0.18480000000000096</v>
      </c>
      <c r="AV128" s="4">
        <f t="shared" si="68"/>
        <v>3.5150000000000681E-2</v>
      </c>
    </row>
    <row r="129" spans="1:48" x14ac:dyDescent="0.25">
      <c r="A129" s="18">
        <v>129</v>
      </c>
      <c r="B129" s="19">
        <v>43552</v>
      </c>
      <c r="C129" s="20">
        <v>0.50443287037037032</v>
      </c>
      <c r="D129" s="18">
        <v>4.75</v>
      </c>
      <c r="E129" s="18">
        <v>4.63</v>
      </c>
      <c r="F129" s="18">
        <v>4.75</v>
      </c>
      <c r="G129" s="18">
        <v>4.4400000000000004</v>
      </c>
      <c r="H129" s="18">
        <v>4.38</v>
      </c>
      <c r="I129" s="18">
        <v>4.38</v>
      </c>
      <c r="J129" s="18">
        <v>4.9400000000000004</v>
      </c>
      <c r="K129" s="18">
        <v>4.75</v>
      </c>
      <c r="L129" s="18">
        <v>4.13</v>
      </c>
      <c r="N129" s="4">
        <v>4.5199999999999996</v>
      </c>
      <c r="O129" s="4">
        <f>N129-'Sonde étalon'!$C$13</f>
        <v>4.6899999999999995</v>
      </c>
      <c r="R129" s="4">
        <f t="shared" si="69"/>
        <v>6.0000000000000497E-2</v>
      </c>
      <c r="S129" s="4">
        <f t="shared" si="70"/>
        <v>-5.9999999999999609E-2</v>
      </c>
      <c r="T129" s="4">
        <f t="shared" si="71"/>
        <v>6.0000000000000497E-2</v>
      </c>
      <c r="U129" s="4">
        <f t="shared" si="72"/>
        <v>-0.24999999999999911</v>
      </c>
      <c r="V129" s="4">
        <f t="shared" si="73"/>
        <v>-0.30999999999999961</v>
      </c>
      <c r="W129" s="4">
        <f t="shared" si="74"/>
        <v>-0.30999999999999961</v>
      </c>
      <c r="X129" s="4">
        <f t="shared" si="75"/>
        <v>0.25000000000000089</v>
      </c>
      <c r="Y129" s="4">
        <f t="shared" si="76"/>
        <v>6.0000000000000497E-2</v>
      </c>
      <c r="Z129" s="4">
        <f t="shared" si="77"/>
        <v>-0.55999999999999961</v>
      </c>
      <c r="AC129" s="4">
        <f t="shared" si="51"/>
        <v>4.8590999999999998</v>
      </c>
      <c r="AD129" s="4">
        <f t="shared" si="52"/>
        <v>4.8670499999999999</v>
      </c>
      <c r="AE129" s="4">
        <f t="shared" si="53"/>
        <v>4.8399000000000001</v>
      </c>
      <c r="AF129" s="4">
        <f t="shared" si="54"/>
        <v>4.7835999999999999</v>
      </c>
      <c r="AG129" s="4">
        <f t="shared" si="55"/>
        <v>4.766</v>
      </c>
      <c r="AH129" s="4">
        <f t="shared" si="56"/>
        <v>4.742</v>
      </c>
      <c r="AI129" s="4">
        <f t="shared" si="57"/>
        <v>4.9044500000000006</v>
      </c>
      <c r="AJ129" s="4">
        <f t="shared" si="58"/>
        <v>4.8448000000000002</v>
      </c>
      <c r="AK129" s="4">
        <f t="shared" si="59"/>
        <v>4.7651500000000002</v>
      </c>
      <c r="AN129" s="4">
        <f t="shared" si="60"/>
        <v>0.16910000000000025</v>
      </c>
      <c r="AO129" s="4">
        <f t="shared" si="61"/>
        <v>0.17705000000000037</v>
      </c>
      <c r="AP129" s="4">
        <f t="shared" si="62"/>
        <v>0.14990000000000059</v>
      </c>
      <c r="AQ129" s="4">
        <f t="shared" si="63"/>
        <v>9.360000000000035E-2</v>
      </c>
      <c r="AR129" s="4">
        <f t="shared" si="64"/>
        <v>7.6000000000000512E-2</v>
      </c>
      <c r="AS129" s="4">
        <f t="shared" si="65"/>
        <v>5.200000000000049E-2</v>
      </c>
      <c r="AT129" s="4">
        <f t="shared" si="66"/>
        <v>0.21445000000000114</v>
      </c>
      <c r="AU129" s="4">
        <f t="shared" si="67"/>
        <v>0.15480000000000071</v>
      </c>
      <c r="AV129" s="4">
        <f t="shared" si="68"/>
        <v>7.5150000000000716E-2</v>
      </c>
    </row>
    <row r="130" spans="1:48" x14ac:dyDescent="0.25">
      <c r="A130" s="18">
        <v>130</v>
      </c>
      <c r="B130" s="19">
        <v>43552</v>
      </c>
      <c r="C130" s="20">
        <v>0.50512731481481488</v>
      </c>
      <c r="D130" s="18">
        <v>4.8099999999999996</v>
      </c>
      <c r="E130" s="18">
        <v>4.6900000000000004</v>
      </c>
      <c r="F130" s="18">
        <v>4.8099999999999996</v>
      </c>
      <c r="G130" s="18">
        <v>4.5</v>
      </c>
      <c r="H130" s="18">
        <v>4.5</v>
      </c>
      <c r="I130" s="18">
        <v>4.5</v>
      </c>
      <c r="J130" s="18">
        <v>5</v>
      </c>
      <c r="K130" s="18">
        <v>4.8099999999999996</v>
      </c>
      <c r="L130" s="18">
        <v>4.1900000000000004</v>
      </c>
      <c r="N130" s="4">
        <v>4.59</v>
      </c>
      <c r="O130" s="4">
        <f>N130-'Sonde étalon'!$C$13</f>
        <v>4.76</v>
      </c>
      <c r="R130" s="4">
        <f t="shared" si="69"/>
        <v>4.9999999999999822E-2</v>
      </c>
      <c r="S130" s="4">
        <f t="shared" si="70"/>
        <v>-6.9999999999999396E-2</v>
      </c>
      <c r="T130" s="4">
        <f t="shared" si="71"/>
        <v>4.9999999999999822E-2</v>
      </c>
      <c r="U130" s="4">
        <f t="shared" si="72"/>
        <v>-0.25999999999999979</v>
      </c>
      <c r="V130" s="4">
        <f t="shared" si="73"/>
        <v>-0.25999999999999979</v>
      </c>
      <c r="W130" s="4">
        <f t="shared" si="74"/>
        <v>-0.25999999999999979</v>
      </c>
      <c r="X130" s="4">
        <f t="shared" si="75"/>
        <v>0.24000000000000021</v>
      </c>
      <c r="Y130" s="4">
        <f t="shared" si="76"/>
        <v>4.9999999999999822E-2</v>
      </c>
      <c r="Z130" s="4">
        <f t="shared" si="77"/>
        <v>-0.5699999999999994</v>
      </c>
      <c r="AC130" s="4">
        <f t="shared" si="51"/>
        <v>4.9190999999999994</v>
      </c>
      <c r="AD130" s="4">
        <f t="shared" si="52"/>
        <v>4.9270500000000004</v>
      </c>
      <c r="AE130" s="4">
        <f t="shared" si="53"/>
        <v>4.8998999999999997</v>
      </c>
      <c r="AF130" s="4">
        <f t="shared" si="54"/>
        <v>4.8435999999999995</v>
      </c>
      <c r="AG130" s="4">
        <f t="shared" si="55"/>
        <v>4.8860000000000001</v>
      </c>
      <c r="AH130" s="4">
        <f t="shared" si="56"/>
        <v>4.8620000000000001</v>
      </c>
      <c r="AI130" s="4">
        <f t="shared" si="57"/>
        <v>4.9644500000000003</v>
      </c>
      <c r="AJ130" s="4">
        <f t="shared" si="58"/>
        <v>4.9047999999999998</v>
      </c>
      <c r="AK130" s="4">
        <f t="shared" si="59"/>
        <v>4.8251500000000007</v>
      </c>
      <c r="AN130" s="4">
        <f t="shared" si="60"/>
        <v>0.15909999999999958</v>
      </c>
      <c r="AO130" s="4">
        <f t="shared" si="61"/>
        <v>0.16705000000000059</v>
      </c>
      <c r="AP130" s="4">
        <f t="shared" si="62"/>
        <v>0.13989999999999991</v>
      </c>
      <c r="AQ130" s="4">
        <f t="shared" si="63"/>
        <v>8.3599999999999675E-2</v>
      </c>
      <c r="AR130" s="4">
        <f t="shared" si="64"/>
        <v>0.12600000000000033</v>
      </c>
      <c r="AS130" s="4">
        <f t="shared" si="65"/>
        <v>0.10200000000000031</v>
      </c>
      <c r="AT130" s="4">
        <f t="shared" si="66"/>
        <v>0.20445000000000046</v>
      </c>
      <c r="AU130" s="4">
        <f t="shared" si="67"/>
        <v>0.14480000000000004</v>
      </c>
      <c r="AV130" s="4">
        <f t="shared" si="68"/>
        <v>6.5150000000000929E-2</v>
      </c>
    </row>
    <row r="131" spans="1:48" x14ac:dyDescent="0.25">
      <c r="A131" s="18">
        <v>131</v>
      </c>
      <c r="B131" s="19">
        <v>43552</v>
      </c>
      <c r="C131" s="20">
        <v>0.50582175925925921</v>
      </c>
      <c r="D131" s="18">
        <v>4.88</v>
      </c>
      <c r="E131" s="18">
        <v>4.75</v>
      </c>
      <c r="F131" s="18">
        <v>4.9400000000000004</v>
      </c>
      <c r="G131" s="18">
        <v>4.63</v>
      </c>
      <c r="H131" s="18">
        <v>4.5599999999999996</v>
      </c>
      <c r="I131" s="18">
        <v>4.5599999999999996</v>
      </c>
      <c r="J131" s="18">
        <v>5.0599999999999996</v>
      </c>
      <c r="K131" s="18">
        <v>4.9400000000000004</v>
      </c>
      <c r="L131" s="18">
        <v>4.3099999999999996</v>
      </c>
      <c r="N131" s="4">
        <v>4.68</v>
      </c>
      <c r="O131" s="4">
        <f>N131-'Sonde étalon'!$C$13</f>
        <v>4.8499999999999996</v>
      </c>
      <c r="R131" s="4">
        <f t="shared" si="69"/>
        <v>3.0000000000000249E-2</v>
      </c>
      <c r="S131" s="4">
        <f t="shared" si="70"/>
        <v>-9.9999999999999645E-2</v>
      </c>
      <c r="T131" s="4">
        <f t="shared" si="71"/>
        <v>9.0000000000000746E-2</v>
      </c>
      <c r="U131" s="4">
        <f t="shared" si="72"/>
        <v>-0.21999999999999975</v>
      </c>
      <c r="V131" s="4">
        <f t="shared" si="73"/>
        <v>-0.29000000000000004</v>
      </c>
      <c r="W131" s="4">
        <f t="shared" si="74"/>
        <v>-0.29000000000000004</v>
      </c>
      <c r="X131" s="4">
        <f t="shared" si="75"/>
        <v>0.20999999999999996</v>
      </c>
      <c r="Y131" s="4">
        <f t="shared" si="76"/>
        <v>9.0000000000000746E-2</v>
      </c>
      <c r="Z131" s="4">
        <f t="shared" si="77"/>
        <v>-0.54</v>
      </c>
      <c r="AC131" s="4">
        <f t="shared" si="51"/>
        <v>4.9890999999999996</v>
      </c>
      <c r="AD131" s="4">
        <f t="shared" si="52"/>
        <v>4.98705</v>
      </c>
      <c r="AE131" s="4">
        <f t="shared" si="53"/>
        <v>5.0299000000000005</v>
      </c>
      <c r="AF131" s="4">
        <f t="shared" si="54"/>
        <v>4.9735999999999994</v>
      </c>
      <c r="AG131" s="4">
        <f t="shared" si="55"/>
        <v>4.9459999999999997</v>
      </c>
      <c r="AH131" s="4">
        <f t="shared" si="56"/>
        <v>4.9219999999999997</v>
      </c>
      <c r="AI131" s="4">
        <f t="shared" si="57"/>
        <v>5.0244499999999999</v>
      </c>
      <c r="AJ131" s="4">
        <f t="shared" si="58"/>
        <v>5.0348000000000006</v>
      </c>
      <c r="AK131" s="4">
        <f t="shared" si="59"/>
        <v>4.9451499999999999</v>
      </c>
      <c r="AN131" s="4">
        <f t="shared" si="60"/>
        <v>0.1391</v>
      </c>
      <c r="AO131" s="4">
        <f t="shared" si="61"/>
        <v>0.13705000000000034</v>
      </c>
      <c r="AP131" s="4">
        <f t="shared" si="62"/>
        <v>0.17990000000000084</v>
      </c>
      <c r="AQ131" s="4">
        <f t="shared" si="63"/>
        <v>0.12359999999999971</v>
      </c>
      <c r="AR131" s="4">
        <f t="shared" si="64"/>
        <v>9.6000000000000085E-2</v>
      </c>
      <c r="AS131" s="4">
        <f t="shared" si="65"/>
        <v>7.2000000000000064E-2</v>
      </c>
      <c r="AT131" s="4">
        <f t="shared" si="66"/>
        <v>0.17445000000000022</v>
      </c>
      <c r="AU131" s="4">
        <f t="shared" si="67"/>
        <v>0.18480000000000096</v>
      </c>
      <c r="AV131" s="4">
        <f t="shared" si="68"/>
        <v>9.515000000000029E-2</v>
      </c>
    </row>
    <row r="132" spans="1:48" x14ac:dyDescent="0.25">
      <c r="A132" s="18">
        <v>132</v>
      </c>
      <c r="B132" s="19">
        <v>43552</v>
      </c>
      <c r="C132" s="20">
        <v>0.50651620370370376</v>
      </c>
      <c r="D132" s="18">
        <v>5</v>
      </c>
      <c r="E132" s="18">
        <v>4.8099999999999996</v>
      </c>
      <c r="F132" s="18">
        <v>5</v>
      </c>
      <c r="G132" s="18">
        <v>4.6900000000000004</v>
      </c>
      <c r="H132" s="18">
        <v>4.63</v>
      </c>
      <c r="I132" s="18">
        <v>4.6900000000000004</v>
      </c>
      <c r="J132" s="18">
        <v>5.13</v>
      </c>
      <c r="K132" s="18">
        <v>5</v>
      </c>
      <c r="L132" s="18">
        <v>4.38</v>
      </c>
      <c r="N132" s="4">
        <v>4.7699999999999996</v>
      </c>
      <c r="O132" s="4">
        <f>N132-'Sonde étalon'!$C$13</f>
        <v>4.9399999999999995</v>
      </c>
      <c r="R132" s="4">
        <f t="shared" si="69"/>
        <v>6.0000000000000497E-2</v>
      </c>
      <c r="S132" s="4">
        <f t="shared" si="70"/>
        <v>-0.12999999999999989</v>
      </c>
      <c r="T132" s="4">
        <f t="shared" si="71"/>
        <v>6.0000000000000497E-2</v>
      </c>
      <c r="U132" s="4">
        <f t="shared" si="72"/>
        <v>-0.24999999999999911</v>
      </c>
      <c r="V132" s="4">
        <f t="shared" si="73"/>
        <v>-0.30999999999999961</v>
      </c>
      <c r="W132" s="4">
        <f t="shared" si="74"/>
        <v>-0.24999999999999911</v>
      </c>
      <c r="X132" s="4">
        <f t="shared" si="75"/>
        <v>0.19000000000000039</v>
      </c>
      <c r="Y132" s="4">
        <f t="shared" si="76"/>
        <v>6.0000000000000497E-2</v>
      </c>
      <c r="Z132" s="4">
        <f t="shared" si="77"/>
        <v>-0.55999999999999961</v>
      </c>
      <c r="AC132" s="4">
        <f t="shared" si="51"/>
        <v>5.1090999999999998</v>
      </c>
      <c r="AD132" s="4">
        <f t="shared" si="52"/>
        <v>5.0470499999999996</v>
      </c>
      <c r="AE132" s="4">
        <f t="shared" si="53"/>
        <v>5.0899000000000001</v>
      </c>
      <c r="AF132" s="4">
        <f t="shared" si="54"/>
        <v>5.0335999999999999</v>
      </c>
      <c r="AG132" s="4">
        <f t="shared" si="55"/>
        <v>5.016</v>
      </c>
      <c r="AH132" s="4">
        <f t="shared" si="56"/>
        <v>5.0520000000000005</v>
      </c>
      <c r="AI132" s="4">
        <f t="shared" si="57"/>
        <v>5.0944500000000001</v>
      </c>
      <c r="AJ132" s="4">
        <f t="shared" si="58"/>
        <v>5.0948000000000002</v>
      </c>
      <c r="AK132" s="4">
        <f t="shared" si="59"/>
        <v>5.0151500000000002</v>
      </c>
      <c r="AN132" s="4">
        <f t="shared" si="60"/>
        <v>0.16910000000000025</v>
      </c>
      <c r="AO132" s="4">
        <f t="shared" si="61"/>
        <v>0.10705000000000009</v>
      </c>
      <c r="AP132" s="4">
        <f t="shared" si="62"/>
        <v>0.14990000000000059</v>
      </c>
      <c r="AQ132" s="4">
        <f t="shared" si="63"/>
        <v>9.360000000000035E-2</v>
      </c>
      <c r="AR132" s="4">
        <f t="shared" si="64"/>
        <v>7.6000000000000512E-2</v>
      </c>
      <c r="AS132" s="4">
        <f t="shared" si="65"/>
        <v>0.11200000000000099</v>
      </c>
      <c r="AT132" s="4">
        <f t="shared" si="66"/>
        <v>0.15445000000000064</v>
      </c>
      <c r="AU132" s="4">
        <f t="shared" si="67"/>
        <v>0.15480000000000071</v>
      </c>
      <c r="AV132" s="4">
        <f t="shared" si="68"/>
        <v>7.5150000000000716E-2</v>
      </c>
    </row>
    <row r="133" spans="1:48" x14ac:dyDescent="0.25">
      <c r="A133" s="18">
        <v>133</v>
      </c>
      <c r="B133" s="19">
        <v>43552</v>
      </c>
      <c r="C133" s="20">
        <v>0.50721064814814809</v>
      </c>
      <c r="D133" s="18">
        <v>5.0599999999999996</v>
      </c>
      <c r="E133" s="18">
        <v>4.88</v>
      </c>
      <c r="F133" s="18">
        <v>5.0599999999999996</v>
      </c>
      <c r="G133" s="18">
        <v>4.75</v>
      </c>
      <c r="H133" s="18">
        <v>4.6900000000000004</v>
      </c>
      <c r="I133" s="18">
        <v>4.75</v>
      </c>
      <c r="J133" s="18">
        <v>5.25</v>
      </c>
      <c r="K133" s="18">
        <v>5.0599999999999996</v>
      </c>
      <c r="L133" s="18">
        <v>4.4400000000000004</v>
      </c>
      <c r="N133" s="4">
        <v>4.8499999999999996</v>
      </c>
      <c r="O133" s="4">
        <f>N133-'Sonde étalon'!$C$13</f>
        <v>5.0199999999999996</v>
      </c>
      <c r="R133" s="4">
        <f t="shared" si="69"/>
        <v>4.0000000000000036E-2</v>
      </c>
      <c r="S133" s="4">
        <f t="shared" si="70"/>
        <v>-0.13999999999999968</v>
      </c>
      <c r="T133" s="4">
        <f t="shared" si="71"/>
        <v>4.0000000000000036E-2</v>
      </c>
      <c r="U133" s="4">
        <f t="shared" si="72"/>
        <v>-0.26999999999999957</v>
      </c>
      <c r="V133" s="4">
        <f t="shared" si="73"/>
        <v>-0.32999999999999918</v>
      </c>
      <c r="W133" s="4">
        <f t="shared" si="74"/>
        <v>-0.26999999999999957</v>
      </c>
      <c r="X133" s="4">
        <f t="shared" si="75"/>
        <v>0.23000000000000043</v>
      </c>
      <c r="Y133" s="4">
        <f t="shared" si="76"/>
        <v>4.0000000000000036E-2</v>
      </c>
      <c r="Z133" s="4">
        <f t="shared" si="77"/>
        <v>-0.57999999999999918</v>
      </c>
      <c r="AC133" s="4">
        <f t="shared" si="51"/>
        <v>5.1690999999999994</v>
      </c>
      <c r="AD133" s="4">
        <f t="shared" si="52"/>
        <v>5.1170499999999999</v>
      </c>
      <c r="AE133" s="4">
        <f t="shared" si="53"/>
        <v>5.1498999999999997</v>
      </c>
      <c r="AF133" s="4">
        <f t="shared" si="54"/>
        <v>5.0935999999999995</v>
      </c>
      <c r="AG133" s="4">
        <f t="shared" si="55"/>
        <v>5.0760000000000005</v>
      </c>
      <c r="AH133" s="4">
        <f t="shared" si="56"/>
        <v>5.1120000000000001</v>
      </c>
      <c r="AI133" s="4">
        <f t="shared" si="57"/>
        <v>5.2144500000000003</v>
      </c>
      <c r="AJ133" s="4">
        <f t="shared" si="58"/>
        <v>5.1547999999999998</v>
      </c>
      <c r="AK133" s="4">
        <f t="shared" si="59"/>
        <v>5.0751500000000007</v>
      </c>
      <c r="AN133" s="4">
        <f t="shared" si="60"/>
        <v>0.14909999999999979</v>
      </c>
      <c r="AO133" s="4">
        <f t="shared" si="61"/>
        <v>9.7050000000000303E-2</v>
      </c>
      <c r="AP133" s="4">
        <f t="shared" si="62"/>
        <v>0.12990000000000013</v>
      </c>
      <c r="AQ133" s="4">
        <f t="shared" si="63"/>
        <v>7.3599999999999888E-2</v>
      </c>
      <c r="AR133" s="4">
        <f t="shared" si="64"/>
        <v>5.6000000000000938E-2</v>
      </c>
      <c r="AS133" s="4">
        <f t="shared" si="65"/>
        <v>9.2000000000000526E-2</v>
      </c>
      <c r="AT133" s="4">
        <f t="shared" si="66"/>
        <v>0.19445000000000068</v>
      </c>
      <c r="AU133" s="4">
        <f t="shared" si="67"/>
        <v>0.13480000000000025</v>
      </c>
      <c r="AV133" s="4">
        <f t="shared" si="68"/>
        <v>5.5150000000001143E-2</v>
      </c>
    </row>
    <row r="134" spans="1:48" x14ac:dyDescent="0.25">
      <c r="A134" s="18">
        <v>134</v>
      </c>
      <c r="B134" s="19">
        <v>43552</v>
      </c>
      <c r="C134" s="20">
        <v>0.50790509259259264</v>
      </c>
      <c r="D134" s="18">
        <v>5.13</v>
      </c>
      <c r="E134" s="18">
        <v>5</v>
      </c>
      <c r="F134" s="18">
        <v>5.13</v>
      </c>
      <c r="G134" s="18">
        <v>4.8099999999999996</v>
      </c>
      <c r="H134" s="18">
        <v>4.8099999999999996</v>
      </c>
      <c r="I134" s="18">
        <v>4.8099999999999996</v>
      </c>
      <c r="J134" s="18">
        <v>5.31</v>
      </c>
      <c r="K134" s="18">
        <v>5.13</v>
      </c>
      <c r="L134" s="18">
        <v>4.5599999999999996</v>
      </c>
      <c r="N134" s="4">
        <v>4.93</v>
      </c>
      <c r="O134" s="4">
        <f>N134-'Sonde étalon'!$C$13</f>
        <v>5.0999999999999996</v>
      </c>
      <c r="R134" s="4">
        <f t="shared" si="69"/>
        <v>3.0000000000000249E-2</v>
      </c>
      <c r="S134" s="4">
        <f t="shared" si="70"/>
        <v>-9.9999999999999645E-2</v>
      </c>
      <c r="T134" s="4">
        <f t="shared" si="71"/>
        <v>3.0000000000000249E-2</v>
      </c>
      <c r="U134" s="4">
        <f t="shared" si="72"/>
        <v>-0.29000000000000004</v>
      </c>
      <c r="V134" s="4">
        <f t="shared" si="73"/>
        <v>-0.29000000000000004</v>
      </c>
      <c r="W134" s="4">
        <f t="shared" si="74"/>
        <v>-0.29000000000000004</v>
      </c>
      <c r="X134" s="4">
        <f t="shared" si="75"/>
        <v>0.20999999999999996</v>
      </c>
      <c r="Y134" s="4">
        <f t="shared" si="76"/>
        <v>3.0000000000000249E-2</v>
      </c>
      <c r="Z134" s="4">
        <f t="shared" si="77"/>
        <v>-0.54</v>
      </c>
      <c r="AC134" s="4">
        <f t="shared" si="51"/>
        <v>5.2390999999999996</v>
      </c>
      <c r="AD134" s="4">
        <f t="shared" si="52"/>
        <v>5.23705</v>
      </c>
      <c r="AE134" s="4">
        <f t="shared" si="53"/>
        <v>5.2199</v>
      </c>
      <c r="AF134" s="4">
        <f t="shared" si="54"/>
        <v>5.1535999999999991</v>
      </c>
      <c r="AG134" s="4">
        <f t="shared" si="55"/>
        <v>5.1959999999999997</v>
      </c>
      <c r="AH134" s="4">
        <f t="shared" si="56"/>
        <v>5.1719999999999997</v>
      </c>
      <c r="AI134" s="4">
        <f t="shared" si="57"/>
        <v>5.2744499999999999</v>
      </c>
      <c r="AJ134" s="4">
        <f t="shared" si="58"/>
        <v>5.2248000000000001</v>
      </c>
      <c r="AK134" s="4">
        <f t="shared" si="59"/>
        <v>5.1951499999999999</v>
      </c>
      <c r="AN134" s="4">
        <f t="shared" si="60"/>
        <v>0.1391</v>
      </c>
      <c r="AO134" s="4">
        <f t="shared" si="61"/>
        <v>0.13705000000000034</v>
      </c>
      <c r="AP134" s="4">
        <f t="shared" si="62"/>
        <v>0.11990000000000034</v>
      </c>
      <c r="AQ134" s="4">
        <f t="shared" si="63"/>
        <v>5.3599999999999426E-2</v>
      </c>
      <c r="AR134" s="4">
        <f t="shared" si="64"/>
        <v>9.6000000000000085E-2</v>
      </c>
      <c r="AS134" s="4">
        <f t="shared" si="65"/>
        <v>7.2000000000000064E-2</v>
      </c>
      <c r="AT134" s="4">
        <f t="shared" si="66"/>
        <v>0.17445000000000022</v>
      </c>
      <c r="AU134" s="4">
        <f t="shared" si="67"/>
        <v>0.12480000000000047</v>
      </c>
      <c r="AV134" s="4">
        <f t="shared" si="68"/>
        <v>9.515000000000029E-2</v>
      </c>
    </row>
    <row r="135" spans="1:48" x14ac:dyDescent="0.25">
      <c r="A135" s="18">
        <v>135</v>
      </c>
      <c r="B135" s="19">
        <v>43552</v>
      </c>
      <c r="C135" s="20">
        <v>0.50859953703703698</v>
      </c>
      <c r="D135" s="18">
        <v>5.19</v>
      </c>
      <c r="E135" s="18">
        <v>5.0599999999999996</v>
      </c>
      <c r="F135" s="18">
        <v>5.19</v>
      </c>
      <c r="G135" s="18">
        <v>4.88</v>
      </c>
      <c r="H135" s="18">
        <v>4.88</v>
      </c>
      <c r="I135" s="18">
        <v>4.88</v>
      </c>
      <c r="J135" s="18">
        <v>5.38</v>
      </c>
      <c r="K135" s="18">
        <v>5.19</v>
      </c>
      <c r="L135" s="18">
        <v>4.63</v>
      </c>
      <c r="N135" s="4">
        <v>5</v>
      </c>
      <c r="O135" s="4">
        <f>N135-'Sonde étalon'!$C$13</f>
        <v>5.17</v>
      </c>
      <c r="R135" s="4">
        <f t="shared" si="69"/>
        <v>2.0000000000000462E-2</v>
      </c>
      <c r="S135" s="4">
        <f t="shared" si="70"/>
        <v>-0.11000000000000032</v>
      </c>
      <c r="T135" s="4">
        <f t="shared" si="71"/>
        <v>2.0000000000000462E-2</v>
      </c>
      <c r="U135" s="4">
        <f t="shared" si="72"/>
        <v>-0.29000000000000004</v>
      </c>
      <c r="V135" s="4">
        <f t="shared" si="73"/>
        <v>-0.29000000000000004</v>
      </c>
      <c r="W135" s="4">
        <f t="shared" si="74"/>
        <v>-0.29000000000000004</v>
      </c>
      <c r="X135" s="4">
        <f t="shared" si="75"/>
        <v>0.20999999999999996</v>
      </c>
      <c r="Y135" s="4">
        <f t="shared" si="76"/>
        <v>2.0000000000000462E-2</v>
      </c>
      <c r="Z135" s="4">
        <f t="shared" si="77"/>
        <v>-0.54</v>
      </c>
      <c r="AC135" s="4">
        <f t="shared" ref="AC135:AC198" si="78">D135-$R$3</f>
        <v>5.2991000000000001</v>
      </c>
      <c r="AD135" s="4">
        <f t="shared" ref="AD135:AD198" si="79">E135-$S$3</f>
        <v>5.2970499999999996</v>
      </c>
      <c r="AE135" s="4">
        <f t="shared" ref="AE135:AE198" si="80">F135-$T$3</f>
        <v>5.2799000000000005</v>
      </c>
      <c r="AF135" s="4">
        <f t="shared" ref="AF135:AF198" si="81">G135-$U$3</f>
        <v>5.2235999999999994</v>
      </c>
      <c r="AG135" s="4">
        <f t="shared" ref="AG135:AG198" si="82">H135-$V$3</f>
        <v>5.266</v>
      </c>
      <c r="AH135" s="4">
        <f t="shared" ref="AH135:AH198" si="83">I135-$W$3</f>
        <v>5.242</v>
      </c>
      <c r="AI135" s="4">
        <f t="shared" ref="AI135:AI198" si="84">J135-$X$3</f>
        <v>5.3444500000000001</v>
      </c>
      <c r="AJ135" s="4">
        <f t="shared" ref="AJ135:AJ198" si="85">K135-$Y$3</f>
        <v>5.2848000000000006</v>
      </c>
      <c r="AK135" s="4">
        <f t="shared" ref="AK135:AK198" si="86">L135-$Z$3</f>
        <v>5.2651500000000002</v>
      </c>
      <c r="AN135" s="4">
        <f t="shared" ref="AN135:AN198" si="87">AC135-O135</f>
        <v>0.12910000000000021</v>
      </c>
      <c r="AO135" s="4">
        <f t="shared" ref="AO135:AO198" si="88">AD135-O135</f>
        <v>0.12704999999999966</v>
      </c>
      <c r="AP135" s="4">
        <f t="shared" ref="AP135:AP198" si="89">AE135-O135</f>
        <v>0.10990000000000055</v>
      </c>
      <c r="AQ135" s="4">
        <f t="shared" ref="AQ135:AQ198" si="90">AF135-O135</f>
        <v>5.3599999999999426E-2</v>
      </c>
      <c r="AR135" s="4">
        <f t="shared" ref="AR135:AR198" si="91">AG135-O135</f>
        <v>9.6000000000000085E-2</v>
      </c>
      <c r="AS135" s="4">
        <f t="shared" ref="AS135:AS198" si="92">AH135-O135</f>
        <v>7.2000000000000064E-2</v>
      </c>
      <c r="AT135" s="4">
        <f t="shared" ref="AT135:AT198" si="93">AI135-O135</f>
        <v>0.17445000000000022</v>
      </c>
      <c r="AU135" s="4">
        <f t="shared" ref="AU135:AU198" si="94">AJ135-O135</f>
        <v>0.11480000000000068</v>
      </c>
      <c r="AV135" s="4">
        <f t="shared" ref="AV135:AV198" si="95">AK135-O135</f>
        <v>9.515000000000029E-2</v>
      </c>
    </row>
    <row r="136" spans="1:48" x14ac:dyDescent="0.25">
      <c r="A136" s="18">
        <v>136</v>
      </c>
      <c r="B136" s="19">
        <v>43552</v>
      </c>
      <c r="C136" s="20">
        <v>0.50929398148148153</v>
      </c>
      <c r="D136" s="18">
        <v>5.25</v>
      </c>
      <c r="E136" s="18">
        <v>5.13</v>
      </c>
      <c r="F136" s="18">
        <v>5.25</v>
      </c>
      <c r="G136" s="18">
        <v>4.9400000000000004</v>
      </c>
      <c r="H136" s="18">
        <v>4.9400000000000004</v>
      </c>
      <c r="I136" s="18">
        <v>4.9400000000000004</v>
      </c>
      <c r="J136" s="18">
        <v>5.44</v>
      </c>
      <c r="K136" s="18">
        <v>5.25</v>
      </c>
      <c r="L136" s="18">
        <v>4.6900000000000004</v>
      </c>
      <c r="N136" s="4">
        <v>5.08</v>
      </c>
      <c r="O136" s="4">
        <f>N136-'Sonde étalon'!$C$13</f>
        <v>5.25</v>
      </c>
      <c r="R136" s="4">
        <f t="shared" si="69"/>
        <v>0</v>
      </c>
      <c r="S136" s="4">
        <f t="shared" si="70"/>
        <v>-0.12000000000000011</v>
      </c>
      <c r="T136" s="4">
        <f t="shared" si="71"/>
        <v>0</v>
      </c>
      <c r="U136" s="4">
        <f t="shared" si="72"/>
        <v>-0.30999999999999961</v>
      </c>
      <c r="V136" s="4">
        <f t="shared" si="73"/>
        <v>-0.30999999999999961</v>
      </c>
      <c r="W136" s="4">
        <f t="shared" si="74"/>
        <v>-0.30999999999999961</v>
      </c>
      <c r="X136" s="4">
        <f t="shared" si="75"/>
        <v>0.19000000000000039</v>
      </c>
      <c r="Y136" s="4">
        <f t="shared" si="76"/>
        <v>0</v>
      </c>
      <c r="Z136" s="4">
        <f t="shared" si="77"/>
        <v>-0.55999999999999961</v>
      </c>
      <c r="AC136" s="4">
        <f t="shared" si="78"/>
        <v>5.3590999999999998</v>
      </c>
      <c r="AD136" s="4">
        <f t="shared" si="79"/>
        <v>5.3670499999999999</v>
      </c>
      <c r="AE136" s="4">
        <f t="shared" si="80"/>
        <v>5.3399000000000001</v>
      </c>
      <c r="AF136" s="4">
        <f t="shared" si="81"/>
        <v>5.2835999999999999</v>
      </c>
      <c r="AG136" s="4">
        <f t="shared" si="82"/>
        <v>5.3260000000000005</v>
      </c>
      <c r="AH136" s="4">
        <f t="shared" si="83"/>
        <v>5.3020000000000005</v>
      </c>
      <c r="AI136" s="4">
        <f t="shared" si="84"/>
        <v>5.4044500000000006</v>
      </c>
      <c r="AJ136" s="4">
        <f t="shared" si="85"/>
        <v>5.3448000000000002</v>
      </c>
      <c r="AK136" s="4">
        <f t="shared" si="86"/>
        <v>5.3251500000000007</v>
      </c>
      <c r="AN136" s="4">
        <f t="shared" si="87"/>
        <v>0.10909999999999975</v>
      </c>
      <c r="AO136" s="4">
        <f t="shared" si="88"/>
        <v>0.11704999999999988</v>
      </c>
      <c r="AP136" s="4">
        <f t="shared" si="89"/>
        <v>8.9900000000000091E-2</v>
      </c>
      <c r="AQ136" s="4">
        <f t="shared" si="90"/>
        <v>3.3599999999999852E-2</v>
      </c>
      <c r="AR136" s="4">
        <f t="shared" si="91"/>
        <v>7.6000000000000512E-2</v>
      </c>
      <c r="AS136" s="4">
        <f t="shared" si="92"/>
        <v>5.200000000000049E-2</v>
      </c>
      <c r="AT136" s="4">
        <f t="shared" si="93"/>
        <v>0.15445000000000064</v>
      </c>
      <c r="AU136" s="4">
        <f t="shared" si="94"/>
        <v>9.4800000000000217E-2</v>
      </c>
      <c r="AV136" s="4">
        <f t="shared" si="95"/>
        <v>7.5150000000000716E-2</v>
      </c>
    </row>
    <row r="137" spans="1:48" x14ac:dyDescent="0.25">
      <c r="A137" s="18">
        <v>137</v>
      </c>
      <c r="B137" s="19">
        <v>43552</v>
      </c>
      <c r="C137" s="20">
        <v>0.50998842592592586</v>
      </c>
      <c r="D137" s="18">
        <v>5.31</v>
      </c>
      <c r="E137" s="18">
        <v>5.19</v>
      </c>
      <c r="F137" s="18">
        <v>5.31</v>
      </c>
      <c r="G137" s="18">
        <v>5</v>
      </c>
      <c r="H137" s="18">
        <v>5</v>
      </c>
      <c r="I137" s="18">
        <v>5</v>
      </c>
      <c r="J137" s="18">
        <v>5.44</v>
      </c>
      <c r="K137" s="18">
        <v>5.31</v>
      </c>
      <c r="L137" s="18">
        <v>4.75</v>
      </c>
      <c r="N137" s="4">
        <v>5.15</v>
      </c>
      <c r="O137" s="4">
        <f>N137-'Sonde étalon'!$C$13</f>
        <v>5.32</v>
      </c>
      <c r="R137" s="4">
        <f t="shared" si="69"/>
        <v>-1.0000000000000675E-2</v>
      </c>
      <c r="S137" s="4">
        <f t="shared" si="70"/>
        <v>-0.12999999999999989</v>
      </c>
      <c r="T137" s="4">
        <f t="shared" si="71"/>
        <v>-1.0000000000000675E-2</v>
      </c>
      <c r="U137" s="4">
        <f t="shared" si="72"/>
        <v>-0.32000000000000028</v>
      </c>
      <c r="V137" s="4">
        <f t="shared" si="73"/>
        <v>-0.32000000000000028</v>
      </c>
      <c r="W137" s="4">
        <f t="shared" si="74"/>
        <v>-0.32000000000000028</v>
      </c>
      <c r="X137" s="4">
        <f t="shared" si="75"/>
        <v>0.12000000000000011</v>
      </c>
      <c r="Y137" s="4">
        <f t="shared" si="76"/>
        <v>-1.0000000000000675E-2</v>
      </c>
      <c r="Z137" s="4">
        <f t="shared" si="77"/>
        <v>-0.57000000000000028</v>
      </c>
      <c r="AC137" s="4">
        <f t="shared" si="78"/>
        <v>5.4190999999999994</v>
      </c>
      <c r="AD137" s="4">
        <f t="shared" si="79"/>
        <v>5.4270500000000004</v>
      </c>
      <c r="AE137" s="4">
        <f t="shared" si="80"/>
        <v>5.3998999999999997</v>
      </c>
      <c r="AF137" s="4">
        <f t="shared" si="81"/>
        <v>5.3435999999999995</v>
      </c>
      <c r="AG137" s="4">
        <f t="shared" si="82"/>
        <v>5.3860000000000001</v>
      </c>
      <c r="AH137" s="4">
        <f t="shared" si="83"/>
        <v>5.3620000000000001</v>
      </c>
      <c r="AI137" s="4">
        <f t="shared" si="84"/>
        <v>5.4044500000000006</v>
      </c>
      <c r="AJ137" s="4">
        <f t="shared" si="85"/>
        <v>5.4047999999999998</v>
      </c>
      <c r="AK137" s="4">
        <f t="shared" si="86"/>
        <v>5.3851500000000003</v>
      </c>
      <c r="AN137" s="4">
        <f t="shared" si="87"/>
        <v>9.9099999999999078E-2</v>
      </c>
      <c r="AO137" s="4">
        <f t="shared" si="88"/>
        <v>0.10705000000000009</v>
      </c>
      <c r="AP137" s="4">
        <f t="shared" si="89"/>
        <v>7.9899999999999416E-2</v>
      </c>
      <c r="AQ137" s="4">
        <f t="shared" si="90"/>
        <v>2.3599999999999177E-2</v>
      </c>
      <c r="AR137" s="4">
        <f t="shared" si="91"/>
        <v>6.5999999999999837E-2</v>
      </c>
      <c r="AS137" s="4">
        <f t="shared" si="92"/>
        <v>4.1999999999999815E-2</v>
      </c>
      <c r="AT137" s="4">
        <f t="shared" si="93"/>
        <v>8.4450000000000358E-2</v>
      </c>
      <c r="AU137" s="4">
        <f t="shared" si="94"/>
        <v>8.4799999999999542E-2</v>
      </c>
      <c r="AV137" s="4">
        <f t="shared" si="95"/>
        <v>6.5150000000000041E-2</v>
      </c>
    </row>
    <row r="138" spans="1:48" x14ac:dyDescent="0.25">
      <c r="A138" s="18">
        <v>138</v>
      </c>
      <c r="B138" s="19">
        <v>43552</v>
      </c>
      <c r="C138" s="20">
        <v>0.51068287037037041</v>
      </c>
      <c r="D138" s="18">
        <v>5.31</v>
      </c>
      <c r="E138" s="18">
        <v>5.19</v>
      </c>
      <c r="F138" s="18">
        <v>5.38</v>
      </c>
      <c r="G138" s="18">
        <v>5.0599999999999996</v>
      </c>
      <c r="H138" s="18">
        <v>5.0599999999999996</v>
      </c>
      <c r="I138" s="18">
        <v>5.0599999999999996</v>
      </c>
      <c r="J138" s="18">
        <v>5.5</v>
      </c>
      <c r="K138" s="18">
        <v>5.38</v>
      </c>
      <c r="L138" s="18">
        <v>4.75</v>
      </c>
      <c r="N138" s="4">
        <v>5.2</v>
      </c>
      <c r="O138" s="4">
        <f>N138-'Sonde étalon'!$C$13</f>
        <v>5.37</v>
      </c>
      <c r="R138" s="4">
        <f t="shared" si="69"/>
        <v>-6.0000000000000497E-2</v>
      </c>
      <c r="S138" s="4">
        <f t="shared" si="70"/>
        <v>-0.17999999999999972</v>
      </c>
      <c r="T138" s="4">
        <f t="shared" si="71"/>
        <v>9.9999999999997868E-3</v>
      </c>
      <c r="U138" s="4">
        <f t="shared" si="72"/>
        <v>-0.3100000000000005</v>
      </c>
      <c r="V138" s="4">
        <f t="shared" si="73"/>
        <v>-0.3100000000000005</v>
      </c>
      <c r="W138" s="4">
        <f t="shared" si="74"/>
        <v>-0.3100000000000005</v>
      </c>
      <c r="X138" s="4">
        <f t="shared" si="75"/>
        <v>0.12999999999999989</v>
      </c>
      <c r="Y138" s="4">
        <f t="shared" si="76"/>
        <v>9.9999999999997868E-3</v>
      </c>
      <c r="Z138" s="4">
        <f t="shared" si="77"/>
        <v>-0.62000000000000011</v>
      </c>
      <c r="AC138" s="4">
        <f t="shared" si="78"/>
        <v>5.4190999999999994</v>
      </c>
      <c r="AD138" s="4">
        <f t="shared" si="79"/>
        <v>5.4270500000000004</v>
      </c>
      <c r="AE138" s="4">
        <f t="shared" si="80"/>
        <v>5.4699</v>
      </c>
      <c r="AF138" s="4">
        <f t="shared" si="81"/>
        <v>5.4035999999999991</v>
      </c>
      <c r="AG138" s="4">
        <f t="shared" si="82"/>
        <v>5.4459999999999997</v>
      </c>
      <c r="AH138" s="4">
        <f t="shared" si="83"/>
        <v>5.4219999999999997</v>
      </c>
      <c r="AI138" s="4">
        <f t="shared" si="84"/>
        <v>5.4644500000000003</v>
      </c>
      <c r="AJ138" s="4">
        <f t="shared" si="85"/>
        <v>5.4748000000000001</v>
      </c>
      <c r="AK138" s="4">
        <f t="shared" si="86"/>
        <v>5.3851500000000003</v>
      </c>
      <c r="AN138" s="4">
        <f t="shared" si="87"/>
        <v>4.9099999999999255E-2</v>
      </c>
      <c r="AO138" s="4">
        <f t="shared" si="88"/>
        <v>5.7050000000000267E-2</v>
      </c>
      <c r="AP138" s="4">
        <f t="shared" si="89"/>
        <v>9.9899999999999878E-2</v>
      </c>
      <c r="AQ138" s="4">
        <f t="shared" si="90"/>
        <v>3.3599999999998964E-2</v>
      </c>
      <c r="AR138" s="4">
        <f t="shared" si="91"/>
        <v>7.5999999999999623E-2</v>
      </c>
      <c r="AS138" s="4">
        <f t="shared" si="92"/>
        <v>5.1999999999999602E-2</v>
      </c>
      <c r="AT138" s="4">
        <f t="shared" si="93"/>
        <v>9.4450000000000145E-2</v>
      </c>
      <c r="AU138" s="4">
        <f t="shared" si="94"/>
        <v>0.1048</v>
      </c>
      <c r="AV138" s="4">
        <f t="shared" si="95"/>
        <v>1.5150000000000219E-2</v>
      </c>
    </row>
    <row r="139" spans="1:48" x14ac:dyDescent="0.25">
      <c r="A139" s="18">
        <v>139</v>
      </c>
      <c r="B139" s="19">
        <v>43552</v>
      </c>
      <c r="C139" s="20">
        <v>0.51137731481481474</v>
      </c>
      <c r="D139" s="18">
        <v>5.38</v>
      </c>
      <c r="E139" s="18">
        <v>5.25</v>
      </c>
      <c r="F139" s="18">
        <v>5.44</v>
      </c>
      <c r="G139" s="18">
        <v>5.13</v>
      </c>
      <c r="H139" s="18">
        <v>5.0599999999999996</v>
      </c>
      <c r="I139" s="18">
        <v>5.13</v>
      </c>
      <c r="J139" s="18">
        <v>5.56</v>
      </c>
      <c r="K139" s="18">
        <v>5.44</v>
      </c>
      <c r="L139" s="18">
        <v>4.88</v>
      </c>
      <c r="N139" s="4">
        <v>5.26</v>
      </c>
      <c r="O139" s="4">
        <f>N139-'Sonde étalon'!$C$13</f>
        <v>5.43</v>
      </c>
      <c r="R139" s="4">
        <f t="shared" si="69"/>
        <v>-4.9999999999999822E-2</v>
      </c>
      <c r="S139" s="4">
        <f t="shared" si="70"/>
        <v>-0.17999999999999972</v>
      </c>
      <c r="T139" s="4">
        <f t="shared" si="71"/>
        <v>1.0000000000000675E-2</v>
      </c>
      <c r="U139" s="4">
        <f t="shared" si="72"/>
        <v>-0.29999999999999982</v>
      </c>
      <c r="V139" s="4">
        <f t="shared" si="73"/>
        <v>-0.37000000000000011</v>
      </c>
      <c r="W139" s="4">
        <f t="shared" si="74"/>
        <v>-0.29999999999999982</v>
      </c>
      <c r="X139" s="4">
        <f t="shared" si="75"/>
        <v>0.12999999999999989</v>
      </c>
      <c r="Y139" s="4">
        <f t="shared" si="76"/>
        <v>1.0000000000000675E-2</v>
      </c>
      <c r="Z139" s="4">
        <f t="shared" si="77"/>
        <v>-0.54999999999999982</v>
      </c>
      <c r="AC139" s="4">
        <f t="shared" si="78"/>
        <v>5.4890999999999996</v>
      </c>
      <c r="AD139" s="4">
        <f t="shared" si="79"/>
        <v>5.48705</v>
      </c>
      <c r="AE139" s="4">
        <f t="shared" si="80"/>
        <v>5.5299000000000005</v>
      </c>
      <c r="AF139" s="4">
        <f t="shared" si="81"/>
        <v>5.4735999999999994</v>
      </c>
      <c r="AG139" s="4">
        <f t="shared" si="82"/>
        <v>5.4459999999999997</v>
      </c>
      <c r="AH139" s="4">
        <f t="shared" si="83"/>
        <v>5.492</v>
      </c>
      <c r="AI139" s="4">
        <f t="shared" si="84"/>
        <v>5.5244499999999999</v>
      </c>
      <c r="AJ139" s="4">
        <f t="shared" si="85"/>
        <v>5.5348000000000006</v>
      </c>
      <c r="AK139" s="4">
        <f t="shared" si="86"/>
        <v>5.5151500000000002</v>
      </c>
      <c r="AN139" s="4">
        <f t="shared" si="87"/>
        <v>5.909999999999993E-2</v>
      </c>
      <c r="AO139" s="4">
        <f t="shared" si="88"/>
        <v>5.7050000000000267E-2</v>
      </c>
      <c r="AP139" s="4">
        <f t="shared" si="89"/>
        <v>9.9900000000000766E-2</v>
      </c>
      <c r="AQ139" s="4">
        <f t="shared" si="90"/>
        <v>4.3599999999999639E-2</v>
      </c>
      <c r="AR139" s="4">
        <f t="shared" si="91"/>
        <v>1.6000000000000014E-2</v>
      </c>
      <c r="AS139" s="4">
        <f t="shared" si="92"/>
        <v>6.2000000000000277E-2</v>
      </c>
      <c r="AT139" s="4">
        <f t="shared" si="93"/>
        <v>9.4450000000000145E-2</v>
      </c>
      <c r="AU139" s="4">
        <f t="shared" si="94"/>
        <v>0.10480000000000089</v>
      </c>
      <c r="AV139" s="4">
        <f t="shared" si="95"/>
        <v>8.5150000000000503E-2</v>
      </c>
    </row>
    <row r="140" spans="1:48" x14ac:dyDescent="0.25">
      <c r="A140" s="18">
        <v>140</v>
      </c>
      <c r="B140" s="19">
        <v>43552</v>
      </c>
      <c r="C140" s="20">
        <v>0.5120717592592593</v>
      </c>
      <c r="D140" s="18">
        <v>5.44</v>
      </c>
      <c r="E140" s="18">
        <v>5.31</v>
      </c>
      <c r="F140" s="18">
        <v>5.5</v>
      </c>
      <c r="G140" s="18">
        <v>5.19</v>
      </c>
      <c r="H140" s="18">
        <v>5.13</v>
      </c>
      <c r="I140" s="18">
        <v>5.19</v>
      </c>
      <c r="J140" s="18">
        <v>5.63</v>
      </c>
      <c r="K140" s="18">
        <v>5.44</v>
      </c>
      <c r="L140" s="18">
        <v>4.88</v>
      </c>
      <c r="N140" s="4">
        <v>5.31</v>
      </c>
      <c r="O140" s="4">
        <f>N140-'Sonde étalon'!$C$13</f>
        <v>5.4799999999999995</v>
      </c>
      <c r="R140" s="4">
        <f t="shared" si="69"/>
        <v>-3.9999999999999147E-2</v>
      </c>
      <c r="S140" s="4">
        <f t="shared" si="70"/>
        <v>-0.16999999999999993</v>
      </c>
      <c r="T140" s="4">
        <f t="shared" si="71"/>
        <v>2.0000000000000462E-2</v>
      </c>
      <c r="U140" s="4">
        <f t="shared" si="72"/>
        <v>-0.28999999999999915</v>
      </c>
      <c r="V140" s="4">
        <f t="shared" si="73"/>
        <v>-0.34999999999999964</v>
      </c>
      <c r="W140" s="4">
        <f t="shared" si="74"/>
        <v>-0.28999999999999915</v>
      </c>
      <c r="X140" s="4">
        <f t="shared" si="75"/>
        <v>0.15000000000000036</v>
      </c>
      <c r="Y140" s="4">
        <f t="shared" si="76"/>
        <v>-3.9999999999999147E-2</v>
      </c>
      <c r="Z140" s="4">
        <f t="shared" si="77"/>
        <v>-0.59999999999999964</v>
      </c>
      <c r="AC140" s="4">
        <f t="shared" si="78"/>
        <v>5.5491000000000001</v>
      </c>
      <c r="AD140" s="4">
        <f t="shared" si="79"/>
        <v>5.5470499999999996</v>
      </c>
      <c r="AE140" s="4">
        <f t="shared" si="80"/>
        <v>5.5899000000000001</v>
      </c>
      <c r="AF140" s="4">
        <f t="shared" si="81"/>
        <v>5.5335999999999999</v>
      </c>
      <c r="AG140" s="4">
        <f t="shared" si="82"/>
        <v>5.516</v>
      </c>
      <c r="AH140" s="4">
        <f t="shared" si="83"/>
        <v>5.5520000000000005</v>
      </c>
      <c r="AI140" s="4">
        <f t="shared" si="84"/>
        <v>5.5944500000000001</v>
      </c>
      <c r="AJ140" s="4">
        <f t="shared" si="85"/>
        <v>5.5348000000000006</v>
      </c>
      <c r="AK140" s="4">
        <f t="shared" si="86"/>
        <v>5.5151500000000002</v>
      </c>
      <c r="AN140" s="4">
        <f t="shared" si="87"/>
        <v>6.9100000000000605E-2</v>
      </c>
      <c r="AO140" s="4">
        <f t="shared" si="88"/>
        <v>6.7050000000000054E-2</v>
      </c>
      <c r="AP140" s="4">
        <f t="shared" si="89"/>
        <v>0.10990000000000055</v>
      </c>
      <c r="AQ140" s="4">
        <f t="shared" si="90"/>
        <v>5.3600000000000314E-2</v>
      </c>
      <c r="AR140" s="4">
        <f t="shared" si="91"/>
        <v>3.6000000000000476E-2</v>
      </c>
      <c r="AS140" s="4">
        <f t="shared" si="92"/>
        <v>7.2000000000000952E-2</v>
      </c>
      <c r="AT140" s="4">
        <f t="shared" si="93"/>
        <v>0.11445000000000061</v>
      </c>
      <c r="AU140" s="4">
        <f t="shared" si="94"/>
        <v>5.480000000000107E-2</v>
      </c>
      <c r="AV140" s="4">
        <f t="shared" si="95"/>
        <v>3.5150000000000681E-2</v>
      </c>
    </row>
    <row r="141" spans="1:48" x14ac:dyDescent="0.25">
      <c r="A141" s="18">
        <v>141</v>
      </c>
      <c r="B141" s="19">
        <v>43552</v>
      </c>
      <c r="C141" s="20">
        <v>0.51276620370370374</v>
      </c>
      <c r="D141" s="18">
        <v>5.5</v>
      </c>
      <c r="E141" s="18">
        <v>5.38</v>
      </c>
      <c r="F141" s="18">
        <v>5.5</v>
      </c>
      <c r="G141" s="18">
        <v>5.25</v>
      </c>
      <c r="H141" s="18">
        <v>5.19</v>
      </c>
      <c r="I141" s="18">
        <v>5.25</v>
      </c>
      <c r="J141" s="18">
        <v>5.69</v>
      </c>
      <c r="K141" s="18">
        <v>5.5</v>
      </c>
      <c r="L141" s="18">
        <v>4.9400000000000004</v>
      </c>
      <c r="N141" s="4">
        <v>5.36</v>
      </c>
      <c r="O141" s="4">
        <f>N141-'Sonde étalon'!$C$13</f>
        <v>5.53</v>
      </c>
      <c r="R141" s="4">
        <f t="shared" si="69"/>
        <v>-3.0000000000000249E-2</v>
      </c>
      <c r="S141" s="4">
        <f t="shared" si="70"/>
        <v>-0.15000000000000036</v>
      </c>
      <c r="T141" s="4">
        <f t="shared" si="71"/>
        <v>-3.0000000000000249E-2</v>
      </c>
      <c r="U141" s="4">
        <f t="shared" si="72"/>
        <v>-0.28000000000000025</v>
      </c>
      <c r="V141" s="4">
        <f t="shared" si="73"/>
        <v>-0.33999999999999986</v>
      </c>
      <c r="W141" s="4">
        <f t="shared" si="74"/>
        <v>-0.28000000000000025</v>
      </c>
      <c r="X141" s="4">
        <f t="shared" si="75"/>
        <v>0.16000000000000014</v>
      </c>
      <c r="Y141" s="4">
        <f t="shared" si="76"/>
        <v>-3.0000000000000249E-2</v>
      </c>
      <c r="Z141" s="4">
        <f t="shared" si="77"/>
        <v>-0.58999999999999986</v>
      </c>
      <c r="AC141" s="4">
        <f t="shared" si="78"/>
        <v>5.6090999999999998</v>
      </c>
      <c r="AD141" s="4">
        <f t="shared" si="79"/>
        <v>5.6170499999999999</v>
      </c>
      <c r="AE141" s="4">
        <f t="shared" si="80"/>
        <v>5.5899000000000001</v>
      </c>
      <c r="AF141" s="4">
        <f t="shared" si="81"/>
        <v>5.5935999999999995</v>
      </c>
      <c r="AG141" s="4">
        <f t="shared" si="82"/>
        <v>5.5760000000000005</v>
      </c>
      <c r="AH141" s="4">
        <f t="shared" si="83"/>
        <v>5.6120000000000001</v>
      </c>
      <c r="AI141" s="4">
        <f t="shared" si="84"/>
        <v>5.6544500000000006</v>
      </c>
      <c r="AJ141" s="4">
        <f t="shared" si="85"/>
        <v>5.5948000000000002</v>
      </c>
      <c r="AK141" s="4">
        <f t="shared" si="86"/>
        <v>5.5751500000000007</v>
      </c>
      <c r="AN141" s="4">
        <f t="shared" si="87"/>
        <v>7.9099999999999504E-2</v>
      </c>
      <c r="AO141" s="4">
        <f t="shared" si="88"/>
        <v>8.7049999999999628E-2</v>
      </c>
      <c r="AP141" s="4">
        <f t="shared" si="89"/>
        <v>5.9899999999999842E-2</v>
      </c>
      <c r="AQ141" s="4">
        <f t="shared" si="90"/>
        <v>6.3599999999999213E-2</v>
      </c>
      <c r="AR141" s="4">
        <f t="shared" si="91"/>
        <v>4.6000000000000263E-2</v>
      </c>
      <c r="AS141" s="4">
        <f t="shared" si="92"/>
        <v>8.1999999999999851E-2</v>
      </c>
      <c r="AT141" s="4">
        <f t="shared" si="93"/>
        <v>0.12445000000000039</v>
      </c>
      <c r="AU141" s="4">
        <f t="shared" si="94"/>
        <v>6.4799999999999969E-2</v>
      </c>
      <c r="AV141" s="4">
        <f t="shared" si="95"/>
        <v>4.5150000000000468E-2</v>
      </c>
    </row>
    <row r="142" spans="1:48" x14ac:dyDescent="0.25">
      <c r="A142" s="18">
        <v>142</v>
      </c>
      <c r="B142" s="19">
        <v>43552</v>
      </c>
      <c r="C142" s="20">
        <v>0.51346064814814818</v>
      </c>
      <c r="D142" s="18">
        <v>5.56</v>
      </c>
      <c r="E142" s="18">
        <v>5.38</v>
      </c>
      <c r="F142" s="18">
        <v>5.56</v>
      </c>
      <c r="G142" s="18">
        <v>5.25</v>
      </c>
      <c r="H142" s="18">
        <v>5.25</v>
      </c>
      <c r="I142" s="18">
        <v>5.25</v>
      </c>
      <c r="J142" s="18">
        <v>5.75</v>
      </c>
      <c r="K142" s="18">
        <v>5.56</v>
      </c>
      <c r="L142" s="18">
        <v>5</v>
      </c>
      <c r="N142" s="4">
        <v>5.41</v>
      </c>
      <c r="O142" s="4">
        <f>N142-'Sonde étalon'!$C$13</f>
        <v>5.58</v>
      </c>
      <c r="R142" s="4">
        <f t="shared" ref="R142:R205" si="96">D142-O142</f>
        <v>-2.0000000000000462E-2</v>
      </c>
      <c r="S142" s="4">
        <f t="shared" ref="S142:S205" si="97">E142-O142</f>
        <v>-0.20000000000000018</v>
      </c>
      <c r="T142" s="4">
        <f t="shared" ref="T142:T205" si="98">F142-O142</f>
        <v>-2.0000000000000462E-2</v>
      </c>
      <c r="U142" s="4">
        <f t="shared" ref="U142:U205" si="99">G142-O142</f>
        <v>-0.33000000000000007</v>
      </c>
      <c r="V142" s="4">
        <f t="shared" ref="V142:V205" si="100">H142-O142</f>
        <v>-0.33000000000000007</v>
      </c>
      <c r="W142" s="4">
        <f t="shared" ref="W142:W205" si="101">I142-O142</f>
        <v>-0.33000000000000007</v>
      </c>
      <c r="X142" s="4">
        <f t="shared" ref="X142:X205" si="102">J142-O142</f>
        <v>0.16999999999999993</v>
      </c>
      <c r="Y142" s="4">
        <f t="shared" ref="Y142:Y205" si="103">K142-O142</f>
        <v>-2.0000000000000462E-2</v>
      </c>
      <c r="Z142" s="4">
        <f t="shared" ref="Z142:Z205" si="104">L142-O142</f>
        <v>-0.58000000000000007</v>
      </c>
      <c r="AC142" s="4">
        <f t="shared" si="78"/>
        <v>5.6690999999999994</v>
      </c>
      <c r="AD142" s="4">
        <f t="shared" si="79"/>
        <v>5.6170499999999999</v>
      </c>
      <c r="AE142" s="4">
        <f t="shared" si="80"/>
        <v>5.6498999999999997</v>
      </c>
      <c r="AF142" s="4">
        <f t="shared" si="81"/>
        <v>5.5935999999999995</v>
      </c>
      <c r="AG142" s="4">
        <f t="shared" si="82"/>
        <v>5.6360000000000001</v>
      </c>
      <c r="AH142" s="4">
        <f t="shared" si="83"/>
        <v>5.6120000000000001</v>
      </c>
      <c r="AI142" s="4">
        <f t="shared" si="84"/>
        <v>5.7144500000000003</v>
      </c>
      <c r="AJ142" s="4">
        <f t="shared" si="85"/>
        <v>5.6547999999999998</v>
      </c>
      <c r="AK142" s="4">
        <f t="shared" si="86"/>
        <v>5.6351500000000003</v>
      </c>
      <c r="AN142" s="4">
        <f t="shared" si="87"/>
        <v>8.9099999999999291E-2</v>
      </c>
      <c r="AO142" s="4">
        <f t="shared" si="88"/>
        <v>3.7049999999999805E-2</v>
      </c>
      <c r="AP142" s="4">
        <f t="shared" si="89"/>
        <v>6.9899999999999629E-2</v>
      </c>
      <c r="AQ142" s="4">
        <f t="shared" si="90"/>
        <v>1.359999999999939E-2</v>
      </c>
      <c r="AR142" s="4">
        <f t="shared" si="91"/>
        <v>5.600000000000005E-2</v>
      </c>
      <c r="AS142" s="4">
        <f t="shared" si="92"/>
        <v>3.2000000000000028E-2</v>
      </c>
      <c r="AT142" s="4">
        <f t="shared" si="93"/>
        <v>0.13445000000000018</v>
      </c>
      <c r="AU142" s="4">
        <f t="shared" si="94"/>
        <v>7.4799999999999756E-2</v>
      </c>
      <c r="AV142" s="4">
        <f t="shared" si="95"/>
        <v>5.5150000000000254E-2</v>
      </c>
    </row>
    <row r="143" spans="1:48" x14ac:dyDescent="0.25">
      <c r="A143" s="18">
        <v>143</v>
      </c>
      <c r="B143" s="19">
        <v>43552</v>
      </c>
      <c r="C143" s="20">
        <v>0.51415509259259262</v>
      </c>
      <c r="D143" s="18">
        <v>5.63</v>
      </c>
      <c r="E143" s="18">
        <v>5.44</v>
      </c>
      <c r="F143" s="18">
        <v>5.63</v>
      </c>
      <c r="G143" s="18">
        <v>5.31</v>
      </c>
      <c r="H143" s="18">
        <v>5.25</v>
      </c>
      <c r="I143" s="18">
        <v>5.31</v>
      </c>
      <c r="J143" s="18">
        <v>5.75</v>
      </c>
      <c r="K143" s="18">
        <v>5.63</v>
      </c>
      <c r="L143" s="18">
        <v>5.0599999999999996</v>
      </c>
      <c r="N143" s="4">
        <v>5.47</v>
      </c>
      <c r="O143" s="4">
        <f>N143-'Sonde étalon'!$C$13</f>
        <v>5.64</v>
      </c>
      <c r="R143" s="4">
        <f t="shared" si="96"/>
        <v>-9.9999999999997868E-3</v>
      </c>
      <c r="S143" s="4">
        <f t="shared" si="97"/>
        <v>-0.19999999999999929</v>
      </c>
      <c r="T143" s="4">
        <f t="shared" si="98"/>
        <v>-9.9999999999997868E-3</v>
      </c>
      <c r="U143" s="4">
        <f t="shared" si="99"/>
        <v>-0.33000000000000007</v>
      </c>
      <c r="V143" s="4">
        <f t="shared" si="100"/>
        <v>-0.38999999999999968</v>
      </c>
      <c r="W143" s="4">
        <f t="shared" si="101"/>
        <v>-0.33000000000000007</v>
      </c>
      <c r="X143" s="4">
        <f t="shared" si="102"/>
        <v>0.11000000000000032</v>
      </c>
      <c r="Y143" s="4">
        <f t="shared" si="103"/>
        <v>-9.9999999999997868E-3</v>
      </c>
      <c r="Z143" s="4">
        <f t="shared" si="104"/>
        <v>-0.58000000000000007</v>
      </c>
      <c r="AC143" s="4">
        <f t="shared" si="78"/>
        <v>5.7390999999999996</v>
      </c>
      <c r="AD143" s="4">
        <f t="shared" si="79"/>
        <v>5.6770500000000004</v>
      </c>
      <c r="AE143" s="4">
        <f t="shared" si="80"/>
        <v>5.7199</v>
      </c>
      <c r="AF143" s="4">
        <f t="shared" si="81"/>
        <v>5.6535999999999991</v>
      </c>
      <c r="AG143" s="4">
        <f t="shared" si="82"/>
        <v>5.6360000000000001</v>
      </c>
      <c r="AH143" s="4">
        <f t="shared" si="83"/>
        <v>5.6719999999999997</v>
      </c>
      <c r="AI143" s="4">
        <f t="shared" si="84"/>
        <v>5.7144500000000003</v>
      </c>
      <c r="AJ143" s="4">
        <f t="shared" si="85"/>
        <v>5.7248000000000001</v>
      </c>
      <c r="AK143" s="4">
        <f t="shared" si="86"/>
        <v>5.6951499999999999</v>
      </c>
      <c r="AN143" s="4">
        <f t="shared" si="87"/>
        <v>9.9099999999999966E-2</v>
      </c>
      <c r="AO143" s="4">
        <f t="shared" si="88"/>
        <v>3.7050000000000693E-2</v>
      </c>
      <c r="AP143" s="4">
        <f t="shared" si="89"/>
        <v>7.9900000000000304E-2</v>
      </c>
      <c r="AQ143" s="4">
        <f t="shared" si="90"/>
        <v>1.359999999999939E-2</v>
      </c>
      <c r="AR143" s="4">
        <f t="shared" si="91"/>
        <v>-3.9999999999995595E-3</v>
      </c>
      <c r="AS143" s="4">
        <f t="shared" si="92"/>
        <v>3.2000000000000028E-2</v>
      </c>
      <c r="AT143" s="4">
        <f t="shared" si="93"/>
        <v>7.4450000000000571E-2</v>
      </c>
      <c r="AU143" s="4">
        <f t="shared" si="94"/>
        <v>8.4800000000000431E-2</v>
      </c>
      <c r="AV143" s="4">
        <f t="shared" si="95"/>
        <v>5.5150000000000254E-2</v>
      </c>
    </row>
    <row r="144" spans="1:48" x14ac:dyDescent="0.25">
      <c r="A144" s="18">
        <v>144</v>
      </c>
      <c r="B144" s="19">
        <v>43552</v>
      </c>
      <c r="C144" s="20">
        <v>0.51484953703703706</v>
      </c>
      <c r="D144" s="18">
        <v>5.63</v>
      </c>
      <c r="E144" s="18">
        <v>5.5</v>
      </c>
      <c r="F144" s="18">
        <v>5.69</v>
      </c>
      <c r="G144" s="18">
        <v>5.38</v>
      </c>
      <c r="H144" s="18">
        <v>5.31</v>
      </c>
      <c r="I144" s="18">
        <v>5.38</v>
      </c>
      <c r="J144" s="18">
        <v>5.81</v>
      </c>
      <c r="K144" s="18">
        <v>5.69</v>
      </c>
      <c r="L144" s="18">
        <v>5.13</v>
      </c>
      <c r="N144" s="4">
        <v>5.52</v>
      </c>
      <c r="O144" s="4">
        <f>N144-'Sonde étalon'!$C$13</f>
        <v>5.6899999999999995</v>
      </c>
      <c r="R144" s="4">
        <f t="shared" si="96"/>
        <v>-5.9999999999999609E-2</v>
      </c>
      <c r="S144" s="4">
        <f t="shared" si="97"/>
        <v>-0.1899999999999995</v>
      </c>
      <c r="T144" s="4">
        <f t="shared" si="98"/>
        <v>0</v>
      </c>
      <c r="U144" s="4">
        <f t="shared" si="99"/>
        <v>-0.30999999999999961</v>
      </c>
      <c r="V144" s="4">
        <f t="shared" si="100"/>
        <v>-0.37999999999999989</v>
      </c>
      <c r="W144" s="4">
        <f t="shared" si="101"/>
        <v>-0.30999999999999961</v>
      </c>
      <c r="X144" s="4">
        <f t="shared" si="102"/>
        <v>0.12000000000000011</v>
      </c>
      <c r="Y144" s="4">
        <f t="shared" si="103"/>
        <v>0</v>
      </c>
      <c r="Z144" s="4">
        <f t="shared" si="104"/>
        <v>-0.55999999999999961</v>
      </c>
      <c r="AC144" s="4">
        <f t="shared" si="78"/>
        <v>5.7390999999999996</v>
      </c>
      <c r="AD144" s="4">
        <f t="shared" si="79"/>
        <v>5.73705</v>
      </c>
      <c r="AE144" s="4">
        <f t="shared" si="80"/>
        <v>5.7799000000000005</v>
      </c>
      <c r="AF144" s="4">
        <f t="shared" si="81"/>
        <v>5.7235999999999994</v>
      </c>
      <c r="AG144" s="4">
        <f t="shared" si="82"/>
        <v>5.6959999999999997</v>
      </c>
      <c r="AH144" s="4">
        <f t="shared" si="83"/>
        <v>5.742</v>
      </c>
      <c r="AI144" s="4">
        <f t="shared" si="84"/>
        <v>5.7744499999999999</v>
      </c>
      <c r="AJ144" s="4">
        <f t="shared" si="85"/>
        <v>5.7848000000000006</v>
      </c>
      <c r="AK144" s="4">
        <f t="shared" si="86"/>
        <v>5.7651500000000002</v>
      </c>
      <c r="AN144" s="4">
        <f t="shared" si="87"/>
        <v>4.9100000000000144E-2</v>
      </c>
      <c r="AO144" s="4">
        <f t="shared" si="88"/>
        <v>4.705000000000048E-2</v>
      </c>
      <c r="AP144" s="4">
        <f t="shared" si="89"/>
        <v>8.9900000000000979E-2</v>
      </c>
      <c r="AQ144" s="4">
        <f t="shared" si="90"/>
        <v>3.3599999999999852E-2</v>
      </c>
      <c r="AR144" s="4">
        <f t="shared" si="91"/>
        <v>6.0000000000002274E-3</v>
      </c>
      <c r="AS144" s="4">
        <f t="shared" si="92"/>
        <v>5.200000000000049E-2</v>
      </c>
      <c r="AT144" s="4">
        <f t="shared" si="93"/>
        <v>8.4450000000000358E-2</v>
      </c>
      <c r="AU144" s="4">
        <f t="shared" si="94"/>
        <v>9.4800000000001106E-2</v>
      </c>
      <c r="AV144" s="4">
        <f t="shared" si="95"/>
        <v>7.5150000000000716E-2</v>
      </c>
    </row>
    <row r="145" spans="1:48" x14ac:dyDescent="0.25">
      <c r="A145" s="18">
        <v>145</v>
      </c>
      <c r="B145" s="19">
        <v>43552</v>
      </c>
      <c r="C145" s="20">
        <v>0.51554398148148151</v>
      </c>
      <c r="D145" s="18">
        <v>5.69</v>
      </c>
      <c r="E145" s="18">
        <v>5.56</v>
      </c>
      <c r="F145" s="18">
        <v>5.69</v>
      </c>
      <c r="G145" s="18">
        <v>5.44</v>
      </c>
      <c r="H145" s="18">
        <v>5.38</v>
      </c>
      <c r="I145" s="18">
        <v>5.44</v>
      </c>
      <c r="J145" s="18">
        <v>5.88</v>
      </c>
      <c r="K145" s="18">
        <v>5.69</v>
      </c>
      <c r="L145" s="18">
        <v>5.13</v>
      </c>
      <c r="N145" s="4">
        <v>5.56</v>
      </c>
      <c r="O145" s="4">
        <f>N145-'Sonde étalon'!$C$13</f>
        <v>5.7299999999999995</v>
      </c>
      <c r="R145" s="4">
        <f t="shared" si="96"/>
        <v>-3.9999999999999147E-2</v>
      </c>
      <c r="S145" s="4">
        <f t="shared" si="97"/>
        <v>-0.16999999999999993</v>
      </c>
      <c r="T145" s="4">
        <f t="shared" si="98"/>
        <v>-3.9999999999999147E-2</v>
      </c>
      <c r="U145" s="4">
        <f t="shared" si="99"/>
        <v>-0.28999999999999915</v>
      </c>
      <c r="V145" s="4">
        <f t="shared" si="100"/>
        <v>-0.34999999999999964</v>
      </c>
      <c r="W145" s="4">
        <f t="shared" si="101"/>
        <v>-0.28999999999999915</v>
      </c>
      <c r="X145" s="4">
        <f t="shared" si="102"/>
        <v>0.15000000000000036</v>
      </c>
      <c r="Y145" s="4">
        <f t="shared" si="103"/>
        <v>-3.9999999999999147E-2</v>
      </c>
      <c r="Z145" s="4">
        <f t="shared" si="104"/>
        <v>-0.59999999999999964</v>
      </c>
      <c r="AC145" s="4">
        <f t="shared" si="78"/>
        <v>5.7991000000000001</v>
      </c>
      <c r="AD145" s="4">
        <f t="shared" si="79"/>
        <v>5.7970499999999996</v>
      </c>
      <c r="AE145" s="4">
        <f t="shared" si="80"/>
        <v>5.7799000000000005</v>
      </c>
      <c r="AF145" s="4">
        <f t="shared" si="81"/>
        <v>5.7835999999999999</v>
      </c>
      <c r="AG145" s="4">
        <f t="shared" si="82"/>
        <v>5.766</v>
      </c>
      <c r="AH145" s="4">
        <f t="shared" si="83"/>
        <v>5.8020000000000005</v>
      </c>
      <c r="AI145" s="4">
        <f t="shared" si="84"/>
        <v>5.8444500000000001</v>
      </c>
      <c r="AJ145" s="4">
        <f t="shared" si="85"/>
        <v>5.7848000000000006</v>
      </c>
      <c r="AK145" s="4">
        <f t="shared" si="86"/>
        <v>5.7651500000000002</v>
      </c>
      <c r="AN145" s="4">
        <f t="shared" si="87"/>
        <v>6.9100000000000605E-2</v>
      </c>
      <c r="AO145" s="4">
        <f t="shared" si="88"/>
        <v>6.7050000000000054E-2</v>
      </c>
      <c r="AP145" s="4">
        <f t="shared" si="89"/>
        <v>4.9900000000000944E-2</v>
      </c>
      <c r="AQ145" s="4">
        <f t="shared" si="90"/>
        <v>5.3600000000000314E-2</v>
      </c>
      <c r="AR145" s="4">
        <f t="shared" si="91"/>
        <v>3.6000000000000476E-2</v>
      </c>
      <c r="AS145" s="4">
        <f t="shared" si="92"/>
        <v>7.2000000000000952E-2</v>
      </c>
      <c r="AT145" s="4">
        <f t="shared" si="93"/>
        <v>0.11445000000000061</v>
      </c>
      <c r="AU145" s="4">
        <f t="shared" si="94"/>
        <v>5.480000000000107E-2</v>
      </c>
      <c r="AV145" s="4">
        <f t="shared" si="95"/>
        <v>3.5150000000000681E-2</v>
      </c>
    </row>
    <row r="146" spans="1:48" x14ac:dyDescent="0.25">
      <c r="A146" s="18">
        <v>146</v>
      </c>
      <c r="B146" s="19">
        <v>43552</v>
      </c>
      <c r="C146" s="20">
        <v>0.51623842592592595</v>
      </c>
      <c r="D146" s="18">
        <v>5.75</v>
      </c>
      <c r="E146" s="18">
        <v>5.63</v>
      </c>
      <c r="F146" s="18">
        <v>5.75</v>
      </c>
      <c r="G146" s="18">
        <v>5.5</v>
      </c>
      <c r="H146" s="18">
        <v>5.44</v>
      </c>
      <c r="I146" s="18">
        <v>5.5</v>
      </c>
      <c r="J146" s="18">
        <v>5.88</v>
      </c>
      <c r="K146" s="18">
        <v>5.75</v>
      </c>
      <c r="L146" s="18">
        <v>5.19</v>
      </c>
      <c r="N146" s="4">
        <v>5.62</v>
      </c>
      <c r="O146" s="4">
        <f>N146-'Sonde étalon'!$C$13</f>
        <v>5.79</v>
      </c>
      <c r="R146" s="4">
        <f t="shared" si="96"/>
        <v>-4.0000000000000036E-2</v>
      </c>
      <c r="S146" s="4">
        <f t="shared" si="97"/>
        <v>-0.16000000000000014</v>
      </c>
      <c r="T146" s="4">
        <f t="shared" si="98"/>
        <v>-4.0000000000000036E-2</v>
      </c>
      <c r="U146" s="4">
        <f t="shared" si="99"/>
        <v>-0.29000000000000004</v>
      </c>
      <c r="V146" s="4">
        <f t="shared" si="100"/>
        <v>-0.34999999999999964</v>
      </c>
      <c r="W146" s="4">
        <f t="shared" si="101"/>
        <v>-0.29000000000000004</v>
      </c>
      <c r="X146" s="4">
        <f t="shared" si="102"/>
        <v>8.9999999999999858E-2</v>
      </c>
      <c r="Y146" s="4">
        <f t="shared" si="103"/>
        <v>-4.0000000000000036E-2</v>
      </c>
      <c r="Z146" s="4">
        <f t="shared" si="104"/>
        <v>-0.59999999999999964</v>
      </c>
      <c r="AC146" s="4">
        <f t="shared" si="78"/>
        <v>5.8590999999999998</v>
      </c>
      <c r="AD146" s="4">
        <f t="shared" si="79"/>
        <v>5.8670499999999999</v>
      </c>
      <c r="AE146" s="4">
        <f t="shared" si="80"/>
        <v>5.8399000000000001</v>
      </c>
      <c r="AF146" s="4">
        <f t="shared" si="81"/>
        <v>5.8435999999999995</v>
      </c>
      <c r="AG146" s="4">
        <f t="shared" si="82"/>
        <v>5.8260000000000005</v>
      </c>
      <c r="AH146" s="4">
        <f t="shared" si="83"/>
        <v>5.8620000000000001</v>
      </c>
      <c r="AI146" s="4">
        <f t="shared" si="84"/>
        <v>5.8444500000000001</v>
      </c>
      <c r="AJ146" s="4">
        <f t="shared" si="85"/>
        <v>5.8448000000000002</v>
      </c>
      <c r="AK146" s="4">
        <f t="shared" si="86"/>
        <v>5.8251500000000007</v>
      </c>
      <c r="AN146" s="4">
        <f t="shared" si="87"/>
        <v>6.9099999999999717E-2</v>
      </c>
      <c r="AO146" s="4">
        <f t="shared" si="88"/>
        <v>7.7049999999999841E-2</v>
      </c>
      <c r="AP146" s="4">
        <f t="shared" si="89"/>
        <v>4.9900000000000055E-2</v>
      </c>
      <c r="AQ146" s="4">
        <f t="shared" si="90"/>
        <v>5.3599999999999426E-2</v>
      </c>
      <c r="AR146" s="4">
        <f t="shared" si="91"/>
        <v>3.6000000000000476E-2</v>
      </c>
      <c r="AS146" s="4">
        <f t="shared" si="92"/>
        <v>7.2000000000000064E-2</v>
      </c>
      <c r="AT146" s="4">
        <f t="shared" si="93"/>
        <v>5.4450000000000109E-2</v>
      </c>
      <c r="AU146" s="4">
        <f t="shared" si="94"/>
        <v>5.4800000000000182E-2</v>
      </c>
      <c r="AV146" s="4">
        <f t="shared" si="95"/>
        <v>3.5150000000000681E-2</v>
      </c>
    </row>
    <row r="147" spans="1:48" x14ac:dyDescent="0.25">
      <c r="A147" s="18">
        <v>147</v>
      </c>
      <c r="B147" s="19">
        <v>43552</v>
      </c>
      <c r="C147" s="20">
        <v>0.51693287037037039</v>
      </c>
      <c r="D147" s="18">
        <v>5.75</v>
      </c>
      <c r="E147" s="18">
        <v>5.63</v>
      </c>
      <c r="F147" s="18">
        <v>5.81</v>
      </c>
      <c r="G147" s="18">
        <v>5.56</v>
      </c>
      <c r="H147" s="18">
        <v>5.5</v>
      </c>
      <c r="I147" s="18">
        <v>5.56</v>
      </c>
      <c r="J147" s="18">
        <v>5.94</v>
      </c>
      <c r="K147" s="18">
        <v>5.81</v>
      </c>
      <c r="L147" s="18">
        <v>5.25</v>
      </c>
      <c r="N147" s="4">
        <v>5.67</v>
      </c>
      <c r="O147" s="4">
        <f>N147-'Sonde étalon'!$C$13</f>
        <v>5.84</v>
      </c>
      <c r="R147" s="4">
        <f t="shared" si="96"/>
        <v>-8.9999999999999858E-2</v>
      </c>
      <c r="S147" s="4">
        <f t="shared" si="97"/>
        <v>-0.20999999999999996</v>
      </c>
      <c r="T147" s="4">
        <f t="shared" si="98"/>
        <v>-3.0000000000000249E-2</v>
      </c>
      <c r="U147" s="4">
        <f t="shared" si="99"/>
        <v>-0.28000000000000025</v>
      </c>
      <c r="V147" s="4">
        <f t="shared" si="100"/>
        <v>-0.33999999999999986</v>
      </c>
      <c r="W147" s="4">
        <f t="shared" si="101"/>
        <v>-0.28000000000000025</v>
      </c>
      <c r="X147" s="4">
        <f t="shared" si="102"/>
        <v>0.10000000000000053</v>
      </c>
      <c r="Y147" s="4">
        <f t="shared" si="103"/>
        <v>-3.0000000000000249E-2</v>
      </c>
      <c r="Z147" s="4">
        <f t="shared" si="104"/>
        <v>-0.58999999999999986</v>
      </c>
      <c r="AC147" s="4">
        <f t="shared" si="78"/>
        <v>5.8590999999999998</v>
      </c>
      <c r="AD147" s="4">
        <f t="shared" si="79"/>
        <v>5.8670499999999999</v>
      </c>
      <c r="AE147" s="4">
        <f t="shared" si="80"/>
        <v>5.8998999999999997</v>
      </c>
      <c r="AF147" s="4">
        <f t="shared" si="81"/>
        <v>5.9035999999999991</v>
      </c>
      <c r="AG147" s="4">
        <f t="shared" si="82"/>
        <v>5.8860000000000001</v>
      </c>
      <c r="AH147" s="4">
        <f t="shared" si="83"/>
        <v>5.9219999999999997</v>
      </c>
      <c r="AI147" s="4">
        <f t="shared" si="84"/>
        <v>5.9044500000000006</v>
      </c>
      <c r="AJ147" s="4">
        <f t="shared" si="85"/>
        <v>5.9047999999999998</v>
      </c>
      <c r="AK147" s="4">
        <f t="shared" si="86"/>
        <v>5.8851500000000003</v>
      </c>
      <c r="AN147" s="4">
        <f t="shared" si="87"/>
        <v>1.9099999999999895E-2</v>
      </c>
      <c r="AO147" s="4">
        <f t="shared" si="88"/>
        <v>2.7050000000000018E-2</v>
      </c>
      <c r="AP147" s="4">
        <f t="shared" si="89"/>
        <v>5.9899999999999842E-2</v>
      </c>
      <c r="AQ147" s="4">
        <f t="shared" si="90"/>
        <v>6.3599999999999213E-2</v>
      </c>
      <c r="AR147" s="4">
        <f t="shared" si="91"/>
        <v>4.6000000000000263E-2</v>
      </c>
      <c r="AS147" s="4">
        <f t="shared" si="92"/>
        <v>8.1999999999999851E-2</v>
      </c>
      <c r="AT147" s="4">
        <f t="shared" si="93"/>
        <v>6.4450000000000784E-2</v>
      </c>
      <c r="AU147" s="4">
        <f t="shared" si="94"/>
        <v>6.4799999999999969E-2</v>
      </c>
      <c r="AV147" s="4">
        <f t="shared" si="95"/>
        <v>4.5150000000000468E-2</v>
      </c>
    </row>
    <row r="148" spans="1:48" x14ac:dyDescent="0.25">
      <c r="A148" s="18">
        <v>148</v>
      </c>
      <c r="B148" s="19">
        <v>43552</v>
      </c>
      <c r="C148" s="20">
        <v>0.51762731481481483</v>
      </c>
      <c r="D148" s="18">
        <v>5.81</v>
      </c>
      <c r="E148" s="18">
        <v>5.69</v>
      </c>
      <c r="F148" s="18">
        <v>5.88</v>
      </c>
      <c r="G148" s="18">
        <v>5.63</v>
      </c>
      <c r="H148" s="18">
        <v>5.5</v>
      </c>
      <c r="I148" s="18">
        <v>5.63</v>
      </c>
      <c r="J148" s="18">
        <v>6</v>
      </c>
      <c r="K148" s="18">
        <v>5.88</v>
      </c>
      <c r="L148" s="18">
        <v>5.31</v>
      </c>
      <c r="N148" s="4">
        <v>5.72</v>
      </c>
      <c r="O148" s="4">
        <f>N148-'Sonde étalon'!$C$13</f>
        <v>5.89</v>
      </c>
      <c r="R148" s="4">
        <f t="shared" si="96"/>
        <v>-8.0000000000000071E-2</v>
      </c>
      <c r="S148" s="4">
        <f t="shared" si="97"/>
        <v>-0.19999999999999929</v>
      </c>
      <c r="T148" s="4">
        <f t="shared" si="98"/>
        <v>-9.9999999999997868E-3</v>
      </c>
      <c r="U148" s="4">
        <f t="shared" si="99"/>
        <v>-0.25999999999999979</v>
      </c>
      <c r="V148" s="4">
        <f t="shared" si="100"/>
        <v>-0.38999999999999968</v>
      </c>
      <c r="W148" s="4">
        <f t="shared" si="101"/>
        <v>-0.25999999999999979</v>
      </c>
      <c r="X148" s="4">
        <f t="shared" si="102"/>
        <v>0.11000000000000032</v>
      </c>
      <c r="Y148" s="4">
        <f t="shared" si="103"/>
        <v>-9.9999999999997868E-3</v>
      </c>
      <c r="Z148" s="4">
        <f t="shared" si="104"/>
        <v>-0.58000000000000007</v>
      </c>
      <c r="AC148" s="4">
        <f t="shared" si="78"/>
        <v>5.9190999999999994</v>
      </c>
      <c r="AD148" s="4">
        <f t="shared" si="79"/>
        <v>5.9270500000000004</v>
      </c>
      <c r="AE148" s="4">
        <f t="shared" si="80"/>
        <v>5.9699</v>
      </c>
      <c r="AF148" s="4">
        <f t="shared" si="81"/>
        <v>5.9735999999999994</v>
      </c>
      <c r="AG148" s="4">
        <f t="shared" si="82"/>
        <v>5.8860000000000001</v>
      </c>
      <c r="AH148" s="4">
        <f t="shared" si="83"/>
        <v>5.992</v>
      </c>
      <c r="AI148" s="4">
        <f t="shared" si="84"/>
        <v>5.9644500000000003</v>
      </c>
      <c r="AJ148" s="4">
        <f t="shared" si="85"/>
        <v>5.9748000000000001</v>
      </c>
      <c r="AK148" s="4">
        <f t="shared" si="86"/>
        <v>5.9451499999999999</v>
      </c>
      <c r="AN148" s="4">
        <f t="shared" si="87"/>
        <v>2.9099999999999682E-2</v>
      </c>
      <c r="AO148" s="4">
        <f t="shared" si="88"/>
        <v>3.7050000000000693E-2</v>
      </c>
      <c r="AP148" s="4">
        <f t="shared" si="89"/>
        <v>7.9900000000000304E-2</v>
      </c>
      <c r="AQ148" s="4">
        <f t="shared" si="90"/>
        <v>8.3599999999999675E-2</v>
      </c>
      <c r="AR148" s="4">
        <f t="shared" si="91"/>
        <v>-3.9999999999995595E-3</v>
      </c>
      <c r="AS148" s="4">
        <f t="shared" si="92"/>
        <v>0.10200000000000031</v>
      </c>
      <c r="AT148" s="4">
        <f t="shared" si="93"/>
        <v>7.4450000000000571E-2</v>
      </c>
      <c r="AU148" s="4">
        <f t="shared" si="94"/>
        <v>8.4800000000000431E-2</v>
      </c>
      <c r="AV148" s="4">
        <f t="shared" si="95"/>
        <v>5.5150000000000254E-2</v>
      </c>
    </row>
    <row r="149" spans="1:48" x14ac:dyDescent="0.25">
      <c r="A149" s="18">
        <v>149</v>
      </c>
      <c r="B149" s="19">
        <v>43552</v>
      </c>
      <c r="C149" s="20">
        <v>0.51832175925925927</v>
      </c>
      <c r="D149" s="18">
        <v>5.88</v>
      </c>
      <c r="E149" s="18">
        <v>5.75</v>
      </c>
      <c r="F149" s="18">
        <v>5.88</v>
      </c>
      <c r="G149" s="18">
        <v>5.63</v>
      </c>
      <c r="H149" s="18">
        <v>5.56</v>
      </c>
      <c r="I149" s="18">
        <v>5.69</v>
      </c>
      <c r="J149" s="18">
        <v>6.06</v>
      </c>
      <c r="K149" s="18">
        <v>5.94</v>
      </c>
      <c r="L149" s="18">
        <v>5.38</v>
      </c>
      <c r="N149" s="4">
        <v>5.76</v>
      </c>
      <c r="O149" s="4">
        <f>N149-'Sonde étalon'!$C$13</f>
        <v>5.93</v>
      </c>
      <c r="R149" s="4">
        <f t="shared" si="96"/>
        <v>-4.9999999999999822E-2</v>
      </c>
      <c r="S149" s="4">
        <f t="shared" si="97"/>
        <v>-0.17999999999999972</v>
      </c>
      <c r="T149" s="4">
        <f t="shared" si="98"/>
        <v>-4.9999999999999822E-2</v>
      </c>
      <c r="U149" s="4">
        <f t="shared" si="99"/>
        <v>-0.29999999999999982</v>
      </c>
      <c r="V149" s="4">
        <f t="shared" si="100"/>
        <v>-0.37000000000000011</v>
      </c>
      <c r="W149" s="4">
        <f t="shared" si="101"/>
        <v>-0.23999999999999932</v>
      </c>
      <c r="X149" s="4">
        <f t="shared" si="102"/>
        <v>0.12999999999999989</v>
      </c>
      <c r="Y149" s="4">
        <f t="shared" si="103"/>
        <v>1.0000000000000675E-2</v>
      </c>
      <c r="Z149" s="4">
        <f t="shared" si="104"/>
        <v>-0.54999999999999982</v>
      </c>
      <c r="AC149" s="4">
        <f t="shared" si="78"/>
        <v>5.9890999999999996</v>
      </c>
      <c r="AD149" s="4">
        <f t="shared" si="79"/>
        <v>5.98705</v>
      </c>
      <c r="AE149" s="4">
        <f t="shared" si="80"/>
        <v>5.9699</v>
      </c>
      <c r="AF149" s="4">
        <f t="shared" si="81"/>
        <v>5.9735999999999994</v>
      </c>
      <c r="AG149" s="4">
        <f t="shared" si="82"/>
        <v>5.9459999999999997</v>
      </c>
      <c r="AH149" s="4">
        <f t="shared" si="83"/>
        <v>6.0520000000000005</v>
      </c>
      <c r="AI149" s="4">
        <f t="shared" si="84"/>
        <v>6.0244499999999999</v>
      </c>
      <c r="AJ149" s="4">
        <f t="shared" si="85"/>
        <v>6.0348000000000006</v>
      </c>
      <c r="AK149" s="4">
        <f t="shared" si="86"/>
        <v>6.0151500000000002</v>
      </c>
      <c r="AN149" s="4">
        <f t="shared" si="87"/>
        <v>5.909999999999993E-2</v>
      </c>
      <c r="AO149" s="4">
        <f t="shared" si="88"/>
        <v>5.7050000000000267E-2</v>
      </c>
      <c r="AP149" s="4">
        <f t="shared" si="89"/>
        <v>3.9900000000000269E-2</v>
      </c>
      <c r="AQ149" s="4">
        <f t="shared" si="90"/>
        <v>4.3599999999999639E-2</v>
      </c>
      <c r="AR149" s="4">
        <f t="shared" si="91"/>
        <v>1.6000000000000014E-2</v>
      </c>
      <c r="AS149" s="4">
        <f t="shared" si="92"/>
        <v>0.12200000000000077</v>
      </c>
      <c r="AT149" s="4">
        <f t="shared" si="93"/>
        <v>9.4450000000000145E-2</v>
      </c>
      <c r="AU149" s="4">
        <f t="shared" si="94"/>
        <v>0.10480000000000089</v>
      </c>
      <c r="AV149" s="4">
        <f t="shared" si="95"/>
        <v>8.5150000000000503E-2</v>
      </c>
    </row>
    <row r="150" spans="1:48" x14ac:dyDescent="0.25">
      <c r="A150" s="18">
        <v>150</v>
      </c>
      <c r="B150" s="19">
        <v>43552</v>
      </c>
      <c r="C150" s="20">
        <v>0.51901620370370372</v>
      </c>
      <c r="D150" s="18">
        <v>5.94</v>
      </c>
      <c r="E150" s="18">
        <v>5.81</v>
      </c>
      <c r="F150" s="18">
        <v>5.94</v>
      </c>
      <c r="G150" s="18">
        <v>5.69</v>
      </c>
      <c r="H150" s="18">
        <v>5.63</v>
      </c>
      <c r="I150" s="18">
        <v>5.69</v>
      </c>
      <c r="J150" s="18">
        <v>6.06</v>
      </c>
      <c r="K150" s="18">
        <v>5.94</v>
      </c>
      <c r="L150" s="18">
        <v>5.44</v>
      </c>
      <c r="N150" s="4">
        <v>5.82</v>
      </c>
      <c r="O150" s="4">
        <f>N150-'Sonde étalon'!$C$13</f>
        <v>5.99</v>
      </c>
      <c r="R150" s="4">
        <f t="shared" si="96"/>
        <v>-4.9999999999999822E-2</v>
      </c>
      <c r="S150" s="4">
        <f t="shared" si="97"/>
        <v>-0.1800000000000006</v>
      </c>
      <c r="T150" s="4">
        <f t="shared" si="98"/>
        <v>-4.9999999999999822E-2</v>
      </c>
      <c r="U150" s="4">
        <f t="shared" si="99"/>
        <v>-0.29999999999999982</v>
      </c>
      <c r="V150" s="4">
        <f t="shared" si="100"/>
        <v>-0.36000000000000032</v>
      </c>
      <c r="W150" s="4">
        <f t="shared" si="101"/>
        <v>-0.29999999999999982</v>
      </c>
      <c r="X150" s="4">
        <f t="shared" si="102"/>
        <v>6.9999999999999396E-2</v>
      </c>
      <c r="Y150" s="4">
        <f t="shared" si="103"/>
        <v>-4.9999999999999822E-2</v>
      </c>
      <c r="Z150" s="4">
        <f t="shared" si="104"/>
        <v>-0.54999999999999982</v>
      </c>
      <c r="AC150" s="4">
        <f t="shared" si="78"/>
        <v>6.0491000000000001</v>
      </c>
      <c r="AD150" s="4">
        <f t="shared" si="79"/>
        <v>6.0470499999999996</v>
      </c>
      <c r="AE150" s="4">
        <f t="shared" si="80"/>
        <v>6.0299000000000005</v>
      </c>
      <c r="AF150" s="4">
        <f t="shared" si="81"/>
        <v>6.0335999999999999</v>
      </c>
      <c r="AG150" s="4">
        <f t="shared" si="82"/>
        <v>6.016</v>
      </c>
      <c r="AH150" s="4">
        <f t="shared" si="83"/>
        <v>6.0520000000000005</v>
      </c>
      <c r="AI150" s="4">
        <f t="shared" si="84"/>
        <v>6.0244499999999999</v>
      </c>
      <c r="AJ150" s="4">
        <f t="shared" si="85"/>
        <v>6.0348000000000006</v>
      </c>
      <c r="AK150" s="4">
        <f t="shared" si="86"/>
        <v>6.0751500000000007</v>
      </c>
      <c r="AN150" s="4">
        <f t="shared" si="87"/>
        <v>5.909999999999993E-2</v>
      </c>
      <c r="AO150" s="4">
        <f t="shared" si="88"/>
        <v>5.7049999999999379E-2</v>
      </c>
      <c r="AP150" s="4">
        <f t="shared" si="89"/>
        <v>3.9900000000000269E-2</v>
      </c>
      <c r="AQ150" s="4">
        <f t="shared" si="90"/>
        <v>4.3599999999999639E-2</v>
      </c>
      <c r="AR150" s="4">
        <f t="shared" si="91"/>
        <v>2.5999999999999801E-2</v>
      </c>
      <c r="AS150" s="4">
        <f t="shared" si="92"/>
        <v>6.2000000000000277E-2</v>
      </c>
      <c r="AT150" s="4">
        <f t="shared" si="93"/>
        <v>3.4449999999999648E-2</v>
      </c>
      <c r="AU150" s="4">
        <f t="shared" si="94"/>
        <v>4.4800000000000395E-2</v>
      </c>
      <c r="AV150" s="4">
        <f t="shared" si="95"/>
        <v>8.5150000000000503E-2</v>
      </c>
    </row>
    <row r="151" spans="1:48" x14ac:dyDescent="0.25">
      <c r="A151" s="18">
        <v>151</v>
      </c>
      <c r="B151" s="19">
        <v>43552</v>
      </c>
      <c r="C151" s="20">
        <v>0.51971064814814816</v>
      </c>
      <c r="D151" s="18">
        <v>6</v>
      </c>
      <c r="E151" s="18">
        <v>5.81</v>
      </c>
      <c r="F151" s="18">
        <v>6</v>
      </c>
      <c r="G151" s="18">
        <v>5.75</v>
      </c>
      <c r="H151" s="18">
        <v>5.69</v>
      </c>
      <c r="I151" s="18">
        <v>5.75</v>
      </c>
      <c r="J151" s="18">
        <v>6.13</v>
      </c>
      <c r="K151" s="18">
        <v>6</v>
      </c>
      <c r="L151" s="18">
        <v>5.44</v>
      </c>
      <c r="N151" s="4">
        <v>5.86</v>
      </c>
      <c r="O151" s="4">
        <f>N151-'Sonde étalon'!$C$13</f>
        <v>6.03</v>
      </c>
      <c r="R151" s="4">
        <f t="shared" si="96"/>
        <v>-3.0000000000000249E-2</v>
      </c>
      <c r="S151" s="4">
        <f t="shared" si="97"/>
        <v>-0.22000000000000064</v>
      </c>
      <c r="T151" s="4">
        <f t="shared" si="98"/>
        <v>-3.0000000000000249E-2</v>
      </c>
      <c r="U151" s="4">
        <f t="shared" si="99"/>
        <v>-0.28000000000000025</v>
      </c>
      <c r="V151" s="4">
        <f t="shared" si="100"/>
        <v>-0.33999999999999986</v>
      </c>
      <c r="W151" s="4">
        <f t="shared" si="101"/>
        <v>-0.28000000000000025</v>
      </c>
      <c r="X151" s="4">
        <f t="shared" si="102"/>
        <v>9.9999999999999645E-2</v>
      </c>
      <c r="Y151" s="4">
        <f t="shared" si="103"/>
        <v>-3.0000000000000249E-2</v>
      </c>
      <c r="Z151" s="4">
        <f t="shared" si="104"/>
        <v>-0.58999999999999986</v>
      </c>
      <c r="AC151" s="4">
        <f t="shared" si="78"/>
        <v>6.1090999999999998</v>
      </c>
      <c r="AD151" s="4">
        <f t="shared" si="79"/>
        <v>6.0470499999999996</v>
      </c>
      <c r="AE151" s="4">
        <f t="shared" si="80"/>
        <v>6.0899000000000001</v>
      </c>
      <c r="AF151" s="4">
        <f t="shared" si="81"/>
        <v>6.0935999999999995</v>
      </c>
      <c r="AG151" s="4">
        <f t="shared" si="82"/>
        <v>6.0760000000000005</v>
      </c>
      <c r="AH151" s="4">
        <f t="shared" si="83"/>
        <v>6.1120000000000001</v>
      </c>
      <c r="AI151" s="4">
        <f t="shared" si="84"/>
        <v>6.0944500000000001</v>
      </c>
      <c r="AJ151" s="4">
        <f t="shared" si="85"/>
        <v>6.0948000000000002</v>
      </c>
      <c r="AK151" s="4">
        <f t="shared" si="86"/>
        <v>6.0751500000000007</v>
      </c>
      <c r="AN151" s="4">
        <f t="shared" si="87"/>
        <v>7.9099999999999504E-2</v>
      </c>
      <c r="AO151" s="4">
        <f t="shared" si="88"/>
        <v>1.7049999999999343E-2</v>
      </c>
      <c r="AP151" s="4">
        <f t="shared" si="89"/>
        <v>5.9899999999999842E-2</v>
      </c>
      <c r="AQ151" s="4">
        <f t="shared" si="90"/>
        <v>6.3599999999999213E-2</v>
      </c>
      <c r="AR151" s="4">
        <f t="shared" si="91"/>
        <v>4.6000000000000263E-2</v>
      </c>
      <c r="AS151" s="4">
        <f t="shared" si="92"/>
        <v>8.1999999999999851E-2</v>
      </c>
      <c r="AT151" s="4">
        <f t="shared" si="93"/>
        <v>6.4449999999999896E-2</v>
      </c>
      <c r="AU151" s="4">
        <f t="shared" si="94"/>
        <v>6.4799999999999969E-2</v>
      </c>
      <c r="AV151" s="4">
        <f t="shared" si="95"/>
        <v>4.5150000000000468E-2</v>
      </c>
    </row>
    <row r="152" spans="1:48" x14ac:dyDescent="0.25">
      <c r="A152" s="18">
        <v>152</v>
      </c>
      <c r="B152" s="19">
        <v>43552</v>
      </c>
      <c r="C152" s="20">
        <v>0.5204050925925926</v>
      </c>
      <c r="D152" s="18">
        <v>6.06</v>
      </c>
      <c r="E152" s="18">
        <v>5.88</v>
      </c>
      <c r="F152" s="18">
        <v>6.06</v>
      </c>
      <c r="G152" s="18">
        <v>5.81</v>
      </c>
      <c r="H152" s="18">
        <v>5.75</v>
      </c>
      <c r="I152" s="18">
        <v>5.81</v>
      </c>
      <c r="J152" s="18">
        <v>6.19</v>
      </c>
      <c r="K152" s="18">
        <v>6.06</v>
      </c>
      <c r="L152" s="18">
        <v>5.5</v>
      </c>
      <c r="N152" s="4">
        <v>5.92</v>
      </c>
      <c r="O152" s="4">
        <f>N152-'Sonde étalon'!$C$13</f>
        <v>6.09</v>
      </c>
      <c r="R152" s="4">
        <f t="shared" si="96"/>
        <v>-3.0000000000000249E-2</v>
      </c>
      <c r="S152" s="4">
        <f t="shared" si="97"/>
        <v>-0.20999999999999996</v>
      </c>
      <c r="T152" s="4">
        <f t="shared" si="98"/>
        <v>-3.0000000000000249E-2</v>
      </c>
      <c r="U152" s="4">
        <f t="shared" si="99"/>
        <v>-0.28000000000000025</v>
      </c>
      <c r="V152" s="4">
        <f t="shared" si="100"/>
        <v>-0.33999999999999986</v>
      </c>
      <c r="W152" s="4">
        <f t="shared" si="101"/>
        <v>-0.28000000000000025</v>
      </c>
      <c r="X152" s="4">
        <f t="shared" si="102"/>
        <v>0.10000000000000053</v>
      </c>
      <c r="Y152" s="4">
        <f t="shared" si="103"/>
        <v>-3.0000000000000249E-2</v>
      </c>
      <c r="Z152" s="4">
        <f t="shared" si="104"/>
        <v>-0.58999999999999986</v>
      </c>
      <c r="AC152" s="4">
        <f t="shared" si="78"/>
        <v>6.1690999999999994</v>
      </c>
      <c r="AD152" s="4">
        <f t="shared" si="79"/>
        <v>6.1170499999999999</v>
      </c>
      <c r="AE152" s="4">
        <f t="shared" si="80"/>
        <v>6.1498999999999997</v>
      </c>
      <c r="AF152" s="4">
        <f t="shared" si="81"/>
        <v>6.1535999999999991</v>
      </c>
      <c r="AG152" s="4">
        <f t="shared" si="82"/>
        <v>6.1360000000000001</v>
      </c>
      <c r="AH152" s="4">
        <f t="shared" si="83"/>
        <v>6.1719999999999997</v>
      </c>
      <c r="AI152" s="4">
        <f t="shared" si="84"/>
        <v>6.1544500000000006</v>
      </c>
      <c r="AJ152" s="4">
        <f t="shared" si="85"/>
        <v>6.1547999999999998</v>
      </c>
      <c r="AK152" s="4">
        <f t="shared" si="86"/>
        <v>6.1351500000000003</v>
      </c>
      <c r="AN152" s="4">
        <f t="shared" si="87"/>
        <v>7.9099999999999504E-2</v>
      </c>
      <c r="AO152" s="4">
        <f t="shared" si="88"/>
        <v>2.7050000000000018E-2</v>
      </c>
      <c r="AP152" s="4">
        <f t="shared" si="89"/>
        <v>5.9899999999999842E-2</v>
      </c>
      <c r="AQ152" s="4">
        <f t="shared" si="90"/>
        <v>6.3599999999999213E-2</v>
      </c>
      <c r="AR152" s="4">
        <f t="shared" si="91"/>
        <v>4.6000000000000263E-2</v>
      </c>
      <c r="AS152" s="4">
        <f t="shared" si="92"/>
        <v>8.1999999999999851E-2</v>
      </c>
      <c r="AT152" s="4">
        <f t="shared" si="93"/>
        <v>6.4450000000000784E-2</v>
      </c>
      <c r="AU152" s="4">
        <f t="shared" si="94"/>
        <v>6.4799999999999969E-2</v>
      </c>
      <c r="AV152" s="4">
        <f t="shared" si="95"/>
        <v>4.5150000000000468E-2</v>
      </c>
    </row>
    <row r="153" spans="1:48" x14ac:dyDescent="0.25">
      <c r="A153" s="18">
        <v>153</v>
      </c>
      <c r="B153" s="19">
        <v>43552</v>
      </c>
      <c r="C153" s="20">
        <v>0.52109953703703704</v>
      </c>
      <c r="D153" s="18">
        <v>6.06</v>
      </c>
      <c r="E153" s="18">
        <v>5.94</v>
      </c>
      <c r="F153" s="18">
        <v>6.13</v>
      </c>
      <c r="G153" s="18">
        <v>5.88</v>
      </c>
      <c r="H153" s="18">
        <v>5.75</v>
      </c>
      <c r="I153" s="18">
        <v>5.88</v>
      </c>
      <c r="J153" s="18">
        <v>6.25</v>
      </c>
      <c r="K153" s="18">
        <v>6.13</v>
      </c>
      <c r="L153" s="18">
        <v>5.63</v>
      </c>
      <c r="N153" s="4">
        <v>5.98</v>
      </c>
      <c r="O153" s="4">
        <f>N153-'Sonde étalon'!$C$13</f>
        <v>6.15</v>
      </c>
      <c r="R153" s="4">
        <f t="shared" si="96"/>
        <v>-9.0000000000000746E-2</v>
      </c>
      <c r="S153" s="4">
        <f t="shared" si="97"/>
        <v>-0.20999999999999996</v>
      </c>
      <c r="T153" s="4">
        <f t="shared" si="98"/>
        <v>-2.0000000000000462E-2</v>
      </c>
      <c r="U153" s="4">
        <f t="shared" si="99"/>
        <v>-0.27000000000000046</v>
      </c>
      <c r="V153" s="4">
        <f t="shared" si="100"/>
        <v>-0.40000000000000036</v>
      </c>
      <c r="W153" s="4">
        <f t="shared" si="101"/>
        <v>-0.27000000000000046</v>
      </c>
      <c r="X153" s="4">
        <f t="shared" si="102"/>
        <v>9.9999999999999645E-2</v>
      </c>
      <c r="Y153" s="4">
        <f t="shared" si="103"/>
        <v>-2.0000000000000462E-2</v>
      </c>
      <c r="Z153" s="4">
        <f t="shared" si="104"/>
        <v>-0.52000000000000046</v>
      </c>
      <c r="AC153" s="4">
        <f t="shared" si="78"/>
        <v>6.1690999999999994</v>
      </c>
      <c r="AD153" s="4">
        <f t="shared" si="79"/>
        <v>6.1770500000000004</v>
      </c>
      <c r="AE153" s="4">
        <f t="shared" si="80"/>
        <v>6.2199</v>
      </c>
      <c r="AF153" s="4">
        <f t="shared" si="81"/>
        <v>6.2235999999999994</v>
      </c>
      <c r="AG153" s="4">
        <f t="shared" si="82"/>
        <v>6.1360000000000001</v>
      </c>
      <c r="AH153" s="4">
        <f t="shared" si="83"/>
        <v>6.242</v>
      </c>
      <c r="AI153" s="4">
        <f t="shared" si="84"/>
        <v>6.2144500000000003</v>
      </c>
      <c r="AJ153" s="4">
        <f t="shared" si="85"/>
        <v>6.2248000000000001</v>
      </c>
      <c r="AK153" s="4">
        <f t="shared" si="86"/>
        <v>6.2651500000000002</v>
      </c>
      <c r="AN153" s="4">
        <f t="shared" si="87"/>
        <v>1.9099999999999007E-2</v>
      </c>
      <c r="AO153" s="4">
        <f t="shared" si="88"/>
        <v>2.7050000000000018E-2</v>
      </c>
      <c r="AP153" s="4">
        <f t="shared" si="89"/>
        <v>6.9899999999999629E-2</v>
      </c>
      <c r="AQ153" s="4">
        <f t="shared" si="90"/>
        <v>7.3599999999999E-2</v>
      </c>
      <c r="AR153" s="4">
        <f t="shared" si="91"/>
        <v>-1.4000000000000234E-2</v>
      </c>
      <c r="AS153" s="4">
        <f t="shared" si="92"/>
        <v>9.1999999999999638E-2</v>
      </c>
      <c r="AT153" s="4">
        <f t="shared" si="93"/>
        <v>6.4449999999999896E-2</v>
      </c>
      <c r="AU153" s="4">
        <f t="shared" si="94"/>
        <v>7.4799999999999756E-2</v>
      </c>
      <c r="AV153" s="4">
        <f t="shared" si="95"/>
        <v>0.11514999999999986</v>
      </c>
    </row>
    <row r="154" spans="1:48" x14ac:dyDescent="0.25">
      <c r="A154" s="18">
        <v>154</v>
      </c>
      <c r="B154" s="19">
        <v>43552</v>
      </c>
      <c r="C154" s="20">
        <v>0.52179398148148148</v>
      </c>
      <c r="D154" s="18">
        <v>6.13</v>
      </c>
      <c r="E154" s="18">
        <v>6</v>
      </c>
      <c r="F154" s="18">
        <v>6.19</v>
      </c>
      <c r="G154" s="18">
        <v>5.94</v>
      </c>
      <c r="H154" s="18">
        <v>5.88</v>
      </c>
      <c r="I154" s="18">
        <v>5.94</v>
      </c>
      <c r="J154" s="18">
        <v>6.25</v>
      </c>
      <c r="K154" s="18">
        <v>6.19</v>
      </c>
      <c r="L154" s="18">
        <v>5.63</v>
      </c>
      <c r="N154" s="4">
        <v>6.03</v>
      </c>
      <c r="O154" s="4">
        <f>N154-'Sonde étalon'!$C$13</f>
        <v>6.2</v>
      </c>
      <c r="R154" s="4">
        <f t="shared" si="96"/>
        <v>-7.0000000000000284E-2</v>
      </c>
      <c r="S154" s="4">
        <f t="shared" si="97"/>
        <v>-0.20000000000000018</v>
      </c>
      <c r="T154" s="4">
        <f t="shared" si="98"/>
        <v>-9.9999999999997868E-3</v>
      </c>
      <c r="U154" s="4">
        <f t="shared" si="99"/>
        <v>-0.25999999999999979</v>
      </c>
      <c r="V154" s="4">
        <f t="shared" si="100"/>
        <v>-0.32000000000000028</v>
      </c>
      <c r="W154" s="4">
        <f t="shared" si="101"/>
        <v>-0.25999999999999979</v>
      </c>
      <c r="X154" s="4">
        <f t="shared" si="102"/>
        <v>4.9999999999999822E-2</v>
      </c>
      <c r="Y154" s="4">
        <f t="shared" si="103"/>
        <v>-9.9999999999997868E-3</v>
      </c>
      <c r="Z154" s="4">
        <f t="shared" si="104"/>
        <v>-0.57000000000000028</v>
      </c>
      <c r="AC154" s="4">
        <f t="shared" si="78"/>
        <v>6.2390999999999996</v>
      </c>
      <c r="AD154" s="4">
        <f t="shared" si="79"/>
        <v>6.23705</v>
      </c>
      <c r="AE154" s="4">
        <f t="shared" si="80"/>
        <v>6.2799000000000005</v>
      </c>
      <c r="AF154" s="4">
        <f t="shared" si="81"/>
        <v>6.2835999999999999</v>
      </c>
      <c r="AG154" s="4">
        <f t="shared" si="82"/>
        <v>6.266</v>
      </c>
      <c r="AH154" s="4">
        <f t="shared" si="83"/>
        <v>6.3020000000000005</v>
      </c>
      <c r="AI154" s="4">
        <f t="shared" si="84"/>
        <v>6.2144500000000003</v>
      </c>
      <c r="AJ154" s="4">
        <f t="shared" si="85"/>
        <v>6.2848000000000006</v>
      </c>
      <c r="AK154" s="4">
        <f t="shared" si="86"/>
        <v>6.2651500000000002</v>
      </c>
      <c r="AN154" s="4">
        <f t="shared" si="87"/>
        <v>3.9099999999999469E-2</v>
      </c>
      <c r="AO154" s="4">
        <f t="shared" si="88"/>
        <v>3.7049999999999805E-2</v>
      </c>
      <c r="AP154" s="4">
        <f t="shared" si="89"/>
        <v>7.9900000000000304E-2</v>
      </c>
      <c r="AQ154" s="4">
        <f t="shared" si="90"/>
        <v>8.3599999999999675E-2</v>
      </c>
      <c r="AR154" s="4">
        <f t="shared" si="91"/>
        <v>6.5999999999999837E-2</v>
      </c>
      <c r="AS154" s="4">
        <f t="shared" si="92"/>
        <v>0.10200000000000031</v>
      </c>
      <c r="AT154" s="4">
        <f t="shared" si="93"/>
        <v>1.4450000000000074E-2</v>
      </c>
      <c r="AU154" s="4">
        <f t="shared" si="94"/>
        <v>8.4800000000000431E-2</v>
      </c>
      <c r="AV154" s="4">
        <f t="shared" si="95"/>
        <v>6.5150000000000041E-2</v>
      </c>
    </row>
    <row r="155" spans="1:48" x14ac:dyDescent="0.25">
      <c r="A155" s="18">
        <v>155</v>
      </c>
      <c r="B155" s="19">
        <v>43552</v>
      </c>
      <c r="C155" s="20">
        <v>0.52248842592592593</v>
      </c>
      <c r="D155" s="18">
        <v>6.19</v>
      </c>
      <c r="E155" s="18">
        <v>6</v>
      </c>
      <c r="F155" s="18">
        <v>6.19</v>
      </c>
      <c r="G155" s="18">
        <v>6</v>
      </c>
      <c r="H155" s="18">
        <v>5.88</v>
      </c>
      <c r="I155" s="18">
        <v>6</v>
      </c>
      <c r="J155" s="18">
        <v>6.31</v>
      </c>
      <c r="K155" s="18">
        <v>6.25</v>
      </c>
      <c r="L155" s="18">
        <v>5.69</v>
      </c>
      <c r="N155" s="4">
        <v>6.08</v>
      </c>
      <c r="O155" s="4">
        <f>N155-'Sonde étalon'!$C$13</f>
        <v>6.25</v>
      </c>
      <c r="R155" s="4">
        <f t="shared" si="96"/>
        <v>-5.9999999999999609E-2</v>
      </c>
      <c r="S155" s="4">
        <f t="shared" si="97"/>
        <v>-0.25</v>
      </c>
      <c r="T155" s="4">
        <f t="shared" si="98"/>
        <v>-5.9999999999999609E-2</v>
      </c>
      <c r="U155" s="4">
        <f t="shared" si="99"/>
        <v>-0.25</v>
      </c>
      <c r="V155" s="4">
        <f t="shared" si="100"/>
        <v>-0.37000000000000011</v>
      </c>
      <c r="W155" s="4">
        <f t="shared" si="101"/>
        <v>-0.25</v>
      </c>
      <c r="X155" s="4">
        <f t="shared" si="102"/>
        <v>5.9999999999999609E-2</v>
      </c>
      <c r="Y155" s="4">
        <f t="shared" si="103"/>
        <v>0</v>
      </c>
      <c r="Z155" s="4">
        <f t="shared" si="104"/>
        <v>-0.55999999999999961</v>
      </c>
      <c r="AC155" s="4">
        <f t="shared" si="78"/>
        <v>6.2991000000000001</v>
      </c>
      <c r="AD155" s="4">
        <f t="shared" si="79"/>
        <v>6.23705</v>
      </c>
      <c r="AE155" s="4">
        <f t="shared" si="80"/>
        <v>6.2799000000000005</v>
      </c>
      <c r="AF155" s="4">
        <f t="shared" si="81"/>
        <v>6.3435999999999995</v>
      </c>
      <c r="AG155" s="4">
        <f t="shared" si="82"/>
        <v>6.266</v>
      </c>
      <c r="AH155" s="4">
        <f t="shared" si="83"/>
        <v>6.3620000000000001</v>
      </c>
      <c r="AI155" s="4">
        <f t="shared" si="84"/>
        <v>6.2744499999999999</v>
      </c>
      <c r="AJ155" s="4">
        <f t="shared" si="85"/>
        <v>6.3448000000000002</v>
      </c>
      <c r="AK155" s="4">
        <f t="shared" si="86"/>
        <v>6.3251500000000007</v>
      </c>
      <c r="AN155" s="4">
        <f t="shared" si="87"/>
        <v>4.9100000000000144E-2</v>
      </c>
      <c r="AO155" s="4">
        <f t="shared" si="88"/>
        <v>-1.2950000000000017E-2</v>
      </c>
      <c r="AP155" s="4">
        <f t="shared" si="89"/>
        <v>2.9900000000000482E-2</v>
      </c>
      <c r="AQ155" s="4">
        <f t="shared" si="90"/>
        <v>9.3599999999999461E-2</v>
      </c>
      <c r="AR155" s="4">
        <f t="shared" si="91"/>
        <v>1.6000000000000014E-2</v>
      </c>
      <c r="AS155" s="4">
        <f t="shared" si="92"/>
        <v>0.1120000000000001</v>
      </c>
      <c r="AT155" s="4">
        <f t="shared" si="93"/>
        <v>2.4449999999999861E-2</v>
      </c>
      <c r="AU155" s="4">
        <f t="shared" si="94"/>
        <v>9.4800000000000217E-2</v>
      </c>
      <c r="AV155" s="4">
        <f t="shared" si="95"/>
        <v>7.5150000000000716E-2</v>
      </c>
    </row>
    <row r="156" spans="1:48" x14ac:dyDescent="0.25">
      <c r="A156" s="18">
        <v>156</v>
      </c>
      <c r="B156" s="19">
        <v>43552</v>
      </c>
      <c r="C156" s="20">
        <v>0.52318287037037037</v>
      </c>
      <c r="D156" s="18">
        <v>6.25</v>
      </c>
      <c r="E156" s="18">
        <v>6.06</v>
      </c>
      <c r="F156" s="18">
        <v>6.25</v>
      </c>
      <c r="G156" s="18">
        <v>6.06</v>
      </c>
      <c r="H156" s="18">
        <v>5.94</v>
      </c>
      <c r="I156" s="18">
        <v>6.06</v>
      </c>
      <c r="J156" s="18">
        <v>6.38</v>
      </c>
      <c r="K156" s="18">
        <v>6.31</v>
      </c>
      <c r="L156" s="18">
        <v>5.75</v>
      </c>
      <c r="N156" s="4">
        <v>6.14</v>
      </c>
      <c r="O156" s="4">
        <f>N156-'Sonde étalon'!$C$13</f>
        <v>6.31</v>
      </c>
      <c r="R156" s="4">
        <f t="shared" si="96"/>
        <v>-5.9999999999999609E-2</v>
      </c>
      <c r="S156" s="4">
        <f t="shared" si="97"/>
        <v>-0.25</v>
      </c>
      <c r="T156" s="4">
        <f t="shared" si="98"/>
        <v>-5.9999999999999609E-2</v>
      </c>
      <c r="U156" s="4">
        <f t="shared" si="99"/>
        <v>-0.25</v>
      </c>
      <c r="V156" s="4">
        <f t="shared" si="100"/>
        <v>-0.36999999999999922</v>
      </c>
      <c r="W156" s="4">
        <f t="shared" si="101"/>
        <v>-0.25</v>
      </c>
      <c r="X156" s="4">
        <f t="shared" si="102"/>
        <v>7.0000000000000284E-2</v>
      </c>
      <c r="Y156" s="4">
        <f t="shared" si="103"/>
        <v>0</v>
      </c>
      <c r="Z156" s="4">
        <f t="shared" si="104"/>
        <v>-0.55999999999999961</v>
      </c>
      <c r="AC156" s="4">
        <f t="shared" si="78"/>
        <v>6.3590999999999998</v>
      </c>
      <c r="AD156" s="4">
        <f t="shared" si="79"/>
        <v>6.2970499999999996</v>
      </c>
      <c r="AE156" s="4">
        <f t="shared" si="80"/>
        <v>6.3399000000000001</v>
      </c>
      <c r="AF156" s="4">
        <f t="shared" si="81"/>
        <v>6.4035999999999991</v>
      </c>
      <c r="AG156" s="4">
        <f t="shared" si="82"/>
        <v>6.3260000000000005</v>
      </c>
      <c r="AH156" s="4">
        <f t="shared" si="83"/>
        <v>6.4219999999999997</v>
      </c>
      <c r="AI156" s="4">
        <f t="shared" si="84"/>
        <v>6.3444500000000001</v>
      </c>
      <c r="AJ156" s="4">
        <f t="shared" si="85"/>
        <v>6.4047999999999998</v>
      </c>
      <c r="AK156" s="4">
        <f t="shared" si="86"/>
        <v>6.3851500000000003</v>
      </c>
      <c r="AN156" s="4">
        <f t="shared" si="87"/>
        <v>4.9100000000000144E-2</v>
      </c>
      <c r="AO156" s="4">
        <f t="shared" si="88"/>
        <v>-1.2950000000000017E-2</v>
      </c>
      <c r="AP156" s="4">
        <f t="shared" si="89"/>
        <v>2.9900000000000482E-2</v>
      </c>
      <c r="AQ156" s="4">
        <f t="shared" si="90"/>
        <v>9.3599999999999461E-2</v>
      </c>
      <c r="AR156" s="4">
        <f t="shared" si="91"/>
        <v>1.6000000000000902E-2</v>
      </c>
      <c r="AS156" s="4">
        <f t="shared" si="92"/>
        <v>0.1120000000000001</v>
      </c>
      <c r="AT156" s="4">
        <f t="shared" si="93"/>
        <v>3.4450000000000536E-2</v>
      </c>
      <c r="AU156" s="4">
        <f t="shared" si="94"/>
        <v>9.4800000000000217E-2</v>
      </c>
      <c r="AV156" s="4">
        <f t="shared" si="95"/>
        <v>7.5150000000000716E-2</v>
      </c>
    </row>
    <row r="157" spans="1:48" x14ac:dyDescent="0.25">
      <c r="A157" s="18">
        <v>157</v>
      </c>
      <c r="B157" s="19">
        <v>43552</v>
      </c>
      <c r="C157" s="20">
        <v>0.52387731481481481</v>
      </c>
      <c r="D157" s="18">
        <v>6.31</v>
      </c>
      <c r="E157" s="18">
        <v>6.13</v>
      </c>
      <c r="F157" s="18">
        <v>6.31</v>
      </c>
      <c r="G157" s="18">
        <v>6.06</v>
      </c>
      <c r="H157" s="18">
        <v>6</v>
      </c>
      <c r="I157" s="18">
        <v>6.13</v>
      </c>
      <c r="J157" s="18">
        <v>6.44</v>
      </c>
      <c r="K157" s="18">
        <v>6.31</v>
      </c>
      <c r="L157" s="18">
        <v>5.81</v>
      </c>
      <c r="N157" s="4">
        <v>6.2</v>
      </c>
      <c r="O157" s="4">
        <f>N157-'Sonde étalon'!$C$13</f>
        <v>6.37</v>
      </c>
      <c r="R157" s="4">
        <f t="shared" si="96"/>
        <v>-6.0000000000000497E-2</v>
      </c>
      <c r="S157" s="4">
        <f t="shared" si="97"/>
        <v>-0.24000000000000021</v>
      </c>
      <c r="T157" s="4">
        <f t="shared" si="98"/>
        <v>-6.0000000000000497E-2</v>
      </c>
      <c r="U157" s="4">
        <f t="shared" si="99"/>
        <v>-0.3100000000000005</v>
      </c>
      <c r="V157" s="4">
        <f t="shared" si="100"/>
        <v>-0.37000000000000011</v>
      </c>
      <c r="W157" s="4">
        <f t="shared" si="101"/>
        <v>-0.24000000000000021</v>
      </c>
      <c r="X157" s="4">
        <f t="shared" si="102"/>
        <v>7.0000000000000284E-2</v>
      </c>
      <c r="Y157" s="4">
        <f t="shared" si="103"/>
        <v>-6.0000000000000497E-2</v>
      </c>
      <c r="Z157" s="4">
        <f t="shared" si="104"/>
        <v>-0.5600000000000005</v>
      </c>
      <c r="AC157" s="4">
        <f t="shared" si="78"/>
        <v>6.4190999999999994</v>
      </c>
      <c r="AD157" s="4">
        <f t="shared" si="79"/>
        <v>6.3670499999999999</v>
      </c>
      <c r="AE157" s="4">
        <f t="shared" si="80"/>
        <v>6.3998999999999997</v>
      </c>
      <c r="AF157" s="4">
        <f t="shared" si="81"/>
        <v>6.4035999999999991</v>
      </c>
      <c r="AG157" s="4">
        <f t="shared" si="82"/>
        <v>6.3860000000000001</v>
      </c>
      <c r="AH157" s="4">
        <f t="shared" si="83"/>
        <v>6.492</v>
      </c>
      <c r="AI157" s="4">
        <f t="shared" si="84"/>
        <v>6.4044500000000006</v>
      </c>
      <c r="AJ157" s="4">
        <f t="shared" si="85"/>
        <v>6.4047999999999998</v>
      </c>
      <c r="AK157" s="4">
        <f t="shared" si="86"/>
        <v>6.4451499999999999</v>
      </c>
      <c r="AN157" s="4">
        <f t="shared" si="87"/>
        <v>4.9099999999999255E-2</v>
      </c>
      <c r="AO157" s="4">
        <f t="shared" si="88"/>
        <v>-2.9500000000002302E-3</v>
      </c>
      <c r="AP157" s="4">
        <f t="shared" si="89"/>
        <v>2.9899999999999594E-2</v>
      </c>
      <c r="AQ157" s="4">
        <f t="shared" si="90"/>
        <v>3.3599999999998964E-2</v>
      </c>
      <c r="AR157" s="4">
        <f t="shared" si="91"/>
        <v>1.6000000000000014E-2</v>
      </c>
      <c r="AS157" s="4">
        <f t="shared" si="92"/>
        <v>0.12199999999999989</v>
      </c>
      <c r="AT157" s="4">
        <f t="shared" si="93"/>
        <v>3.4450000000000536E-2</v>
      </c>
      <c r="AU157" s="4">
        <f t="shared" si="94"/>
        <v>3.479999999999972E-2</v>
      </c>
      <c r="AV157" s="4">
        <f t="shared" si="95"/>
        <v>7.5149999999999828E-2</v>
      </c>
    </row>
    <row r="158" spans="1:48" x14ac:dyDescent="0.25">
      <c r="A158" s="18">
        <v>158</v>
      </c>
      <c r="B158" s="19">
        <v>43552</v>
      </c>
      <c r="C158" s="20">
        <v>0.52457175925925925</v>
      </c>
      <c r="D158" s="18">
        <v>6.38</v>
      </c>
      <c r="E158" s="18">
        <v>6.19</v>
      </c>
      <c r="F158" s="18">
        <v>6.38</v>
      </c>
      <c r="G158" s="18">
        <v>6.13</v>
      </c>
      <c r="H158" s="18">
        <v>6.06</v>
      </c>
      <c r="I158" s="18">
        <v>6.19</v>
      </c>
      <c r="J158" s="18">
        <v>6.5</v>
      </c>
      <c r="K158" s="18">
        <v>6.38</v>
      </c>
      <c r="L158" s="18">
        <v>5.88</v>
      </c>
      <c r="N158" s="4">
        <v>6.26</v>
      </c>
      <c r="O158" s="4">
        <f>N158-'Sonde étalon'!$C$13</f>
        <v>6.43</v>
      </c>
      <c r="R158" s="4">
        <f t="shared" si="96"/>
        <v>-4.9999999999999822E-2</v>
      </c>
      <c r="S158" s="4">
        <f t="shared" si="97"/>
        <v>-0.23999999999999932</v>
      </c>
      <c r="T158" s="4">
        <f t="shared" si="98"/>
        <v>-4.9999999999999822E-2</v>
      </c>
      <c r="U158" s="4">
        <f t="shared" si="99"/>
        <v>-0.29999999999999982</v>
      </c>
      <c r="V158" s="4">
        <f t="shared" si="100"/>
        <v>-0.37000000000000011</v>
      </c>
      <c r="W158" s="4">
        <f t="shared" si="101"/>
        <v>-0.23999999999999932</v>
      </c>
      <c r="X158" s="4">
        <f t="shared" si="102"/>
        <v>7.0000000000000284E-2</v>
      </c>
      <c r="Y158" s="4">
        <f t="shared" si="103"/>
        <v>-4.9999999999999822E-2</v>
      </c>
      <c r="Z158" s="4">
        <f t="shared" si="104"/>
        <v>-0.54999999999999982</v>
      </c>
      <c r="AC158" s="4">
        <f t="shared" si="78"/>
        <v>6.4890999999999996</v>
      </c>
      <c r="AD158" s="4">
        <f t="shared" si="79"/>
        <v>6.4270500000000004</v>
      </c>
      <c r="AE158" s="4">
        <f t="shared" si="80"/>
        <v>6.4699</v>
      </c>
      <c r="AF158" s="4">
        <f t="shared" si="81"/>
        <v>6.4735999999999994</v>
      </c>
      <c r="AG158" s="4">
        <f t="shared" si="82"/>
        <v>6.4459999999999997</v>
      </c>
      <c r="AH158" s="4">
        <f t="shared" si="83"/>
        <v>6.5520000000000005</v>
      </c>
      <c r="AI158" s="4">
        <f t="shared" si="84"/>
        <v>6.4644500000000003</v>
      </c>
      <c r="AJ158" s="4">
        <f t="shared" si="85"/>
        <v>6.4748000000000001</v>
      </c>
      <c r="AK158" s="4">
        <f t="shared" si="86"/>
        <v>6.5151500000000002</v>
      </c>
      <c r="AN158" s="4">
        <f t="shared" si="87"/>
        <v>5.909999999999993E-2</v>
      </c>
      <c r="AO158" s="4">
        <f t="shared" si="88"/>
        <v>-2.949999999999342E-3</v>
      </c>
      <c r="AP158" s="4">
        <f t="shared" si="89"/>
        <v>3.9900000000000269E-2</v>
      </c>
      <c r="AQ158" s="4">
        <f t="shared" si="90"/>
        <v>4.3599999999999639E-2</v>
      </c>
      <c r="AR158" s="4">
        <f t="shared" si="91"/>
        <v>1.6000000000000014E-2</v>
      </c>
      <c r="AS158" s="4">
        <f t="shared" si="92"/>
        <v>0.12200000000000077</v>
      </c>
      <c r="AT158" s="4">
        <f t="shared" si="93"/>
        <v>3.4450000000000536E-2</v>
      </c>
      <c r="AU158" s="4">
        <f t="shared" si="94"/>
        <v>4.4800000000000395E-2</v>
      </c>
      <c r="AV158" s="4">
        <f t="shared" si="95"/>
        <v>8.5150000000000503E-2</v>
      </c>
    </row>
    <row r="159" spans="1:48" x14ac:dyDescent="0.25">
      <c r="A159" s="18">
        <v>159</v>
      </c>
      <c r="B159" s="19">
        <v>43552</v>
      </c>
      <c r="C159" s="20">
        <v>0.52526620370370369</v>
      </c>
      <c r="D159" s="18">
        <v>6.44</v>
      </c>
      <c r="E159" s="18">
        <v>6.25</v>
      </c>
      <c r="F159" s="18">
        <v>6.44</v>
      </c>
      <c r="G159" s="18">
        <v>6.19</v>
      </c>
      <c r="H159" s="18">
        <v>6.13</v>
      </c>
      <c r="I159" s="18">
        <v>6.25</v>
      </c>
      <c r="J159" s="18">
        <v>6.56</v>
      </c>
      <c r="K159" s="18">
        <v>6.44</v>
      </c>
      <c r="L159" s="18">
        <v>5.94</v>
      </c>
      <c r="N159" s="4">
        <v>6.32</v>
      </c>
      <c r="O159" s="4">
        <f>N159-'Sonde étalon'!$C$13</f>
        <v>6.49</v>
      </c>
      <c r="R159" s="4">
        <f t="shared" si="96"/>
        <v>-4.9999999999999822E-2</v>
      </c>
      <c r="S159" s="4">
        <f t="shared" si="97"/>
        <v>-0.24000000000000021</v>
      </c>
      <c r="T159" s="4">
        <f t="shared" si="98"/>
        <v>-4.9999999999999822E-2</v>
      </c>
      <c r="U159" s="4">
        <f t="shared" si="99"/>
        <v>-0.29999999999999982</v>
      </c>
      <c r="V159" s="4">
        <f t="shared" si="100"/>
        <v>-0.36000000000000032</v>
      </c>
      <c r="W159" s="4">
        <f t="shared" si="101"/>
        <v>-0.24000000000000021</v>
      </c>
      <c r="X159" s="4">
        <f t="shared" si="102"/>
        <v>6.9999999999999396E-2</v>
      </c>
      <c r="Y159" s="4">
        <f t="shared" si="103"/>
        <v>-4.9999999999999822E-2</v>
      </c>
      <c r="Z159" s="4">
        <f t="shared" si="104"/>
        <v>-0.54999999999999982</v>
      </c>
      <c r="AC159" s="4">
        <f t="shared" si="78"/>
        <v>6.5491000000000001</v>
      </c>
      <c r="AD159" s="4">
        <f t="shared" si="79"/>
        <v>6.48705</v>
      </c>
      <c r="AE159" s="4">
        <f t="shared" si="80"/>
        <v>6.5299000000000005</v>
      </c>
      <c r="AF159" s="4">
        <f t="shared" si="81"/>
        <v>6.5335999999999999</v>
      </c>
      <c r="AG159" s="4">
        <f t="shared" si="82"/>
        <v>6.516</v>
      </c>
      <c r="AH159" s="4">
        <f t="shared" si="83"/>
        <v>6.6120000000000001</v>
      </c>
      <c r="AI159" s="4">
        <f t="shared" si="84"/>
        <v>6.5244499999999999</v>
      </c>
      <c r="AJ159" s="4">
        <f t="shared" si="85"/>
        <v>6.5348000000000006</v>
      </c>
      <c r="AK159" s="4">
        <f t="shared" si="86"/>
        <v>6.5751500000000007</v>
      </c>
      <c r="AN159" s="4">
        <f t="shared" si="87"/>
        <v>5.909999999999993E-2</v>
      </c>
      <c r="AO159" s="4">
        <f t="shared" si="88"/>
        <v>-2.9500000000002302E-3</v>
      </c>
      <c r="AP159" s="4">
        <f t="shared" si="89"/>
        <v>3.9900000000000269E-2</v>
      </c>
      <c r="AQ159" s="4">
        <f t="shared" si="90"/>
        <v>4.3599999999999639E-2</v>
      </c>
      <c r="AR159" s="4">
        <f t="shared" si="91"/>
        <v>2.5999999999999801E-2</v>
      </c>
      <c r="AS159" s="4">
        <f t="shared" si="92"/>
        <v>0.12199999999999989</v>
      </c>
      <c r="AT159" s="4">
        <f t="shared" si="93"/>
        <v>3.4449999999999648E-2</v>
      </c>
      <c r="AU159" s="4">
        <f t="shared" si="94"/>
        <v>4.4800000000000395E-2</v>
      </c>
      <c r="AV159" s="4">
        <f t="shared" si="95"/>
        <v>8.5150000000000503E-2</v>
      </c>
    </row>
    <row r="160" spans="1:48" x14ac:dyDescent="0.25">
      <c r="A160" s="18">
        <v>160</v>
      </c>
      <c r="B160" s="19">
        <v>43552</v>
      </c>
      <c r="C160" s="20">
        <v>0.52596064814814814</v>
      </c>
      <c r="D160" s="18">
        <v>6.44</v>
      </c>
      <c r="E160" s="18">
        <v>6.31</v>
      </c>
      <c r="F160" s="18">
        <v>6.5</v>
      </c>
      <c r="G160" s="18">
        <v>6.25</v>
      </c>
      <c r="H160" s="18">
        <v>6.19</v>
      </c>
      <c r="I160" s="18">
        <v>6.31</v>
      </c>
      <c r="J160" s="18">
        <v>6.56</v>
      </c>
      <c r="K160" s="18">
        <v>6.5</v>
      </c>
      <c r="L160" s="18">
        <v>6</v>
      </c>
      <c r="N160" s="4">
        <v>6.38</v>
      </c>
      <c r="O160" s="4">
        <f>N160-'Sonde étalon'!$C$13</f>
        <v>6.55</v>
      </c>
      <c r="R160" s="4">
        <f t="shared" si="96"/>
        <v>-0.10999999999999943</v>
      </c>
      <c r="S160" s="4">
        <f t="shared" si="97"/>
        <v>-0.24000000000000021</v>
      </c>
      <c r="T160" s="4">
        <f t="shared" si="98"/>
        <v>-4.9999999999999822E-2</v>
      </c>
      <c r="U160" s="4">
        <f t="shared" si="99"/>
        <v>-0.29999999999999982</v>
      </c>
      <c r="V160" s="4">
        <f t="shared" si="100"/>
        <v>-0.35999999999999943</v>
      </c>
      <c r="W160" s="4">
        <f t="shared" si="101"/>
        <v>-0.24000000000000021</v>
      </c>
      <c r="X160" s="4">
        <f t="shared" si="102"/>
        <v>9.9999999999997868E-3</v>
      </c>
      <c r="Y160" s="4">
        <f t="shared" si="103"/>
        <v>-4.9999999999999822E-2</v>
      </c>
      <c r="Z160" s="4">
        <f t="shared" si="104"/>
        <v>-0.54999999999999982</v>
      </c>
      <c r="AC160" s="4">
        <f t="shared" si="78"/>
        <v>6.5491000000000001</v>
      </c>
      <c r="AD160" s="4">
        <f t="shared" si="79"/>
        <v>6.5470499999999996</v>
      </c>
      <c r="AE160" s="4">
        <f t="shared" si="80"/>
        <v>6.5899000000000001</v>
      </c>
      <c r="AF160" s="4">
        <f t="shared" si="81"/>
        <v>6.5935999999999995</v>
      </c>
      <c r="AG160" s="4">
        <f t="shared" si="82"/>
        <v>6.5760000000000005</v>
      </c>
      <c r="AH160" s="4">
        <f t="shared" si="83"/>
        <v>6.6719999999999997</v>
      </c>
      <c r="AI160" s="4">
        <f t="shared" si="84"/>
        <v>6.5244499999999999</v>
      </c>
      <c r="AJ160" s="4">
        <f t="shared" si="85"/>
        <v>6.5948000000000002</v>
      </c>
      <c r="AK160" s="4">
        <f t="shared" si="86"/>
        <v>6.6351500000000003</v>
      </c>
      <c r="AN160" s="4">
        <f t="shared" si="87"/>
        <v>-8.9999999999967883E-4</v>
      </c>
      <c r="AO160" s="4">
        <f t="shared" si="88"/>
        <v>-2.9500000000002302E-3</v>
      </c>
      <c r="AP160" s="4">
        <f t="shared" si="89"/>
        <v>3.9900000000000269E-2</v>
      </c>
      <c r="AQ160" s="4">
        <f t="shared" si="90"/>
        <v>4.3599999999999639E-2</v>
      </c>
      <c r="AR160" s="4">
        <f t="shared" si="91"/>
        <v>2.6000000000000689E-2</v>
      </c>
      <c r="AS160" s="4">
        <f t="shared" si="92"/>
        <v>0.12199999999999989</v>
      </c>
      <c r="AT160" s="4">
        <f t="shared" si="93"/>
        <v>-2.5549999999999962E-2</v>
      </c>
      <c r="AU160" s="4">
        <f t="shared" si="94"/>
        <v>4.4800000000000395E-2</v>
      </c>
      <c r="AV160" s="4">
        <f t="shared" si="95"/>
        <v>8.5150000000000503E-2</v>
      </c>
    </row>
    <row r="161" spans="1:48" x14ac:dyDescent="0.25">
      <c r="A161" s="18">
        <v>161</v>
      </c>
      <c r="B161" s="19">
        <v>43552</v>
      </c>
      <c r="C161" s="20">
        <v>0.52665509259259258</v>
      </c>
      <c r="D161" s="18">
        <v>6.5</v>
      </c>
      <c r="E161" s="18">
        <v>6.38</v>
      </c>
      <c r="F161" s="18">
        <v>6.56</v>
      </c>
      <c r="G161" s="18">
        <v>6.31</v>
      </c>
      <c r="H161" s="18">
        <v>6.25</v>
      </c>
      <c r="I161" s="18">
        <v>6.38</v>
      </c>
      <c r="J161" s="18">
        <v>6.63</v>
      </c>
      <c r="K161" s="18">
        <v>6.56</v>
      </c>
      <c r="L161" s="18">
        <v>6.06</v>
      </c>
      <c r="N161" s="4">
        <v>6.43</v>
      </c>
      <c r="O161" s="4">
        <f>N161-'Sonde étalon'!$C$13</f>
        <v>6.6</v>
      </c>
      <c r="R161" s="4">
        <f t="shared" si="96"/>
        <v>-9.9999999999999645E-2</v>
      </c>
      <c r="S161" s="4">
        <f t="shared" si="97"/>
        <v>-0.21999999999999975</v>
      </c>
      <c r="T161" s="4">
        <f t="shared" si="98"/>
        <v>-4.0000000000000036E-2</v>
      </c>
      <c r="U161" s="4">
        <f t="shared" si="99"/>
        <v>-0.29000000000000004</v>
      </c>
      <c r="V161" s="4">
        <f t="shared" si="100"/>
        <v>-0.34999999999999964</v>
      </c>
      <c r="W161" s="4">
        <f t="shared" si="101"/>
        <v>-0.21999999999999975</v>
      </c>
      <c r="X161" s="4">
        <f t="shared" si="102"/>
        <v>3.0000000000000249E-2</v>
      </c>
      <c r="Y161" s="4">
        <f t="shared" si="103"/>
        <v>-4.0000000000000036E-2</v>
      </c>
      <c r="Z161" s="4">
        <f t="shared" si="104"/>
        <v>-0.54</v>
      </c>
      <c r="AC161" s="4">
        <f t="shared" si="78"/>
        <v>6.6090999999999998</v>
      </c>
      <c r="AD161" s="4">
        <f t="shared" si="79"/>
        <v>6.6170499999999999</v>
      </c>
      <c r="AE161" s="4">
        <f t="shared" si="80"/>
        <v>6.6498999999999997</v>
      </c>
      <c r="AF161" s="4">
        <f t="shared" si="81"/>
        <v>6.6535999999999991</v>
      </c>
      <c r="AG161" s="4">
        <f t="shared" si="82"/>
        <v>6.6360000000000001</v>
      </c>
      <c r="AH161" s="4">
        <f t="shared" si="83"/>
        <v>6.742</v>
      </c>
      <c r="AI161" s="4">
        <f t="shared" si="84"/>
        <v>6.5944500000000001</v>
      </c>
      <c r="AJ161" s="4">
        <f t="shared" si="85"/>
        <v>6.6547999999999998</v>
      </c>
      <c r="AK161" s="4">
        <f t="shared" si="86"/>
        <v>6.6951499999999999</v>
      </c>
      <c r="AN161" s="4">
        <f t="shared" si="87"/>
        <v>9.100000000000108E-3</v>
      </c>
      <c r="AO161" s="4">
        <f t="shared" si="88"/>
        <v>1.7050000000000232E-2</v>
      </c>
      <c r="AP161" s="4">
        <f t="shared" si="89"/>
        <v>4.9900000000000055E-2</v>
      </c>
      <c r="AQ161" s="4">
        <f t="shared" si="90"/>
        <v>5.3599999999999426E-2</v>
      </c>
      <c r="AR161" s="4">
        <f t="shared" si="91"/>
        <v>3.6000000000000476E-2</v>
      </c>
      <c r="AS161" s="4">
        <f t="shared" si="92"/>
        <v>0.14200000000000035</v>
      </c>
      <c r="AT161" s="4">
        <f t="shared" si="93"/>
        <v>-5.5499999999994998E-3</v>
      </c>
      <c r="AU161" s="4">
        <f t="shared" si="94"/>
        <v>5.4800000000000182E-2</v>
      </c>
      <c r="AV161" s="4">
        <f t="shared" si="95"/>
        <v>9.515000000000029E-2</v>
      </c>
    </row>
    <row r="162" spans="1:48" x14ac:dyDescent="0.25">
      <c r="A162" s="18">
        <v>162</v>
      </c>
      <c r="B162" s="19">
        <v>43552</v>
      </c>
      <c r="C162" s="20">
        <v>0.52734953703703702</v>
      </c>
      <c r="D162" s="18">
        <v>6.56</v>
      </c>
      <c r="E162" s="18">
        <v>6.44</v>
      </c>
      <c r="F162" s="18">
        <v>6.63</v>
      </c>
      <c r="G162" s="18">
        <v>6.38</v>
      </c>
      <c r="H162" s="18">
        <v>6.31</v>
      </c>
      <c r="I162" s="18">
        <v>6.44</v>
      </c>
      <c r="J162" s="18">
        <v>6.69</v>
      </c>
      <c r="K162" s="18">
        <v>6.63</v>
      </c>
      <c r="L162" s="18">
        <v>6.13</v>
      </c>
      <c r="N162" s="4">
        <v>6.48</v>
      </c>
      <c r="O162" s="4">
        <f>N162-'Sonde étalon'!$C$13</f>
        <v>6.65</v>
      </c>
      <c r="R162" s="4">
        <f t="shared" si="96"/>
        <v>-9.0000000000000746E-2</v>
      </c>
      <c r="S162" s="4">
        <f t="shared" si="97"/>
        <v>-0.20999999999999996</v>
      </c>
      <c r="T162" s="4">
        <f t="shared" si="98"/>
        <v>-2.0000000000000462E-2</v>
      </c>
      <c r="U162" s="4">
        <f t="shared" si="99"/>
        <v>-0.27000000000000046</v>
      </c>
      <c r="V162" s="4">
        <f t="shared" si="100"/>
        <v>-0.34000000000000075</v>
      </c>
      <c r="W162" s="4">
        <f t="shared" si="101"/>
        <v>-0.20999999999999996</v>
      </c>
      <c r="X162" s="4">
        <f t="shared" si="102"/>
        <v>4.0000000000000036E-2</v>
      </c>
      <c r="Y162" s="4">
        <f t="shared" si="103"/>
        <v>-2.0000000000000462E-2</v>
      </c>
      <c r="Z162" s="4">
        <f t="shared" si="104"/>
        <v>-0.52000000000000046</v>
      </c>
      <c r="AC162" s="4">
        <f t="shared" si="78"/>
        <v>6.6690999999999994</v>
      </c>
      <c r="AD162" s="4">
        <f t="shared" si="79"/>
        <v>6.6770500000000004</v>
      </c>
      <c r="AE162" s="4">
        <f t="shared" si="80"/>
        <v>6.7199</v>
      </c>
      <c r="AF162" s="4">
        <f t="shared" si="81"/>
        <v>6.7235999999999994</v>
      </c>
      <c r="AG162" s="4">
        <f t="shared" si="82"/>
        <v>6.6959999999999997</v>
      </c>
      <c r="AH162" s="4">
        <f t="shared" si="83"/>
        <v>6.8020000000000005</v>
      </c>
      <c r="AI162" s="4">
        <f t="shared" si="84"/>
        <v>6.6544500000000006</v>
      </c>
      <c r="AJ162" s="4">
        <f t="shared" si="85"/>
        <v>6.7248000000000001</v>
      </c>
      <c r="AK162" s="4">
        <f t="shared" si="86"/>
        <v>6.7651500000000002</v>
      </c>
      <c r="AN162" s="4">
        <f t="shared" si="87"/>
        <v>1.9099999999999007E-2</v>
      </c>
      <c r="AO162" s="4">
        <f t="shared" si="88"/>
        <v>2.7050000000000018E-2</v>
      </c>
      <c r="AP162" s="4">
        <f t="shared" si="89"/>
        <v>6.9899999999999629E-2</v>
      </c>
      <c r="AQ162" s="4">
        <f t="shared" si="90"/>
        <v>7.3599999999999E-2</v>
      </c>
      <c r="AR162" s="4">
        <f t="shared" si="91"/>
        <v>4.5999999999999375E-2</v>
      </c>
      <c r="AS162" s="4">
        <f t="shared" si="92"/>
        <v>0.15200000000000014</v>
      </c>
      <c r="AT162" s="4">
        <f t="shared" si="93"/>
        <v>4.4500000000002871E-3</v>
      </c>
      <c r="AU162" s="4">
        <f t="shared" si="94"/>
        <v>7.4799999999999756E-2</v>
      </c>
      <c r="AV162" s="4">
        <f t="shared" si="95"/>
        <v>0.11514999999999986</v>
      </c>
    </row>
    <row r="163" spans="1:48" x14ac:dyDescent="0.25">
      <c r="A163" s="18">
        <v>163</v>
      </c>
      <c r="B163" s="19">
        <v>43552</v>
      </c>
      <c r="C163" s="20">
        <v>0.52804398148148146</v>
      </c>
      <c r="D163" s="18">
        <v>6.63</v>
      </c>
      <c r="E163" s="18">
        <v>6.5</v>
      </c>
      <c r="F163" s="18">
        <v>6.69</v>
      </c>
      <c r="G163" s="18">
        <v>6.44</v>
      </c>
      <c r="H163" s="18">
        <v>6.31</v>
      </c>
      <c r="I163" s="18">
        <v>6.5</v>
      </c>
      <c r="J163" s="18">
        <v>6.75</v>
      </c>
      <c r="K163" s="18">
        <v>6.69</v>
      </c>
      <c r="L163" s="18">
        <v>6.19</v>
      </c>
      <c r="N163" s="4">
        <v>6.54</v>
      </c>
      <c r="O163" s="4">
        <f>N163-'Sonde étalon'!$C$13</f>
        <v>6.71</v>
      </c>
      <c r="R163" s="4">
        <f t="shared" si="96"/>
        <v>-8.0000000000000071E-2</v>
      </c>
      <c r="S163" s="4">
        <f t="shared" si="97"/>
        <v>-0.20999999999999996</v>
      </c>
      <c r="T163" s="4">
        <f t="shared" si="98"/>
        <v>-1.9999999999999574E-2</v>
      </c>
      <c r="U163" s="4">
        <f t="shared" si="99"/>
        <v>-0.26999999999999957</v>
      </c>
      <c r="V163" s="4">
        <f t="shared" si="100"/>
        <v>-0.40000000000000036</v>
      </c>
      <c r="W163" s="4">
        <f t="shared" si="101"/>
        <v>-0.20999999999999996</v>
      </c>
      <c r="X163" s="4">
        <f t="shared" si="102"/>
        <v>4.0000000000000036E-2</v>
      </c>
      <c r="Y163" s="4">
        <f t="shared" si="103"/>
        <v>-1.9999999999999574E-2</v>
      </c>
      <c r="Z163" s="4">
        <f t="shared" si="104"/>
        <v>-0.51999999999999957</v>
      </c>
      <c r="AC163" s="4">
        <f t="shared" si="78"/>
        <v>6.7390999999999996</v>
      </c>
      <c r="AD163" s="4">
        <f t="shared" si="79"/>
        <v>6.73705</v>
      </c>
      <c r="AE163" s="4">
        <f t="shared" si="80"/>
        <v>6.7799000000000005</v>
      </c>
      <c r="AF163" s="4">
        <f t="shared" si="81"/>
        <v>6.7835999999999999</v>
      </c>
      <c r="AG163" s="4">
        <f t="shared" si="82"/>
        <v>6.6959999999999997</v>
      </c>
      <c r="AH163" s="4">
        <f t="shared" si="83"/>
        <v>6.8620000000000001</v>
      </c>
      <c r="AI163" s="4">
        <f t="shared" si="84"/>
        <v>6.7144500000000003</v>
      </c>
      <c r="AJ163" s="4">
        <f t="shared" si="85"/>
        <v>6.7848000000000006</v>
      </c>
      <c r="AK163" s="4">
        <f t="shared" si="86"/>
        <v>6.8251500000000007</v>
      </c>
      <c r="AN163" s="4">
        <f t="shared" si="87"/>
        <v>2.9099999999999682E-2</v>
      </c>
      <c r="AO163" s="4">
        <f t="shared" si="88"/>
        <v>2.7050000000000018E-2</v>
      </c>
      <c r="AP163" s="4">
        <f t="shared" si="89"/>
        <v>6.9900000000000517E-2</v>
      </c>
      <c r="AQ163" s="4">
        <f t="shared" si="90"/>
        <v>7.3599999999999888E-2</v>
      </c>
      <c r="AR163" s="4">
        <f t="shared" si="91"/>
        <v>-1.4000000000000234E-2</v>
      </c>
      <c r="AS163" s="4">
        <f t="shared" si="92"/>
        <v>0.15200000000000014</v>
      </c>
      <c r="AT163" s="4">
        <f t="shared" si="93"/>
        <v>4.4500000000002871E-3</v>
      </c>
      <c r="AU163" s="4">
        <f t="shared" si="94"/>
        <v>7.4800000000000644E-2</v>
      </c>
      <c r="AV163" s="4">
        <f t="shared" si="95"/>
        <v>0.11515000000000075</v>
      </c>
    </row>
    <row r="164" spans="1:48" x14ac:dyDescent="0.25">
      <c r="A164" s="18">
        <v>164</v>
      </c>
      <c r="B164" s="19">
        <v>43552</v>
      </c>
      <c r="C164" s="20">
        <v>0.5287384259259259</v>
      </c>
      <c r="D164" s="18">
        <v>6.69</v>
      </c>
      <c r="E164" s="18">
        <v>6.5</v>
      </c>
      <c r="F164" s="18">
        <v>6.69</v>
      </c>
      <c r="G164" s="18">
        <v>6.5</v>
      </c>
      <c r="H164" s="18">
        <v>6.38</v>
      </c>
      <c r="I164" s="18">
        <v>6.56</v>
      </c>
      <c r="J164" s="18">
        <v>6.81</v>
      </c>
      <c r="K164" s="18">
        <v>6.69</v>
      </c>
      <c r="L164" s="18">
        <v>6.25</v>
      </c>
      <c r="N164" s="4">
        <v>6.61</v>
      </c>
      <c r="O164" s="4">
        <f>N164-'Sonde étalon'!$C$13</f>
        <v>6.78</v>
      </c>
      <c r="R164" s="4">
        <f t="shared" si="96"/>
        <v>-8.9999999999999858E-2</v>
      </c>
      <c r="S164" s="4">
        <f t="shared" si="97"/>
        <v>-0.28000000000000025</v>
      </c>
      <c r="T164" s="4">
        <f t="shared" si="98"/>
        <v>-8.9999999999999858E-2</v>
      </c>
      <c r="U164" s="4">
        <f t="shared" si="99"/>
        <v>-0.28000000000000025</v>
      </c>
      <c r="V164" s="4">
        <f t="shared" si="100"/>
        <v>-0.40000000000000036</v>
      </c>
      <c r="W164" s="4">
        <f t="shared" si="101"/>
        <v>-0.22000000000000064</v>
      </c>
      <c r="X164" s="4">
        <f t="shared" si="102"/>
        <v>2.9999999999999361E-2</v>
      </c>
      <c r="Y164" s="4">
        <f t="shared" si="103"/>
        <v>-8.9999999999999858E-2</v>
      </c>
      <c r="Z164" s="4">
        <f t="shared" si="104"/>
        <v>-0.53000000000000025</v>
      </c>
      <c r="AC164" s="4">
        <f t="shared" si="78"/>
        <v>6.7991000000000001</v>
      </c>
      <c r="AD164" s="4">
        <f t="shared" si="79"/>
        <v>6.73705</v>
      </c>
      <c r="AE164" s="4">
        <f t="shared" si="80"/>
        <v>6.7799000000000005</v>
      </c>
      <c r="AF164" s="4">
        <f t="shared" si="81"/>
        <v>6.8435999999999995</v>
      </c>
      <c r="AG164" s="4">
        <f t="shared" si="82"/>
        <v>6.766</v>
      </c>
      <c r="AH164" s="4">
        <f t="shared" si="83"/>
        <v>6.9219999999999997</v>
      </c>
      <c r="AI164" s="4">
        <f t="shared" si="84"/>
        <v>6.7744499999999999</v>
      </c>
      <c r="AJ164" s="4">
        <f t="shared" si="85"/>
        <v>6.7848000000000006</v>
      </c>
      <c r="AK164" s="4">
        <f t="shared" si="86"/>
        <v>6.8851500000000003</v>
      </c>
      <c r="AN164" s="4">
        <f t="shared" si="87"/>
        <v>1.9099999999999895E-2</v>
      </c>
      <c r="AO164" s="4">
        <f t="shared" si="88"/>
        <v>-4.2950000000000266E-2</v>
      </c>
      <c r="AP164" s="4">
        <f t="shared" si="89"/>
        <v>-9.9999999999766942E-5</v>
      </c>
      <c r="AQ164" s="4">
        <f t="shared" si="90"/>
        <v>6.3599999999999213E-2</v>
      </c>
      <c r="AR164" s="4">
        <f t="shared" si="91"/>
        <v>-1.4000000000000234E-2</v>
      </c>
      <c r="AS164" s="4">
        <f t="shared" si="92"/>
        <v>0.14199999999999946</v>
      </c>
      <c r="AT164" s="4">
        <f t="shared" si="93"/>
        <v>-5.550000000000388E-3</v>
      </c>
      <c r="AU164" s="4">
        <f t="shared" si="94"/>
        <v>4.8000000000003595E-3</v>
      </c>
      <c r="AV164" s="4">
        <f t="shared" si="95"/>
        <v>0.10515000000000008</v>
      </c>
    </row>
    <row r="165" spans="1:48" x14ac:dyDescent="0.25">
      <c r="A165" s="18">
        <v>165</v>
      </c>
      <c r="B165" s="19">
        <v>43552</v>
      </c>
      <c r="C165" s="20">
        <v>0.52943287037037035</v>
      </c>
      <c r="D165" s="18">
        <v>6.75</v>
      </c>
      <c r="E165" s="18">
        <v>6.56</v>
      </c>
      <c r="F165" s="18">
        <v>6.75</v>
      </c>
      <c r="G165" s="18">
        <v>6.56</v>
      </c>
      <c r="H165" s="18">
        <v>6.44</v>
      </c>
      <c r="I165" s="18">
        <v>6.63</v>
      </c>
      <c r="J165" s="18">
        <v>6.88</v>
      </c>
      <c r="K165" s="18">
        <v>6.75</v>
      </c>
      <c r="L165" s="18">
        <v>6.31</v>
      </c>
      <c r="N165" s="4">
        <v>6.66</v>
      </c>
      <c r="O165" s="4">
        <f>N165-'Sonde étalon'!$C$13</f>
        <v>6.83</v>
      </c>
      <c r="R165" s="4">
        <f t="shared" si="96"/>
        <v>-8.0000000000000071E-2</v>
      </c>
      <c r="S165" s="4">
        <f t="shared" si="97"/>
        <v>-0.27000000000000046</v>
      </c>
      <c r="T165" s="4">
        <f t="shared" si="98"/>
        <v>-8.0000000000000071E-2</v>
      </c>
      <c r="U165" s="4">
        <f t="shared" si="99"/>
        <v>-0.27000000000000046</v>
      </c>
      <c r="V165" s="4">
        <f t="shared" si="100"/>
        <v>-0.38999999999999968</v>
      </c>
      <c r="W165" s="4">
        <f t="shared" si="101"/>
        <v>-0.20000000000000018</v>
      </c>
      <c r="X165" s="4">
        <f t="shared" si="102"/>
        <v>4.9999999999999822E-2</v>
      </c>
      <c r="Y165" s="4">
        <f t="shared" si="103"/>
        <v>-8.0000000000000071E-2</v>
      </c>
      <c r="Z165" s="4">
        <f t="shared" si="104"/>
        <v>-0.52000000000000046</v>
      </c>
      <c r="AC165" s="4">
        <f t="shared" si="78"/>
        <v>6.8590999999999998</v>
      </c>
      <c r="AD165" s="4">
        <f t="shared" si="79"/>
        <v>6.7970499999999996</v>
      </c>
      <c r="AE165" s="4">
        <f t="shared" si="80"/>
        <v>6.8399000000000001</v>
      </c>
      <c r="AF165" s="4">
        <f t="shared" si="81"/>
        <v>6.9035999999999991</v>
      </c>
      <c r="AG165" s="4">
        <f t="shared" si="82"/>
        <v>6.8260000000000005</v>
      </c>
      <c r="AH165" s="4">
        <f t="shared" si="83"/>
        <v>6.992</v>
      </c>
      <c r="AI165" s="4">
        <f t="shared" si="84"/>
        <v>6.8444500000000001</v>
      </c>
      <c r="AJ165" s="4">
        <f t="shared" si="85"/>
        <v>6.8448000000000002</v>
      </c>
      <c r="AK165" s="4">
        <f t="shared" si="86"/>
        <v>6.9451499999999999</v>
      </c>
      <c r="AN165" s="4">
        <f t="shared" si="87"/>
        <v>2.9099999999999682E-2</v>
      </c>
      <c r="AO165" s="4">
        <f t="shared" si="88"/>
        <v>-3.2950000000000479E-2</v>
      </c>
      <c r="AP165" s="4">
        <f t="shared" si="89"/>
        <v>9.9000000000000199E-3</v>
      </c>
      <c r="AQ165" s="4">
        <f t="shared" si="90"/>
        <v>7.3599999999999E-2</v>
      </c>
      <c r="AR165" s="4">
        <f t="shared" si="91"/>
        <v>-3.9999999999995595E-3</v>
      </c>
      <c r="AS165" s="4">
        <f t="shared" si="92"/>
        <v>0.16199999999999992</v>
      </c>
      <c r="AT165" s="4">
        <f t="shared" si="93"/>
        <v>1.4450000000000074E-2</v>
      </c>
      <c r="AU165" s="4">
        <f t="shared" si="94"/>
        <v>1.4800000000000146E-2</v>
      </c>
      <c r="AV165" s="4">
        <f t="shared" si="95"/>
        <v>0.11514999999999986</v>
      </c>
    </row>
    <row r="166" spans="1:48" x14ac:dyDescent="0.25">
      <c r="A166" s="18">
        <v>166</v>
      </c>
      <c r="B166" s="19">
        <v>43552</v>
      </c>
      <c r="C166" s="20">
        <v>0.53012731481481479</v>
      </c>
      <c r="D166" s="18">
        <v>6.81</v>
      </c>
      <c r="E166" s="18">
        <v>6.63</v>
      </c>
      <c r="F166" s="18">
        <v>6.81</v>
      </c>
      <c r="G166" s="18">
        <v>6.63</v>
      </c>
      <c r="H166" s="18">
        <v>6.5</v>
      </c>
      <c r="I166" s="18">
        <v>6.69</v>
      </c>
      <c r="J166" s="18">
        <v>6.94</v>
      </c>
      <c r="K166" s="18">
        <v>6.88</v>
      </c>
      <c r="L166" s="18">
        <v>6.38</v>
      </c>
      <c r="N166" s="4">
        <v>6.72</v>
      </c>
      <c r="O166" s="4">
        <f>N166-'Sonde étalon'!$C$13</f>
        <v>6.89</v>
      </c>
      <c r="R166" s="4">
        <f t="shared" si="96"/>
        <v>-8.0000000000000071E-2</v>
      </c>
      <c r="S166" s="4">
        <f t="shared" si="97"/>
        <v>-0.25999999999999979</v>
      </c>
      <c r="T166" s="4">
        <f t="shared" si="98"/>
        <v>-8.0000000000000071E-2</v>
      </c>
      <c r="U166" s="4">
        <f t="shared" si="99"/>
        <v>-0.25999999999999979</v>
      </c>
      <c r="V166" s="4">
        <f t="shared" si="100"/>
        <v>-0.38999999999999968</v>
      </c>
      <c r="W166" s="4">
        <f t="shared" si="101"/>
        <v>-0.19999999999999929</v>
      </c>
      <c r="X166" s="4">
        <f t="shared" si="102"/>
        <v>5.0000000000000711E-2</v>
      </c>
      <c r="Y166" s="4">
        <f t="shared" si="103"/>
        <v>-9.9999999999997868E-3</v>
      </c>
      <c r="Z166" s="4">
        <f t="shared" si="104"/>
        <v>-0.50999999999999979</v>
      </c>
      <c r="AC166" s="4">
        <f t="shared" si="78"/>
        <v>6.9190999999999994</v>
      </c>
      <c r="AD166" s="4">
        <f t="shared" si="79"/>
        <v>6.8670499999999999</v>
      </c>
      <c r="AE166" s="4">
        <f t="shared" si="80"/>
        <v>6.8998999999999997</v>
      </c>
      <c r="AF166" s="4">
        <f t="shared" si="81"/>
        <v>6.9735999999999994</v>
      </c>
      <c r="AG166" s="4">
        <f t="shared" si="82"/>
        <v>6.8860000000000001</v>
      </c>
      <c r="AH166" s="4">
        <f t="shared" si="83"/>
        <v>7.0520000000000005</v>
      </c>
      <c r="AI166" s="4">
        <f t="shared" si="84"/>
        <v>6.9044500000000006</v>
      </c>
      <c r="AJ166" s="4">
        <f t="shared" si="85"/>
        <v>6.9748000000000001</v>
      </c>
      <c r="AK166" s="4">
        <f t="shared" si="86"/>
        <v>7.0151500000000002</v>
      </c>
      <c r="AN166" s="4">
        <f t="shared" si="87"/>
        <v>2.9099999999999682E-2</v>
      </c>
      <c r="AO166" s="4">
        <f t="shared" si="88"/>
        <v>-2.2949999999999804E-2</v>
      </c>
      <c r="AP166" s="4">
        <f t="shared" si="89"/>
        <v>9.9000000000000199E-3</v>
      </c>
      <c r="AQ166" s="4">
        <f t="shared" si="90"/>
        <v>8.3599999999999675E-2</v>
      </c>
      <c r="AR166" s="4">
        <f t="shared" si="91"/>
        <v>-3.9999999999995595E-3</v>
      </c>
      <c r="AS166" s="4">
        <f t="shared" si="92"/>
        <v>0.16200000000000081</v>
      </c>
      <c r="AT166" s="4">
        <f t="shared" si="93"/>
        <v>1.4450000000000962E-2</v>
      </c>
      <c r="AU166" s="4">
        <f t="shared" si="94"/>
        <v>8.4800000000000431E-2</v>
      </c>
      <c r="AV166" s="4">
        <f t="shared" si="95"/>
        <v>0.12515000000000054</v>
      </c>
    </row>
    <row r="167" spans="1:48" x14ac:dyDescent="0.25">
      <c r="A167" s="18">
        <v>167</v>
      </c>
      <c r="B167" s="19">
        <v>43552</v>
      </c>
      <c r="C167" s="20">
        <v>0.53082175925925923</v>
      </c>
      <c r="D167" s="18">
        <v>6.88</v>
      </c>
      <c r="E167" s="18">
        <v>6.69</v>
      </c>
      <c r="F167" s="18">
        <v>6.88</v>
      </c>
      <c r="G167" s="18">
        <v>6.69</v>
      </c>
      <c r="H167" s="18">
        <v>6.56</v>
      </c>
      <c r="I167" s="18">
        <v>6.75</v>
      </c>
      <c r="J167" s="18">
        <v>7</v>
      </c>
      <c r="K167" s="18">
        <v>6.94</v>
      </c>
      <c r="L167" s="18">
        <v>6.44</v>
      </c>
      <c r="N167" s="4">
        <v>6.77</v>
      </c>
      <c r="O167" s="4">
        <f>N167-'Sonde étalon'!$C$13</f>
        <v>6.9399999999999995</v>
      </c>
      <c r="R167" s="4">
        <f t="shared" si="96"/>
        <v>-5.9999999999999609E-2</v>
      </c>
      <c r="S167" s="4">
        <f t="shared" si="97"/>
        <v>-0.24999999999999911</v>
      </c>
      <c r="T167" s="4">
        <f t="shared" si="98"/>
        <v>-5.9999999999999609E-2</v>
      </c>
      <c r="U167" s="4">
        <f t="shared" si="99"/>
        <v>-0.24999999999999911</v>
      </c>
      <c r="V167" s="4">
        <f t="shared" si="100"/>
        <v>-0.37999999999999989</v>
      </c>
      <c r="W167" s="4">
        <f t="shared" si="101"/>
        <v>-0.1899999999999995</v>
      </c>
      <c r="X167" s="4">
        <f t="shared" si="102"/>
        <v>6.0000000000000497E-2</v>
      </c>
      <c r="Y167" s="4">
        <f t="shared" si="103"/>
        <v>0</v>
      </c>
      <c r="Z167" s="4">
        <f t="shared" si="104"/>
        <v>-0.49999999999999911</v>
      </c>
      <c r="AC167" s="4">
        <f t="shared" si="78"/>
        <v>6.9890999999999996</v>
      </c>
      <c r="AD167" s="4">
        <f t="shared" si="79"/>
        <v>6.9270500000000004</v>
      </c>
      <c r="AE167" s="4">
        <f t="shared" si="80"/>
        <v>6.9699</v>
      </c>
      <c r="AF167" s="4">
        <f t="shared" si="81"/>
        <v>7.0335999999999999</v>
      </c>
      <c r="AG167" s="4">
        <f t="shared" si="82"/>
        <v>6.9459999999999997</v>
      </c>
      <c r="AH167" s="4">
        <f t="shared" si="83"/>
        <v>7.1120000000000001</v>
      </c>
      <c r="AI167" s="4">
        <f t="shared" si="84"/>
        <v>6.9644500000000003</v>
      </c>
      <c r="AJ167" s="4">
        <f t="shared" si="85"/>
        <v>7.0348000000000006</v>
      </c>
      <c r="AK167" s="4">
        <f t="shared" si="86"/>
        <v>7.0751500000000007</v>
      </c>
      <c r="AN167" s="4">
        <f t="shared" si="87"/>
        <v>4.9100000000000144E-2</v>
      </c>
      <c r="AO167" s="4">
        <f t="shared" si="88"/>
        <v>-1.2949999999999129E-2</v>
      </c>
      <c r="AP167" s="4">
        <f t="shared" si="89"/>
        <v>2.9900000000000482E-2</v>
      </c>
      <c r="AQ167" s="4">
        <f t="shared" si="90"/>
        <v>9.360000000000035E-2</v>
      </c>
      <c r="AR167" s="4">
        <f t="shared" si="91"/>
        <v>6.0000000000002274E-3</v>
      </c>
      <c r="AS167" s="4">
        <f t="shared" si="92"/>
        <v>0.1720000000000006</v>
      </c>
      <c r="AT167" s="4">
        <f t="shared" si="93"/>
        <v>2.4450000000000749E-2</v>
      </c>
      <c r="AU167" s="4">
        <f t="shared" si="94"/>
        <v>9.4800000000001106E-2</v>
      </c>
      <c r="AV167" s="4">
        <f t="shared" si="95"/>
        <v>0.13515000000000121</v>
      </c>
    </row>
    <row r="168" spans="1:48" x14ac:dyDescent="0.25">
      <c r="A168" s="18">
        <v>168</v>
      </c>
      <c r="B168" s="19">
        <v>43552</v>
      </c>
      <c r="C168" s="20">
        <v>0.53151620370370367</v>
      </c>
      <c r="D168" s="18">
        <v>6.88</v>
      </c>
      <c r="E168" s="18">
        <v>6.75</v>
      </c>
      <c r="F168" s="18">
        <v>6.94</v>
      </c>
      <c r="G168" s="18">
        <v>6.75</v>
      </c>
      <c r="H168" s="18">
        <v>6.63</v>
      </c>
      <c r="I168" s="18">
        <v>6.81</v>
      </c>
      <c r="J168" s="18">
        <v>7.06</v>
      </c>
      <c r="K168" s="18">
        <v>6.94</v>
      </c>
      <c r="L168" s="18">
        <v>6.5</v>
      </c>
      <c r="N168" s="4">
        <v>6.85</v>
      </c>
      <c r="O168" s="4">
        <f>N168-'Sonde étalon'!$C$13</f>
        <v>7.02</v>
      </c>
      <c r="R168" s="4">
        <f t="shared" si="96"/>
        <v>-0.13999999999999968</v>
      </c>
      <c r="S168" s="4">
        <f t="shared" si="97"/>
        <v>-0.26999999999999957</v>
      </c>
      <c r="T168" s="4">
        <f t="shared" si="98"/>
        <v>-7.9999999999999183E-2</v>
      </c>
      <c r="U168" s="4">
        <f t="shared" si="99"/>
        <v>-0.26999999999999957</v>
      </c>
      <c r="V168" s="4">
        <f t="shared" si="100"/>
        <v>-0.38999999999999968</v>
      </c>
      <c r="W168" s="4">
        <f t="shared" si="101"/>
        <v>-0.20999999999999996</v>
      </c>
      <c r="X168" s="4">
        <f t="shared" si="102"/>
        <v>4.0000000000000036E-2</v>
      </c>
      <c r="Y168" s="4">
        <f t="shared" si="103"/>
        <v>-7.9999999999999183E-2</v>
      </c>
      <c r="Z168" s="4">
        <f t="shared" si="104"/>
        <v>-0.51999999999999957</v>
      </c>
      <c r="AC168" s="4">
        <f t="shared" si="78"/>
        <v>6.9890999999999996</v>
      </c>
      <c r="AD168" s="4">
        <f t="shared" si="79"/>
        <v>6.98705</v>
      </c>
      <c r="AE168" s="4">
        <f t="shared" si="80"/>
        <v>7.0299000000000005</v>
      </c>
      <c r="AF168" s="4">
        <f t="shared" si="81"/>
        <v>7.0935999999999995</v>
      </c>
      <c r="AG168" s="4">
        <f t="shared" si="82"/>
        <v>7.016</v>
      </c>
      <c r="AH168" s="4">
        <f t="shared" si="83"/>
        <v>7.1719999999999997</v>
      </c>
      <c r="AI168" s="4">
        <f t="shared" si="84"/>
        <v>7.0244499999999999</v>
      </c>
      <c r="AJ168" s="4">
        <f t="shared" si="85"/>
        <v>7.0348000000000006</v>
      </c>
      <c r="AK168" s="4">
        <f t="shared" si="86"/>
        <v>7.1351500000000003</v>
      </c>
      <c r="AN168" s="4">
        <f t="shared" si="87"/>
        <v>-3.0899999999999928E-2</v>
      </c>
      <c r="AO168" s="4">
        <f t="shared" si="88"/>
        <v>-3.2949999999999591E-2</v>
      </c>
      <c r="AP168" s="4">
        <f t="shared" si="89"/>
        <v>9.9000000000009081E-3</v>
      </c>
      <c r="AQ168" s="4">
        <f t="shared" si="90"/>
        <v>7.3599999999999888E-2</v>
      </c>
      <c r="AR168" s="4">
        <f t="shared" si="91"/>
        <v>-3.9999999999995595E-3</v>
      </c>
      <c r="AS168" s="4">
        <f t="shared" si="92"/>
        <v>0.15200000000000014</v>
      </c>
      <c r="AT168" s="4">
        <f t="shared" si="93"/>
        <v>4.4500000000002871E-3</v>
      </c>
      <c r="AU168" s="4">
        <f t="shared" si="94"/>
        <v>1.4800000000001035E-2</v>
      </c>
      <c r="AV168" s="4">
        <f t="shared" si="95"/>
        <v>0.11515000000000075</v>
      </c>
    </row>
    <row r="169" spans="1:48" x14ac:dyDescent="0.25">
      <c r="A169" s="18">
        <v>169</v>
      </c>
      <c r="B169" s="19">
        <v>43552</v>
      </c>
      <c r="C169" s="20">
        <v>0.53221064814814811</v>
      </c>
      <c r="D169" s="18">
        <v>6.94</v>
      </c>
      <c r="E169" s="18">
        <v>6.81</v>
      </c>
      <c r="F169" s="18">
        <v>7</v>
      </c>
      <c r="G169" s="18">
        <v>6.81</v>
      </c>
      <c r="H169" s="18">
        <v>6.69</v>
      </c>
      <c r="I169" s="18">
        <v>6.88</v>
      </c>
      <c r="J169" s="18">
        <v>7.06</v>
      </c>
      <c r="K169" s="18">
        <v>7</v>
      </c>
      <c r="L169" s="18">
        <v>6.5</v>
      </c>
      <c r="N169" s="4">
        <v>6.91</v>
      </c>
      <c r="O169" s="4">
        <f>N169-'Sonde étalon'!$C$13</f>
        <v>7.08</v>
      </c>
      <c r="R169" s="4">
        <f t="shared" si="96"/>
        <v>-0.13999999999999968</v>
      </c>
      <c r="S169" s="4">
        <f t="shared" si="97"/>
        <v>-0.27000000000000046</v>
      </c>
      <c r="T169" s="4">
        <f t="shared" si="98"/>
        <v>-8.0000000000000071E-2</v>
      </c>
      <c r="U169" s="4">
        <f t="shared" si="99"/>
        <v>-0.27000000000000046</v>
      </c>
      <c r="V169" s="4">
        <f t="shared" si="100"/>
        <v>-0.38999999999999968</v>
      </c>
      <c r="W169" s="4">
        <f t="shared" si="101"/>
        <v>-0.20000000000000018</v>
      </c>
      <c r="X169" s="4">
        <f t="shared" si="102"/>
        <v>-2.0000000000000462E-2</v>
      </c>
      <c r="Y169" s="4">
        <f t="shared" si="103"/>
        <v>-8.0000000000000071E-2</v>
      </c>
      <c r="Z169" s="4">
        <f t="shared" si="104"/>
        <v>-0.58000000000000007</v>
      </c>
      <c r="AC169" s="4">
        <f t="shared" si="78"/>
        <v>7.0491000000000001</v>
      </c>
      <c r="AD169" s="4">
        <f t="shared" si="79"/>
        <v>7.0470499999999996</v>
      </c>
      <c r="AE169" s="4">
        <f t="shared" si="80"/>
        <v>7.0899000000000001</v>
      </c>
      <c r="AF169" s="4">
        <f t="shared" si="81"/>
        <v>7.1535999999999991</v>
      </c>
      <c r="AG169" s="4">
        <f t="shared" si="82"/>
        <v>7.0760000000000005</v>
      </c>
      <c r="AH169" s="4">
        <f t="shared" si="83"/>
        <v>7.242</v>
      </c>
      <c r="AI169" s="4">
        <f t="shared" si="84"/>
        <v>7.0244499999999999</v>
      </c>
      <c r="AJ169" s="4">
        <f t="shared" si="85"/>
        <v>7.0948000000000002</v>
      </c>
      <c r="AK169" s="4">
        <f t="shared" si="86"/>
        <v>7.1351500000000003</v>
      </c>
      <c r="AN169" s="4">
        <f t="shared" si="87"/>
        <v>-3.0899999999999928E-2</v>
      </c>
      <c r="AO169" s="4">
        <f t="shared" si="88"/>
        <v>-3.2950000000000479E-2</v>
      </c>
      <c r="AP169" s="4">
        <f t="shared" si="89"/>
        <v>9.9000000000000199E-3</v>
      </c>
      <c r="AQ169" s="4">
        <f t="shared" si="90"/>
        <v>7.3599999999999E-2</v>
      </c>
      <c r="AR169" s="4">
        <f t="shared" si="91"/>
        <v>-3.9999999999995595E-3</v>
      </c>
      <c r="AS169" s="4">
        <f t="shared" si="92"/>
        <v>0.16199999999999992</v>
      </c>
      <c r="AT169" s="4">
        <f t="shared" si="93"/>
        <v>-5.555000000000021E-2</v>
      </c>
      <c r="AU169" s="4">
        <f t="shared" si="94"/>
        <v>1.4800000000000146E-2</v>
      </c>
      <c r="AV169" s="4">
        <f t="shared" si="95"/>
        <v>5.5150000000000254E-2</v>
      </c>
    </row>
    <row r="170" spans="1:48" x14ac:dyDescent="0.25">
      <c r="A170" s="18">
        <v>170</v>
      </c>
      <c r="B170" s="19">
        <v>43552</v>
      </c>
      <c r="C170" s="20">
        <v>0.53290509259259256</v>
      </c>
      <c r="D170" s="18">
        <v>7</v>
      </c>
      <c r="E170" s="18">
        <v>6.88</v>
      </c>
      <c r="F170" s="18">
        <v>7.06</v>
      </c>
      <c r="G170" s="18">
        <v>6.88</v>
      </c>
      <c r="H170" s="18">
        <v>6.75</v>
      </c>
      <c r="I170" s="18">
        <v>6.94</v>
      </c>
      <c r="J170" s="18">
        <v>7.13</v>
      </c>
      <c r="K170" s="18">
        <v>7.06</v>
      </c>
      <c r="L170" s="18">
        <v>6.63</v>
      </c>
      <c r="N170" s="4">
        <v>6.97</v>
      </c>
      <c r="O170" s="4">
        <f>N170-'Sonde étalon'!$C$13</f>
        <v>7.14</v>
      </c>
      <c r="R170" s="4">
        <f t="shared" si="96"/>
        <v>-0.13999999999999968</v>
      </c>
      <c r="S170" s="4">
        <f t="shared" si="97"/>
        <v>-0.25999999999999979</v>
      </c>
      <c r="T170" s="4">
        <f t="shared" si="98"/>
        <v>-8.0000000000000071E-2</v>
      </c>
      <c r="U170" s="4">
        <f t="shared" si="99"/>
        <v>-0.25999999999999979</v>
      </c>
      <c r="V170" s="4">
        <f t="shared" si="100"/>
        <v>-0.38999999999999968</v>
      </c>
      <c r="W170" s="4">
        <f t="shared" si="101"/>
        <v>-0.19999999999999929</v>
      </c>
      <c r="X170" s="4">
        <f t="shared" si="102"/>
        <v>-9.9999999999997868E-3</v>
      </c>
      <c r="Y170" s="4">
        <f t="shared" si="103"/>
        <v>-8.0000000000000071E-2</v>
      </c>
      <c r="Z170" s="4">
        <f t="shared" si="104"/>
        <v>-0.50999999999999979</v>
      </c>
      <c r="AC170" s="4">
        <f t="shared" si="78"/>
        <v>7.1090999999999998</v>
      </c>
      <c r="AD170" s="4">
        <f t="shared" si="79"/>
        <v>7.1170499999999999</v>
      </c>
      <c r="AE170" s="4">
        <f t="shared" si="80"/>
        <v>7.1498999999999997</v>
      </c>
      <c r="AF170" s="4">
        <f t="shared" si="81"/>
        <v>7.2235999999999994</v>
      </c>
      <c r="AG170" s="4">
        <f t="shared" si="82"/>
        <v>7.1360000000000001</v>
      </c>
      <c r="AH170" s="4">
        <f t="shared" si="83"/>
        <v>7.3020000000000005</v>
      </c>
      <c r="AI170" s="4">
        <f t="shared" si="84"/>
        <v>7.0944500000000001</v>
      </c>
      <c r="AJ170" s="4">
        <f t="shared" si="85"/>
        <v>7.1547999999999998</v>
      </c>
      <c r="AK170" s="4">
        <f t="shared" si="86"/>
        <v>7.2651500000000002</v>
      </c>
      <c r="AN170" s="4">
        <f t="shared" si="87"/>
        <v>-3.0899999999999928E-2</v>
      </c>
      <c r="AO170" s="4">
        <f t="shared" si="88"/>
        <v>-2.2949999999999804E-2</v>
      </c>
      <c r="AP170" s="4">
        <f t="shared" si="89"/>
        <v>9.9000000000000199E-3</v>
      </c>
      <c r="AQ170" s="4">
        <f t="shared" si="90"/>
        <v>8.3599999999999675E-2</v>
      </c>
      <c r="AR170" s="4">
        <f t="shared" si="91"/>
        <v>-3.9999999999995595E-3</v>
      </c>
      <c r="AS170" s="4">
        <f t="shared" si="92"/>
        <v>0.16200000000000081</v>
      </c>
      <c r="AT170" s="4">
        <f t="shared" si="93"/>
        <v>-4.5549999999999535E-2</v>
      </c>
      <c r="AU170" s="4">
        <f t="shared" si="94"/>
        <v>1.4800000000000146E-2</v>
      </c>
      <c r="AV170" s="4">
        <f t="shared" si="95"/>
        <v>0.12515000000000054</v>
      </c>
    </row>
    <row r="171" spans="1:48" x14ac:dyDescent="0.25">
      <c r="A171" s="18">
        <v>171</v>
      </c>
      <c r="B171" s="19">
        <v>43552</v>
      </c>
      <c r="C171" s="20">
        <v>0.53359953703703711</v>
      </c>
      <c r="D171" s="18">
        <v>7.06</v>
      </c>
      <c r="E171" s="18">
        <v>6.94</v>
      </c>
      <c r="F171" s="18">
        <v>7.13</v>
      </c>
      <c r="G171" s="18">
        <v>6.94</v>
      </c>
      <c r="H171" s="18">
        <v>6.81</v>
      </c>
      <c r="I171" s="18">
        <v>7</v>
      </c>
      <c r="J171" s="18">
        <v>7.19</v>
      </c>
      <c r="K171" s="18">
        <v>7.13</v>
      </c>
      <c r="L171" s="18">
        <v>6.63</v>
      </c>
      <c r="N171" s="4">
        <v>7.03</v>
      </c>
      <c r="O171" s="4">
        <f>N171-'Sonde étalon'!$C$13</f>
        <v>7.2</v>
      </c>
      <c r="R171" s="4">
        <f t="shared" si="96"/>
        <v>-0.14000000000000057</v>
      </c>
      <c r="S171" s="4">
        <f t="shared" si="97"/>
        <v>-0.25999999999999979</v>
      </c>
      <c r="T171" s="4">
        <f t="shared" si="98"/>
        <v>-7.0000000000000284E-2</v>
      </c>
      <c r="U171" s="4">
        <f t="shared" si="99"/>
        <v>-0.25999999999999979</v>
      </c>
      <c r="V171" s="4">
        <f t="shared" si="100"/>
        <v>-0.39000000000000057</v>
      </c>
      <c r="W171" s="4">
        <f t="shared" si="101"/>
        <v>-0.20000000000000018</v>
      </c>
      <c r="X171" s="4">
        <f t="shared" si="102"/>
        <v>-9.9999999999997868E-3</v>
      </c>
      <c r="Y171" s="4">
        <f t="shared" si="103"/>
        <v>-7.0000000000000284E-2</v>
      </c>
      <c r="Z171" s="4">
        <f t="shared" si="104"/>
        <v>-0.57000000000000028</v>
      </c>
      <c r="AC171" s="4">
        <f t="shared" si="78"/>
        <v>7.1690999999999994</v>
      </c>
      <c r="AD171" s="4">
        <f t="shared" si="79"/>
        <v>7.1770500000000004</v>
      </c>
      <c r="AE171" s="4">
        <f t="shared" si="80"/>
        <v>7.2199</v>
      </c>
      <c r="AF171" s="4">
        <f t="shared" si="81"/>
        <v>7.2835999999999999</v>
      </c>
      <c r="AG171" s="4">
        <f t="shared" si="82"/>
        <v>7.1959999999999997</v>
      </c>
      <c r="AH171" s="4">
        <f t="shared" si="83"/>
        <v>7.3620000000000001</v>
      </c>
      <c r="AI171" s="4">
        <f t="shared" si="84"/>
        <v>7.1544500000000006</v>
      </c>
      <c r="AJ171" s="4">
        <f t="shared" si="85"/>
        <v>7.2248000000000001</v>
      </c>
      <c r="AK171" s="4">
        <f t="shared" si="86"/>
        <v>7.2651500000000002</v>
      </c>
      <c r="AN171" s="4">
        <f t="shared" si="87"/>
        <v>-3.0900000000000816E-2</v>
      </c>
      <c r="AO171" s="4">
        <f t="shared" si="88"/>
        <v>-2.2949999999999804E-2</v>
      </c>
      <c r="AP171" s="4">
        <f t="shared" si="89"/>
        <v>1.9899999999999807E-2</v>
      </c>
      <c r="AQ171" s="4">
        <f t="shared" si="90"/>
        <v>8.3599999999999675E-2</v>
      </c>
      <c r="AR171" s="4">
        <f t="shared" si="91"/>
        <v>-4.0000000000004476E-3</v>
      </c>
      <c r="AS171" s="4">
        <f t="shared" si="92"/>
        <v>0.16199999999999992</v>
      </c>
      <c r="AT171" s="4">
        <f t="shared" si="93"/>
        <v>-4.5549999999999535E-2</v>
      </c>
      <c r="AU171" s="4">
        <f t="shared" si="94"/>
        <v>2.4799999999999933E-2</v>
      </c>
      <c r="AV171" s="4">
        <f t="shared" si="95"/>
        <v>6.5150000000000041E-2</v>
      </c>
    </row>
    <row r="172" spans="1:48" x14ac:dyDescent="0.25">
      <c r="A172" s="18">
        <v>172</v>
      </c>
      <c r="B172" s="19">
        <v>43552</v>
      </c>
      <c r="C172" s="20">
        <v>0.53429398148148144</v>
      </c>
      <c r="D172" s="18">
        <v>7.13</v>
      </c>
      <c r="E172" s="18">
        <v>7</v>
      </c>
      <c r="F172" s="18">
        <v>7.19</v>
      </c>
      <c r="G172" s="18">
        <v>7</v>
      </c>
      <c r="H172" s="18">
        <v>6.88</v>
      </c>
      <c r="I172" s="18">
        <v>7.06</v>
      </c>
      <c r="J172" s="18">
        <v>7.25</v>
      </c>
      <c r="K172" s="18">
        <v>7.19</v>
      </c>
      <c r="L172" s="18">
        <v>6.75</v>
      </c>
      <c r="N172" s="4">
        <v>7.09</v>
      </c>
      <c r="O172" s="4">
        <f>N172-'Sonde étalon'!$C$13</f>
        <v>7.26</v>
      </c>
      <c r="R172" s="4">
        <f t="shared" si="96"/>
        <v>-0.12999999999999989</v>
      </c>
      <c r="S172" s="4">
        <f t="shared" si="97"/>
        <v>-0.25999999999999979</v>
      </c>
      <c r="T172" s="4">
        <f t="shared" si="98"/>
        <v>-6.9999999999999396E-2</v>
      </c>
      <c r="U172" s="4">
        <f t="shared" si="99"/>
        <v>-0.25999999999999979</v>
      </c>
      <c r="V172" s="4">
        <f t="shared" si="100"/>
        <v>-0.37999999999999989</v>
      </c>
      <c r="W172" s="4">
        <f t="shared" si="101"/>
        <v>-0.20000000000000018</v>
      </c>
      <c r="X172" s="4">
        <f t="shared" si="102"/>
        <v>-9.9999999999997868E-3</v>
      </c>
      <c r="Y172" s="4">
        <f t="shared" si="103"/>
        <v>-6.9999999999999396E-2</v>
      </c>
      <c r="Z172" s="4">
        <f t="shared" si="104"/>
        <v>-0.50999999999999979</v>
      </c>
      <c r="AC172" s="4">
        <f t="shared" si="78"/>
        <v>7.2390999999999996</v>
      </c>
      <c r="AD172" s="4">
        <f t="shared" si="79"/>
        <v>7.23705</v>
      </c>
      <c r="AE172" s="4">
        <f t="shared" si="80"/>
        <v>7.2799000000000005</v>
      </c>
      <c r="AF172" s="4">
        <f t="shared" si="81"/>
        <v>7.3435999999999995</v>
      </c>
      <c r="AG172" s="4">
        <f t="shared" si="82"/>
        <v>7.266</v>
      </c>
      <c r="AH172" s="4">
        <f t="shared" si="83"/>
        <v>7.4219999999999997</v>
      </c>
      <c r="AI172" s="4">
        <f t="shared" si="84"/>
        <v>7.2144500000000003</v>
      </c>
      <c r="AJ172" s="4">
        <f t="shared" si="85"/>
        <v>7.2848000000000006</v>
      </c>
      <c r="AK172" s="4">
        <f t="shared" si="86"/>
        <v>7.3851500000000003</v>
      </c>
      <c r="AN172" s="4">
        <f t="shared" si="87"/>
        <v>-2.0900000000000141E-2</v>
      </c>
      <c r="AO172" s="4">
        <f t="shared" si="88"/>
        <v>-2.2949999999999804E-2</v>
      </c>
      <c r="AP172" s="4">
        <f t="shared" si="89"/>
        <v>1.9900000000000695E-2</v>
      </c>
      <c r="AQ172" s="4">
        <f t="shared" si="90"/>
        <v>8.3599999999999675E-2</v>
      </c>
      <c r="AR172" s="4">
        <f t="shared" si="91"/>
        <v>6.0000000000002274E-3</v>
      </c>
      <c r="AS172" s="4">
        <f t="shared" si="92"/>
        <v>0.16199999999999992</v>
      </c>
      <c r="AT172" s="4">
        <f t="shared" si="93"/>
        <v>-4.5549999999999535E-2</v>
      </c>
      <c r="AU172" s="4">
        <f t="shared" si="94"/>
        <v>2.4800000000000821E-2</v>
      </c>
      <c r="AV172" s="4">
        <f t="shared" si="95"/>
        <v>0.12515000000000054</v>
      </c>
    </row>
    <row r="173" spans="1:48" x14ac:dyDescent="0.25">
      <c r="A173" s="18">
        <v>173</v>
      </c>
      <c r="B173" s="19">
        <v>43552</v>
      </c>
      <c r="C173" s="20">
        <v>0.53498842592592599</v>
      </c>
      <c r="D173" s="18">
        <v>7.19</v>
      </c>
      <c r="E173" s="18">
        <v>7.06</v>
      </c>
      <c r="F173" s="18">
        <v>7.25</v>
      </c>
      <c r="G173" s="18">
        <v>7.06</v>
      </c>
      <c r="H173" s="18">
        <v>6.94</v>
      </c>
      <c r="I173" s="18">
        <v>7.19</v>
      </c>
      <c r="J173" s="18">
        <v>7.31</v>
      </c>
      <c r="K173" s="18">
        <v>7.25</v>
      </c>
      <c r="L173" s="18">
        <v>6.81</v>
      </c>
      <c r="N173" s="4">
        <v>7.15</v>
      </c>
      <c r="O173" s="4">
        <f>N173-'Sonde étalon'!$C$13</f>
        <v>7.32</v>
      </c>
      <c r="R173" s="4">
        <f t="shared" si="96"/>
        <v>-0.12999999999999989</v>
      </c>
      <c r="S173" s="4">
        <f t="shared" si="97"/>
        <v>-0.26000000000000068</v>
      </c>
      <c r="T173" s="4">
        <f t="shared" si="98"/>
        <v>-7.0000000000000284E-2</v>
      </c>
      <c r="U173" s="4">
        <f t="shared" si="99"/>
        <v>-0.26000000000000068</v>
      </c>
      <c r="V173" s="4">
        <f t="shared" si="100"/>
        <v>-0.37999999999999989</v>
      </c>
      <c r="W173" s="4">
        <f t="shared" si="101"/>
        <v>-0.12999999999999989</v>
      </c>
      <c r="X173" s="4">
        <f t="shared" si="102"/>
        <v>-1.0000000000000675E-2</v>
      </c>
      <c r="Y173" s="4">
        <f t="shared" si="103"/>
        <v>-7.0000000000000284E-2</v>
      </c>
      <c r="Z173" s="4">
        <f t="shared" si="104"/>
        <v>-0.51000000000000068</v>
      </c>
      <c r="AC173" s="4">
        <f t="shared" si="78"/>
        <v>7.2991000000000001</v>
      </c>
      <c r="AD173" s="4">
        <f t="shared" si="79"/>
        <v>7.2970499999999996</v>
      </c>
      <c r="AE173" s="4">
        <f t="shared" si="80"/>
        <v>7.3399000000000001</v>
      </c>
      <c r="AF173" s="4">
        <f t="shared" si="81"/>
        <v>7.4035999999999991</v>
      </c>
      <c r="AG173" s="4">
        <f t="shared" si="82"/>
        <v>7.3260000000000005</v>
      </c>
      <c r="AH173" s="4">
        <f t="shared" si="83"/>
        <v>7.5520000000000005</v>
      </c>
      <c r="AI173" s="4">
        <f t="shared" si="84"/>
        <v>7.2744499999999999</v>
      </c>
      <c r="AJ173" s="4">
        <f t="shared" si="85"/>
        <v>7.3448000000000002</v>
      </c>
      <c r="AK173" s="4">
        <f t="shared" si="86"/>
        <v>7.4451499999999999</v>
      </c>
      <c r="AN173" s="4">
        <f t="shared" si="87"/>
        <v>-2.0900000000000141E-2</v>
      </c>
      <c r="AO173" s="4">
        <f t="shared" si="88"/>
        <v>-2.2950000000000692E-2</v>
      </c>
      <c r="AP173" s="4">
        <f t="shared" si="89"/>
        <v>1.9899999999999807E-2</v>
      </c>
      <c r="AQ173" s="4">
        <f t="shared" si="90"/>
        <v>8.3599999999998786E-2</v>
      </c>
      <c r="AR173" s="4">
        <f t="shared" si="91"/>
        <v>6.0000000000002274E-3</v>
      </c>
      <c r="AS173" s="4">
        <f t="shared" si="92"/>
        <v>0.23200000000000021</v>
      </c>
      <c r="AT173" s="4">
        <f t="shared" si="93"/>
        <v>-4.5550000000000423E-2</v>
      </c>
      <c r="AU173" s="4">
        <f t="shared" si="94"/>
        <v>2.4799999999999933E-2</v>
      </c>
      <c r="AV173" s="4">
        <f t="shared" si="95"/>
        <v>0.12514999999999965</v>
      </c>
    </row>
    <row r="174" spans="1:48" x14ac:dyDescent="0.25">
      <c r="A174" s="18">
        <v>174</v>
      </c>
      <c r="B174" s="19">
        <v>43552</v>
      </c>
      <c r="C174" s="20">
        <v>0.53568287037037032</v>
      </c>
      <c r="D174" s="18">
        <v>7.25</v>
      </c>
      <c r="E174" s="18">
        <v>7.13</v>
      </c>
      <c r="F174" s="18">
        <v>7.31</v>
      </c>
      <c r="G174" s="18">
        <v>7.13</v>
      </c>
      <c r="H174" s="18">
        <v>7</v>
      </c>
      <c r="I174" s="18">
        <v>7.19</v>
      </c>
      <c r="J174" s="18">
        <v>7.38</v>
      </c>
      <c r="K174" s="18">
        <v>7.31</v>
      </c>
      <c r="L174" s="18">
        <v>6.88</v>
      </c>
      <c r="N174" s="4">
        <v>7.22</v>
      </c>
      <c r="O174" s="4">
        <f>N174-'Sonde étalon'!$C$13</f>
        <v>7.39</v>
      </c>
      <c r="R174" s="4">
        <f t="shared" si="96"/>
        <v>-0.13999999999999968</v>
      </c>
      <c r="S174" s="4">
        <f t="shared" si="97"/>
        <v>-0.25999999999999979</v>
      </c>
      <c r="T174" s="4">
        <f t="shared" si="98"/>
        <v>-8.0000000000000071E-2</v>
      </c>
      <c r="U174" s="4">
        <f t="shared" si="99"/>
        <v>-0.25999999999999979</v>
      </c>
      <c r="V174" s="4">
        <f t="shared" si="100"/>
        <v>-0.38999999999999968</v>
      </c>
      <c r="W174" s="4">
        <f t="shared" si="101"/>
        <v>-0.19999999999999929</v>
      </c>
      <c r="X174" s="4">
        <f t="shared" si="102"/>
        <v>-9.9999999999997868E-3</v>
      </c>
      <c r="Y174" s="4">
        <f t="shared" si="103"/>
        <v>-8.0000000000000071E-2</v>
      </c>
      <c r="Z174" s="4">
        <f t="shared" si="104"/>
        <v>-0.50999999999999979</v>
      </c>
      <c r="AC174" s="4">
        <f t="shared" si="78"/>
        <v>7.3590999999999998</v>
      </c>
      <c r="AD174" s="4">
        <f t="shared" si="79"/>
        <v>7.3670499999999999</v>
      </c>
      <c r="AE174" s="4">
        <f t="shared" si="80"/>
        <v>7.3998999999999997</v>
      </c>
      <c r="AF174" s="4">
        <f t="shared" si="81"/>
        <v>7.4735999999999994</v>
      </c>
      <c r="AG174" s="4">
        <f t="shared" si="82"/>
        <v>7.3860000000000001</v>
      </c>
      <c r="AH174" s="4">
        <f t="shared" si="83"/>
        <v>7.5520000000000005</v>
      </c>
      <c r="AI174" s="4">
        <f t="shared" si="84"/>
        <v>7.3444500000000001</v>
      </c>
      <c r="AJ174" s="4">
        <f t="shared" si="85"/>
        <v>7.4047999999999998</v>
      </c>
      <c r="AK174" s="4">
        <f t="shared" si="86"/>
        <v>7.5151500000000002</v>
      </c>
      <c r="AN174" s="4">
        <f t="shared" si="87"/>
        <v>-3.0899999999999928E-2</v>
      </c>
      <c r="AO174" s="4">
        <f t="shared" si="88"/>
        <v>-2.2949999999999804E-2</v>
      </c>
      <c r="AP174" s="4">
        <f t="shared" si="89"/>
        <v>9.9000000000000199E-3</v>
      </c>
      <c r="AQ174" s="4">
        <f t="shared" si="90"/>
        <v>8.3599999999999675E-2</v>
      </c>
      <c r="AR174" s="4">
        <f t="shared" si="91"/>
        <v>-3.9999999999995595E-3</v>
      </c>
      <c r="AS174" s="4">
        <f t="shared" si="92"/>
        <v>0.16200000000000081</v>
      </c>
      <c r="AT174" s="4">
        <f t="shared" si="93"/>
        <v>-4.5549999999999535E-2</v>
      </c>
      <c r="AU174" s="4">
        <f t="shared" si="94"/>
        <v>1.4800000000000146E-2</v>
      </c>
      <c r="AV174" s="4">
        <f t="shared" si="95"/>
        <v>0.12515000000000054</v>
      </c>
    </row>
    <row r="175" spans="1:48" x14ac:dyDescent="0.25">
      <c r="A175" s="18">
        <v>175</v>
      </c>
      <c r="B175" s="19">
        <v>43552</v>
      </c>
      <c r="C175" s="20">
        <v>0.53637731481481488</v>
      </c>
      <c r="D175" s="18">
        <v>7.31</v>
      </c>
      <c r="E175" s="18">
        <v>7.13</v>
      </c>
      <c r="F175" s="18">
        <v>7.38</v>
      </c>
      <c r="G175" s="18">
        <v>7.19</v>
      </c>
      <c r="H175" s="18">
        <v>7.06</v>
      </c>
      <c r="I175" s="18">
        <v>7.25</v>
      </c>
      <c r="J175" s="18">
        <v>7.44</v>
      </c>
      <c r="K175" s="18">
        <v>7.38</v>
      </c>
      <c r="L175" s="18">
        <v>6.94</v>
      </c>
      <c r="N175" s="4">
        <v>7.29</v>
      </c>
      <c r="O175" s="4">
        <f>N175-'Sonde étalon'!$C$13</f>
        <v>7.46</v>
      </c>
      <c r="R175" s="4">
        <f t="shared" si="96"/>
        <v>-0.15000000000000036</v>
      </c>
      <c r="S175" s="4">
        <f t="shared" si="97"/>
        <v>-0.33000000000000007</v>
      </c>
      <c r="T175" s="4">
        <f t="shared" si="98"/>
        <v>-8.0000000000000071E-2</v>
      </c>
      <c r="U175" s="4">
        <f t="shared" si="99"/>
        <v>-0.26999999999999957</v>
      </c>
      <c r="V175" s="4">
        <f t="shared" si="100"/>
        <v>-0.40000000000000036</v>
      </c>
      <c r="W175" s="4">
        <f t="shared" si="101"/>
        <v>-0.20999999999999996</v>
      </c>
      <c r="X175" s="4">
        <f t="shared" si="102"/>
        <v>-1.9999999999999574E-2</v>
      </c>
      <c r="Y175" s="4">
        <f t="shared" si="103"/>
        <v>-8.0000000000000071E-2</v>
      </c>
      <c r="Z175" s="4">
        <f t="shared" si="104"/>
        <v>-0.51999999999999957</v>
      </c>
      <c r="AC175" s="4">
        <f t="shared" si="78"/>
        <v>7.4190999999999994</v>
      </c>
      <c r="AD175" s="4">
        <f t="shared" si="79"/>
        <v>7.3670499999999999</v>
      </c>
      <c r="AE175" s="4">
        <f t="shared" si="80"/>
        <v>7.4699</v>
      </c>
      <c r="AF175" s="4">
        <f t="shared" si="81"/>
        <v>7.5335999999999999</v>
      </c>
      <c r="AG175" s="4">
        <f t="shared" si="82"/>
        <v>7.4459999999999997</v>
      </c>
      <c r="AH175" s="4">
        <f t="shared" si="83"/>
        <v>7.6120000000000001</v>
      </c>
      <c r="AI175" s="4">
        <f t="shared" si="84"/>
        <v>7.4044500000000006</v>
      </c>
      <c r="AJ175" s="4">
        <f t="shared" si="85"/>
        <v>7.4748000000000001</v>
      </c>
      <c r="AK175" s="4">
        <f t="shared" si="86"/>
        <v>7.5751500000000007</v>
      </c>
      <c r="AN175" s="4">
        <f t="shared" si="87"/>
        <v>-4.0900000000000603E-2</v>
      </c>
      <c r="AO175" s="4">
        <f t="shared" si="88"/>
        <v>-9.2950000000000088E-2</v>
      </c>
      <c r="AP175" s="4">
        <f t="shared" si="89"/>
        <v>9.9000000000000199E-3</v>
      </c>
      <c r="AQ175" s="4">
        <f t="shared" si="90"/>
        <v>7.3599999999999888E-2</v>
      </c>
      <c r="AR175" s="4">
        <f t="shared" si="91"/>
        <v>-1.4000000000000234E-2</v>
      </c>
      <c r="AS175" s="4">
        <f t="shared" si="92"/>
        <v>0.15200000000000014</v>
      </c>
      <c r="AT175" s="4">
        <f t="shared" si="93"/>
        <v>-5.5549999999999322E-2</v>
      </c>
      <c r="AU175" s="4">
        <f t="shared" si="94"/>
        <v>1.4800000000000146E-2</v>
      </c>
      <c r="AV175" s="4">
        <f t="shared" si="95"/>
        <v>0.11515000000000075</v>
      </c>
    </row>
    <row r="176" spans="1:48" x14ac:dyDescent="0.25">
      <c r="A176" s="18">
        <v>176</v>
      </c>
      <c r="B176" s="19">
        <v>43552</v>
      </c>
      <c r="C176" s="20">
        <v>0.53707175925925921</v>
      </c>
      <c r="D176" s="18">
        <v>7.38</v>
      </c>
      <c r="E176" s="18">
        <v>7.25</v>
      </c>
      <c r="F176" s="18">
        <v>7.44</v>
      </c>
      <c r="G176" s="18">
        <v>7.25</v>
      </c>
      <c r="H176" s="18">
        <v>7.13</v>
      </c>
      <c r="I176" s="18">
        <v>7.31</v>
      </c>
      <c r="J176" s="18">
        <v>7.5</v>
      </c>
      <c r="K176" s="18">
        <v>7.44</v>
      </c>
      <c r="L176" s="18">
        <v>6.94</v>
      </c>
      <c r="N176" s="4">
        <v>7.36</v>
      </c>
      <c r="O176" s="4">
        <f>N176-'Sonde étalon'!$C$13</f>
        <v>7.53</v>
      </c>
      <c r="R176" s="4">
        <f t="shared" si="96"/>
        <v>-0.15000000000000036</v>
      </c>
      <c r="S176" s="4">
        <f t="shared" si="97"/>
        <v>-0.28000000000000025</v>
      </c>
      <c r="T176" s="4">
        <f t="shared" si="98"/>
        <v>-8.9999999999999858E-2</v>
      </c>
      <c r="U176" s="4">
        <f t="shared" si="99"/>
        <v>-0.28000000000000025</v>
      </c>
      <c r="V176" s="4">
        <f t="shared" si="100"/>
        <v>-0.40000000000000036</v>
      </c>
      <c r="W176" s="4">
        <f t="shared" si="101"/>
        <v>-0.22000000000000064</v>
      </c>
      <c r="X176" s="4">
        <f t="shared" si="102"/>
        <v>-3.0000000000000249E-2</v>
      </c>
      <c r="Y176" s="4">
        <f t="shared" si="103"/>
        <v>-8.9999999999999858E-2</v>
      </c>
      <c r="Z176" s="4">
        <f t="shared" si="104"/>
        <v>-0.58999999999999986</v>
      </c>
      <c r="AC176" s="4">
        <f t="shared" si="78"/>
        <v>7.4890999999999996</v>
      </c>
      <c r="AD176" s="4">
        <f t="shared" si="79"/>
        <v>7.48705</v>
      </c>
      <c r="AE176" s="4">
        <f t="shared" si="80"/>
        <v>7.5299000000000005</v>
      </c>
      <c r="AF176" s="4">
        <f t="shared" si="81"/>
        <v>7.5935999999999995</v>
      </c>
      <c r="AG176" s="4">
        <f t="shared" si="82"/>
        <v>7.516</v>
      </c>
      <c r="AH176" s="4">
        <f t="shared" si="83"/>
        <v>7.6719999999999997</v>
      </c>
      <c r="AI176" s="4">
        <f t="shared" si="84"/>
        <v>7.4644500000000003</v>
      </c>
      <c r="AJ176" s="4">
        <f t="shared" si="85"/>
        <v>7.5348000000000006</v>
      </c>
      <c r="AK176" s="4">
        <f t="shared" si="86"/>
        <v>7.5751500000000007</v>
      </c>
      <c r="AN176" s="4">
        <f t="shared" si="87"/>
        <v>-4.0900000000000603E-2</v>
      </c>
      <c r="AO176" s="4">
        <f t="shared" si="88"/>
        <v>-4.2950000000000266E-2</v>
      </c>
      <c r="AP176" s="4">
        <f t="shared" si="89"/>
        <v>-9.9999999999766942E-5</v>
      </c>
      <c r="AQ176" s="4">
        <f t="shared" si="90"/>
        <v>6.3599999999999213E-2</v>
      </c>
      <c r="AR176" s="4">
        <f t="shared" si="91"/>
        <v>-1.4000000000000234E-2</v>
      </c>
      <c r="AS176" s="4">
        <f t="shared" si="92"/>
        <v>0.14199999999999946</v>
      </c>
      <c r="AT176" s="4">
        <f t="shared" si="93"/>
        <v>-6.5549999999999997E-2</v>
      </c>
      <c r="AU176" s="4">
        <f t="shared" si="94"/>
        <v>4.8000000000003595E-3</v>
      </c>
      <c r="AV176" s="4">
        <f t="shared" si="95"/>
        <v>4.5150000000000468E-2</v>
      </c>
    </row>
    <row r="177" spans="1:48" x14ac:dyDescent="0.25">
      <c r="A177" s="18">
        <v>177</v>
      </c>
      <c r="B177" s="19">
        <v>43552</v>
      </c>
      <c r="C177" s="20">
        <v>0.53776620370370376</v>
      </c>
      <c r="D177" s="18">
        <v>7.44</v>
      </c>
      <c r="E177" s="18">
        <v>7.25</v>
      </c>
      <c r="F177" s="18">
        <v>7.5</v>
      </c>
      <c r="G177" s="18">
        <v>7.31</v>
      </c>
      <c r="H177" s="18">
        <v>7.19</v>
      </c>
      <c r="I177" s="18">
        <v>7.38</v>
      </c>
      <c r="J177" s="18">
        <v>7.56</v>
      </c>
      <c r="K177" s="18">
        <v>7.5</v>
      </c>
      <c r="L177" s="18">
        <v>7.06</v>
      </c>
      <c r="N177" s="4">
        <v>7.42</v>
      </c>
      <c r="O177" s="4">
        <f>N177-'Sonde étalon'!$C$13</f>
        <v>7.59</v>
      </c>
      <c r="R177" s="4">
        <f t="shared" si="96"/>
        <v>-0.14999999999999947</v>
      </c>
      <c r="S177" s="4">
        <f t="shared" si="97"/>
        <v>-0.33999999999999986</v>
      </c>
      <c r="T177" s="4">
        <f t="shared" si="98"/>
        <v>-8.9999999999999858E-2</v>
      </c>
      <c r="U177" s="4">
        <f t="shared" si="99"/>
        <v>-0.28000000000000025</v>
      </c>
      <c r="V177" s="4">
        <f t="shared" si="100"/>
        <v>-0.39999999999999947</v>
      </c>
      <c r="W177" s="4">
        <f t="shared" si="101"/>
        <v>-0.20999999999999996</v>
      </c>
      <c r="X177" s="4">
        <f t="shared" si="102"/>
        <v>-3.0000000000000249E-2</v>
      </c>
      <c r="Y177" s="4">
        <f t="shared" si="103"/>
        <v>-8.9999999999999858E-2</v>
      </c>
      <c r="Z177" s="4">
        <f t="shared" si="104"/>
        <v>-0.53000000000000025</v>
      </c>
      <c r="AC177" s="4">
        <f t="shared" si="78"/>
        <v>7.5491000000000001</v>
      </c>
      <c r="AD177" s="4">
        <f t="shared" si="79"/>
        <v>7.48705</v>
      </c>
      <c r="AE177" s="4">
        <f t="shared" si="80"/>
        <v>7.5899000000000001</v>
      </c>
      <c r="AF177" s="4">
        <f t="shared" si="81"/>
        <v>7.6535999999999991</v>
      </c>
      <c r="AG177" s="4">
        <f t="shared" si="82"/>
        <v>7.5760000000000005</v>
      </c>
      <c r="AH177" s="4">
        <f t="shared" si="83"/>
        <v>7.742</v>
      </c>
      <c r="AI177" s="4">
        <f t="shared" si="84"/>
        <v>7.5244499999999999</v>
      </c>
      <c r="AJ177" s="4">
        <f t="shared" si="85"/>
        <v>7.5948000000000002</v>
      </c>
      <c r="AK177" s="4">
        <f t="shared" si="86"/>
        <v>7.6951499999999999</v>
      </c>
      <c r="AN177" s="4">
        <f t="shared" si="87"/>
        <v>-4.0899999999999714E-2</v>
      </c>
      <c r="AO177" s="4">
        <f t="shared" si="88"/>
        <v>-0.10294999999999987</v>
      </c>
      <c r="AP177" s="4">
        <f t="shared" si="89"/>
        <v>-9.9999999999766942E-5</v>
      </c>
      <c r="AQ177" s="4">
        <f t="shared" si="90"/>
        <v>6.3599999999999213E-2</v>
      </c>
      <c r="AR177" s="4">
        <f t="shared" si="91"/>
        <v>-1.3999999999999346E-2</v>
      </c>
      <c r="AS177" s="4">
        <f t="shared" si="92"/>
        <v>0.15200000000000014</v>
      </c>
      <c r="AT177" s="4">
        <f t="shared" si="93"/>
        <v>-6.5549999999999997E-2</v>
      </c>
      <c r="AU177" s="4">
        <f t="shared" si="94"/>
        <v>4.8000000000003595E-3</v>
      </c>
      <c r="AV177" s="4">
        <f t="shared" si="95"/>
        <v>0.10515000000000008</v>
      </c>
    </row>
    <row r="178" spans="1:48" x14ac:dyDescent="0.25">
      <c r="A178" s="18">
        <v>178</v>
      </c>
      <c r="B178" s="19">
        <v>43552</v>
      </c>
      <c r="C178" s="20">
        <v>0.53846064814814809</v>
      </c>
      <c r="D178" s="18">
        <v>7.5</v>
      </c>
      <c r="E178" s="18">
        <v>7.31</v>
      </c>
      <c r="F178" s="18">
        <v>7.56</v>
      </c>
      <c r="G178" s="18">
        <v>7.38</v>
      </c>
      <c r="H178" s="18">
        <v>7.25</v>
      </c>
      <c r="I178" s="18">
        <v>7.44</v>
      </c>
      <c r="J178" s="18">
        <v>7.63</v>
      </c>
      <c r="K178" s="18">
        <v>7.56</v>
      </c>
      <c r="L178" s="18">
        <v>7.13</v>
      </c>
      <c r="N178" s="4">
        <v>7.48</v>
      </c>
      <c r="O178" s="4">
        <f>N178-'Sonde étalon'!$C$13</f>
        <v>7.65</v>
      </c>
      <c r="R178" s="4">
        <f t="shared" si="96"/>
        <v>-0.15000000000000036</v>
      </c>
      <c r="S178" s="4">
        <f t="shared" si="97"/>
        <v>-0.34000000000000075</v>
      </c>
      <c r="T178" s="4">
        <f t="shared" si="98"/>
        <v>-9.0000000000000746E-2</v>
      </c>
      <c r="U178" s="4">
        <f t="shared" si="99"/>
        <v>-0.27000000000000046</v>
      </c>
      <c r="V178" s="4">
        <f t="shared" si="100"/>
        <v>-0.40000000000000036</v>
      </c>
      <c r="W178" s="4">
        <f t="shared" si="101"/>
        <v>-0.20999999999999996</v>
      </c>
      <c r="X178" s="4">
        <f t="shared" si="102"/>
        <v>-2.0000000000000462E-2</v>
      </c>
      <c r="Y178" s="4">
        <f t="shared" si="103"/>
        <v>-9.0000000000000746E-2</v>
      </c>
      <c r="Z178" s="4">
        <f t="shared" si="104"/>
        <v>-0.52000000000000046</v>
      </c>
      <c r="AC178" s="4">
        <f t="shared" si="78"/>
        <v>7.6090999999999998</v>
      </c>
      <c r="AD178" s="4">
        <f t="shared" si="79"/>
        <v>7.5470499999999996</v>
      </c>
      <c r="AE178" s="4">
        <f t="shared" si="80"/>
        <v>7.6498999999999997</v>
      </c>
      <c r="AF178" s="4">
        <f t="shared" si="81"/>
        <v>7.7235999999999994</v>
      </c>
      <c r="AG178" s="4">
        <f t="shared" si="82"/>
        <v>7.6360000000000001</v>
      </c>
      <c r="AH178" s="4">
        <f t="shared" si="83"/>
        <v>7.8020000000000005</v>
      </c>
      <c r="AI178" s="4">
        <f t="shared" si="84"/>
        <v>7.5944500000000001</v>
      </c>
      <c r="AJ178" s="4">
        <f t="shared" si="85"/>
        <v>7.6547999999999998</v>
      </c>
      <c r="AK178" s="4">
        <f t="shared" si="86"/>
        <v>7.7651500000000002</v>
      </c>
      <c r="AN178" s="4">
        <f t="shared" si="87"/>
        <v>-4.0900000000000603E-2</v>
      </c>
      <c r="AO178" s="4">
        <f t="shared" si="88"/>
        <v>-0.10295000000000076</v>
      </c>
      <c r="AP178" s="4">
        <f t="shared" si="89"/>
        <v>-1.0000000000065512E-4</v>
      </c>
      <c r="AQ178" s="4">
        <f t="shared" si="90"/>
        <v>7.3599999999999E-2</v>
      </c>
      <c r="AR178" s="4">
        <f t="shared" si="91"/>
        <v>-1.4000000000000234E-2</v>
      </c>
      <c r="AS178" s="4">
        <f t="shared" si="92"/>
        <v>0.15200000000000014</v>
      </c>
      <c r="AT178" s="4">
        <f t="shared" si="93"/>
        <v>-5.555000000000021E-2</v>
      </c>
      <c r="AU178" s="4">
        <f t="shared" si="94"/>
        <v>4.7999999999994714E-3</v>
      </c>
      <c r="AV178" s="4">
        <f t="shared" si="95"/>
        <v>0.11514999999999986</v>
      </c>
    </row>
    <row r="179" spans="1:48" x14ac:dyDescent="0.25">
      <c r="A179" s="18">
        <v>179</v>
      </c>
      <c r="B179" s="19">
        <v>43552</v>
      </c>
      <c r="C179" s="20">
        <v>0.53915509259259264</v>
      </c>
      <c r="D179" s="18">
        <v>7.56</v>
      </c>
      <c r="E179" s="18">
        <v>7.38</v>
      </c>
      <c r="F179" s="18">
        <v>7.63</v>
      </c>
      <c r="G179" s="18">
        <v>7.44</v>
      </c>
      <c r="H179" s="18">
        <v>7.31</v>
      </c>
      <c r="I179" s="18">
        <v>7.5</v>
      </c>
      <c r="J179" s="18">
        <v>7.69</v>
      </c>
      <c r="K179" s="18">
        <v>7.63</v>
      </c>
      <c r="L179" s="18">
        <v>7.19</v>
      </c>
      <c r="N179" s="4">
        <v>7.54</v>
      </c>
      <c r="O179" s="4">
        <f>N179-'Sonde étalon'!$C$13</f>
        <v>7.71</v>
      </c>
      <c r="R179" s="4">
        <f t="shared" si="96"/>
        <v>-0.15000000000000036</v>
      </c>
      <c r="S179" s="4">
        <f t="shared" si="97"/>
        <v>-0.33000000000000007</v>
      </c>
      <c r="T179" s="4">
        <f t="shared" si="98"/>
        <v>-8.0000000000000071E-2</v>
      </c>
      <c r="U179" s="4">
        <f t="shared" si="99"/>
        <v>-0.26999999999999957</v>
      </c>
      <c r="V179" s="4">
        <f t="shared" si="100"/>
        <v>-0.40000000000000036</v>
      </c>
      <c r="W179" s="4">
        <f t="shared" si="101"/>
        <v>-0.20999999999999996</v>
      </c>
      <c r="X179" s="4">
        <f t="shared" si="102"/>
        <v>-1.9999999999999574E-2</v>
      </c>
      <c r="Y179" s="4">
        <f t="shared" si="103"/>
        <v>-8.0000000000000071E-2</v>
      </c>
      <c r="Z179" s="4">
        <f t="shared" si="104"/>
        <v>-0.51999999999999957</v>
      </c>
      <c r="AC179" s="4">
        <f t="shared" si="78"/>
        <v>7.6690999999999994</v>
      </c>
      <c r="AD179" s="4">
        <f t="shared" si="79"/>
        <v>7.6170499999999999</v>
      </c>
      <c r="AE179" s="4">
        <f t="shared" si="80"/>
        <v>7.7199</v>
      </c>
      <c r="AF179" s="4">
        <f t="shared" si="81"/>
        <v>7.7835999999999999</v>
      </c>
      <c r="AG179" s="4">
        <f t="shared" si="82"/>
        <v>7.6959999999999997</v>
      </c>
      <c r="AH179" s="4">
        <f t="shared" si="83"/>
        <v>7.8620000000000001</v>
      </c>
      <c r="AI179" s="4">
        <f t="shared" si="84"/>
        <v>7.6544500000000006</v>
      </c>
      <c r="AJ179" s="4">
        <f t="shared" si="85"/>
        <v>7.7248000000000001</v>
      </c>
      <c r="AK179" s="4">
        <f t="shared" si="86"/>
        <v>7.8251500000000007</v>
      </c>
      <c r="AN179" s="4">
        <f t="shared" si="87"/>
        <v>-4.0900000000000603E-2</v>
      </c>
      <c r="AO179" s="4">
        <f t="shared" si="88"/>
        <v>-9.2950000000000088E-2</v>
      </c>
      <c r="AP179" s="4">
        <f t="shared" si="89"/>
        <v>9.9000000000000199E-3</v>
      </c>
      <c r="AQ179" s="4">
        <f t="shared" si="90"/>
        <v>7.3599999999999888E-2</v>
      </c>
      <c r="AR179" s="4">
        <f t="shared" si="91"/>
        <v>-1.4000000000000234E-2</v>
      </c>
      <c r="AS179" s="4">
        <f t="shared" si="92"/>
        <v>0.15200000000000014</v>
      </c>
      <c r="AT179" s="4">
        <f t="shared" si="93"/>
        <v>-5.5549999999999322E-2</v>
      </c>
      <c r="AU179" s="4">
        <f t="shared" si="94"/>
        <v>1.4800000000000146E-2</v>
      </c>
      <c r="AV179" s="4">
        <f t="shared" si="95"/>
        <v>0.11515000000000075</v>
      </c>
    </row>
    <row r="180" spans="1:48" x14ac:dyDescent="0.25">
      <c r="A180" s="18">
        <v>180</v>
      </c>
      <c r="B180" s="19">
        <v>43552</v>
      </c>
      <c r="C180" s="20">
        <v>0.53984953703703698</v>
      </c>
      <c r="D180" s="18">
        <v>7.63</v>
      </c>
      <c r="E180" s="18">
        <v>7.44</v>
      </c>
      <c r="F180" s="18">
        <v>7.69</v>
      </c>
      <c r="G180" s="18">
        <v>7.5</v>
      </c>
      <c r="H180" s="18">
        <v>7.31</v>
      </c>
      <c r="I180" s="18">
        <v>7.56</v>
      </c>
      <c r="J180" s="18">
        <v>7.69</v>
      </c>
      <c r="K180" s="18">
        <v>7.69</v>
      </c>
      <c r="L180" s="18">
        <v>7.25</v>
      </c>
      <c r="N180" s="4">
        <v>7.58</v>
      </c>
      <c r="O180" s="4">
        <f>N180-'Sonde étalon'!$C$13</f>
        <v>7.75</v>
      </c>
      <c r="R180" s="4">
        <f t="shared" si="96"/>
        <v>-0.12000000000000011</v>
      </c>
      <c r="S180" s="4">
        <f t="shared" si="97"/>
        <v>-0.30999999999999961</v>
      </c>
      <c r="T180" s="4">
        <f t="shared" si="98"/>
        <v>-5.9999999999999609E-2</v>
      </c>
      <c r="U180" s="4">
        <f t="shared" si="99"/>
        <v>-0.25</v>
      </c>
      <c r="V180" s="4">
        <f t="shared" si="100"/>
        <v>-0.44000000000000039</v>
      </c>
      <c r="W180" s="4">
        <f t="shared" si="101"/>
        <v>-0.19000000000000039</v>
      </c>
      <c r="X180" s="4">
        <f t="shared" si="102"/>
        <v>-5.9999999999999609E-2</v>
      </c>
      <c r="Y180" s="4">
        <f t="shared" si="103"/>
        <v>-5.9999999999999609E-2</v>
      </c>
      <c r="Z180" s="4">
        <f t="shared" si="104"/>
        <v>-0.5</v>
      </c>
      <c r="AC180" s="4">
        <f t="shared" si="78"/>
        <v>7.7390999999999996</v>
      </c>
      <c r="AD180" s="4">
        <f t="shared" si="79"/>
        <v>7.6770500000000004</v>
      </c>
      <c r="AE180" s="4">
        <f t="shared" si="80"/>
        <v>7.7799000000000005</v>
      </c>
      <c r="AF180" s="4">
        <f t="shared" si="81"/>
        <v>7.8435999999999995</v>
      </c>
      <c r="AG180" s="4">
        <f t="shared" si="82"/>
        <v>7.6959999999999997</v>
      </c>
      <c r="AH180" s="4">
        <f t="shared" si="83"/>
        <v>7.9219999999999997</v>
      </c>
      <c r="AI180" s="4">
        <f t="shared" si="84"/>
        <v>7.6544500000000006</v>
      </c>
      <c r="AJ180" s="4">
        <f t="shared" si="85"/>
        <v>7.7848000000000006</v>
      </c>
      <c r="AK180" s="4">
        <f t="shared" si="86"/>
        <v>7.8851500000000003</v>
      </c>
      <c r="AN180" s="4">
        <f t="shared" si="87"/>
        <v>-1.0900000000000354E-2</v>
      </c>
      <c r="AO180" s="4">
        <f t="shared" si="88"/>
        <v>-7.2949999999999626E-2</v>
      </c>
      <c r="AP180" s="4">
        <f t="shared" si="89"/>
        <v>2.9900000000000482E-2</v>
      </c>
      <c r="AQ180" s="4">
        <f t="shared" si="90"/>
        <v>9.3599999999999461E-2</v>
      </c>
      <c r="AR180" s="4">
        <f t="shared" si="91"/>
        <v>-5.400000000000027E-2</v>
      </c>
      <c r="AS180" s="4">
        <f t="shared" si="92"/>
        <v>0.17199999999999971</v>
      </c>
      <c r="AT180" s="4">
        <f t="shared" si="93"/>
        <v>-9.5549999999999358E-2</v>
      </c>
      <c r="AU180" s="4">
        <f t="shared" si="94"/>
        <v>3.4800000000000608E-2</v>
      </c>
      <c r="AV180" s="4">
        <f t="shared" si="95"/>
        <v>0.13515000000000033</v>
      </c>
    </row>
    <row r="181" spans="1:48" x14ac:dyDescent="0.25">
      <c r="A181" s="18">
        <v>181</v>
      </c>
      <c r="B181" s="19">
        <v>43552</v>
      </c>
      <c r="C181" s="20">
        <v>0.54054398148148153</v>
      </c>
      <c r="D181" s="18">
        <v>7.69</v>
      </c>
      <c r="E181" s="18">
        <v>7.5</v>
      </c>
      <c r="F181" s="18">
        <v>7.69</v>
      </c>
      <c r="G181" s="18">
        <v>7.56</v>
      </c>
      <c r="H181" s="18">
        <v>7.38</v>
      </c>
      <c r="I181" s="18">
        <v>7.63</v>
      </c>
      <c r="J181" s="18">
        <v>7.75</v>
      </c>
      <c r="K181" s="18">
        <v>7.75</v>
      </c>
      <c r="L181" s="18">
        <v>7.25</v>
      </c>
      <c r="N181" s="4">
        <v>7.64</v>
      </c>
      <c r="O181" s="4">
        <f>N181-'Sonde étalon'!$C$13</f>
        <v>7.81</v>
      </c>
      <c r="R181" s="4">
        <f t="shared" si="96"/>
        <v>-0.11999999999999922</v>
      </c>
      <c r="S181" s="4">
        <f t="shared" si="97"/>
        <v>-0.30999999999999961</v>
      </c>
      <c r="T181" s="4">
        <f t="shared" si="98"/>
        <v>-0.11999999999999922</v>
      </c>
      <c r="U181" s="4">
        <f t="shared" si="99"/>
        <v>-0.25</v>
      </c>
      <c r="V181" s="4">
        <f t="shared" si="100"/>
        <v>-0.42999999999999972</v>
      </c>
      <c r="W181" s="4">
        <f t="shared" si="101"/>
        <v>-0.17999999999999972</v>
      </c>
      <c r="X181" s="4">
        <f t="shared" si="102"/>
        <v>-5.9999999999999609E-2</v>
      </c>
      <c r="Y181" s="4">
        <f t="shared" si="103"/>
        <v>-5.9999999999999609E-2</v>
      </c>
      <c r="Z181" s="4">
        <f t="shared" si="104"/>
        <v>-0.55999999999999961</v>
      </c>
      <c r="AC181" s="4">
        <f t="shared" si="78"/>
        <v>7.7991000000000001</v>
      </c>
      <c r="AD181" s="4">
        <f t="shared" si="79"/>
        <v>7.73705</v>
      </c>
      <c r="AE181" s="4">
        <f t="shared" si="80"/>
        <v>7.7799000000000005</v>
      </c>
      <c r="AF181" s="4">
        <f t="shared" si="81"/>
        <v>7.9035999999999991</v>
      </c>
      <c r="AG181" s="4">
        <f t="shared" si="82"/>
        <v>7.766</v>
      </c>
      <c r="AH181" s="4">
        <f t="shared" si="83"/>
        <v>7.992</v>
      </c>
      <c r="AI181" s="4">
        <f t="shared" si="84"/>
        <v>7.7144500000000003</v>
      </c>
      <c r="AJ181" s="4">
        <f t="shared" si="85"/>
        <v>7.8448000000000002</v>
      </c>
      <c r="AK181" s="4">
        <f t="shared" si="86"/>
        <v>7.8851500000000003</v>
      </c>
      <c r="AN181" s="4">
        <f t="shared" si="87"/>
        <v>-1.0899999999999466E-2</v>
      </c>
      <c r="AO181" s="4">
        <f t="shared" si="88"/>
        <v>-7.2949999999999626E-2</v>
      </c>
      <c r="AP181" s="4">
        <f t="shared" si="89"/>
        <v>-3.0099999999999127E-2</v>
      </c>
      <c r="AQ181" s="4">
        <f t="shared" si="90"/>
        <v>9.3599999999999461E-2</v>
      </c>
      <c r="AR181" s="4">
        <f t="shared" si="91"/>
        <v>-4.3999999999999595E-2</v>
      </c>
      <c r="AS181" s="4">
        <f t="shared" si="92"/>
        <v>0.18200000000000038</v>
      </c>
      <c r="AT181" s="4">
        <f t="shared" si="93"/>
        <v>-9.5549999999999358E-2</v>
      </c>
      <c r="AU181" s="4">
        <f t="shared" si="94"/>
        <v>3.4800000000000608E-2</v>
      </c>
      <c r="AV181" s="4">
        <f t="shared" si="95"/>
        <v>7.5150000000000716E-2</v>
      </c>
    </row>
    <row r="182" spans="1:48" x14ac:dyDescent="0.25">
      <c r="A182" s="18">
        <v>182</v>
      </c>
      <c r="B182" s="19">
        <v>43552</v>
      </c>
      <c r="C182" s="20">
        <v>0.54123842592592586</v>
      </c>
      <c r="D182" s="18">
        <v>7.69</v>
      </c>
      <c r="E182" s="18">
        <v>7.56</v>
      </c>
      <c r="F182" s="18">
        <v>7.75</v>
      </c>
      <c r="G182" s="18">
        <v>7.56</v>
      </c>
      <c r="H182" s="18">
        <v>7.44</v>
      </c>
      <c r="I182" s="18">
        <v>7.69</v>
      </c>
      <c r="J182" s="18">
        <v>7.81</v>
      </c>
      <c r="K182" s="18">
        <v>7.75</v>
      </c>
      <c r="L182" s="18">
        <v>7.31</v>
      </c>
      <c r="N182" s="4">
        <v>7.7</v>
      </c>
      <c r="O182" s="4">
        <f>N182-'Sonde étalon'!$C$13</f>
        <v>7.87</v>
      </c>
      <c r="R182" s="4">
        <f t="shared" si="96"/>
        <v>-0.17999999999999972</v>
      </c>
      <c r="S182" s="4">
        <f t="shared" si="97"/>
        <v>-0.3100000000000005</v>
      </c>
      <c r="T182" s="4">
        <f t="shared" si="98"/>
        <v>-0.12000000000000011</v>
      </c>
      <c r="U182" s="4">
        <f t="shared" si="99"/>
        <v>-0.3100000000000005</v>
      </c>
      <c r="V182" s="4">
        <f t="shared" si="100"/>
        <v>-0.42999999999999972</v>
      </c>
      <c r="W182" s="4">
        <f t="shared" si="101"/>
        <v>-0.17999999999999972</v>
      </c>
      <c r="X182" s="4">
        <f t="shared" si="102"/>
        <v>-6.0000000000000497E-2</v>
      </c>
      <c r="Y182" s="4">
        <f t="shared" si="103"/>
        <v>-0.12000000000000011</v>
      </c>
      <c r="Z182" s="4">
        <f t="shared" si="104"/>
        <v>-0.5600000000000005</v>
      </c>
      <c r="AC182" s="4">
        <f t="shared" si="78"/>
        <v>7.7991000000000001</v>
      </c>
      <c r="AD182" s="4">
        <f t="shared" si="79"/>
        <v>7.7970499999999996</v>
      </c>
      <c r="AE182" s="4">
        <f t="shared" si="80"/>
        <v>7.8399000000000001</v>
      </c>
      <c r="AF182" s="4">
        <f t="shared" si="81"/>
        <v>7.9035999999999991</v>
      </c>
      <c r="AG182" s="4">
        <f t="shared" si="82"/>
        <v>7.8260000000000005</v>
      </c>
      <c r="AH182" s="4">
        <f t="shared" si="83"/>
        <v>8.0519999999999996</v>
      </c>
      <c r="AI182" s="4">
        <f t="shared" si="84"/>
        <v>7.7744499999999999</v>
      </c>
      <c r="AJ182" s="4">
        <f t="shared" si="85"/>
        <v>7.8448000000000002</v>
      </c>
      <c r="AK182" s="4">
        <f t="shared" si="86"/>
        <v>7.9451499999999999</v>
      </c>
      <c r="AN182" s="4">
        <f t="shared" si="87"/>
        <v>-7.0899999999999963E-2</v>
      </c>
      <c r="AO182" s="4">
        <f t="shared" si="88"/>
        <v>-7.2950000000000514E-2</v>
      </c>
      <c r="AP182" s="4">
        <f t="shared" si="89"/>
        <v>-3.0100000000000016E-2</v>
      </c>
      <c r="AQ182" s="4">
        <f t="shared" si="90"/>
        <v>3.3599999999998964E-2</v>
      </c>
      <c r="AR182" s="4">
        <f t="shared" si="91"/>
        <v>-4.3999999999999595E-2</v>
      </c>
      <c r="AS182" s="4">
        <f t="shared" si="92"/>
        <v>0.1819999999999995</v>
      </c>
      <c r="AT182" s="4">
        <f t="shared" si="93"/>
        <v>-9.5550000000000246E-2</v>
      </c>
      <c r="AU182" s="4">
        <f t="shared" si="94"/>
        <v>-2.5199999999999889E-2</v>
      </c>
      <c r="AV182" s="4">
        <f t="shared" si="95"/>
        <v>7.5149999999999828E-2</v>
      </c>
    </row>
    <row r="183" spans="1:48" x14ac:dyDescent="0.25">
      <c r="A183" s="18">
        <v>183</v>
      </c>
      <c r="B183" s="19">
        <v>43552</v>
      </c>
      <c r="C183" s="20">
        <v>0.54193287037037041</v>
      </c>
      <c r="D183" s="18">
        <v>7.75</v>
      </c>
      <c r="E183" s="18">
        <v>7.56</v>
      </c>
      <c r="F183" s="18">
        <v>7.81</v>
      </c>
      <c r="G183" s="18">
        <v>7.63</v>
      </c>
      <c r="H183" s="18">
        <v>7.5</v>
      </c>
      <c r="I183" s="18">
        <v>7.75</v>
      </c>
      <c r="J183" s="18">
        <v>7.88</v>
      </c>
      <c r="K183" s="18">
        <v>7.81</v>
      </c>
      <c r="L183" s="18">
        <v>7.38</v>
      </c>
      <c r="N183" s="4">
        <v>7.75</v>
      </c>
      <c r="O183" s="4">
        <f>N183-'Sonde étalon'!$C$13</f>
        <v>7.92</v>
      </c>
      <c r="R183" s="4">
        <f t="shared" si="96"/>
        <v>-0.16999999999999993</v>
      </c>
      <c r="S183" s="4">
        <f t="shared" si="97"/>
        <v>-0.36000000000000032</v>
      </c>
      <c r="T183" s="4">
        <f t="shared" si="98"/>
        <v>-0.11000000000000032</v>
      </c>
      <c r="U183" s="4">
        <f t="shared" si="99"/>
        <v>-0.29000000000000004</v>
      </c>
      <c r="V183" s="4">
        <f t="shared" si="100"/>
        <v>-0.41999999999999993</v>
      </c>
      <c r="W183" s="4">
        <f t="shared" si="101"/>
        <v>-0.16999999999999993</v>
      </c>
      <c r="X183" s="4">
        <f t="shared" si="102"/>
        <v>-4.0000000000000036E-2</v>
      </c>
      <c r="Y183" s="4">
        <f t="shared" si="103"/>
        <v>-0.11000000000000032</v>
      </c>
      <c r="Z183" s="4">
        <f t="shared" si="104"/>
        <v>-0.54</v>
      </c>
      <c r="AC183" s="4">
        <f t="shared" si="78"/>
        <v>7.8590999999999998</v>
      </c>
      <c r="AD183" s="4">
        <f t="shared" si="79"/>
        <v>7.7970499999999996</v>
      </c>
      <c r="AE183" s="4">
        <f t="shared" si="80"/>
        <v>7.8998999999999997</v>
      </c>
      <c r="AF183" s="4">
        <f t="shared" si="81"/>
        <v>7.9735999999999994</v>
      </c>
      <c r="AG183" s="4">
        <f t="shared" si="82"/>
        <v>7.8860000000000001</v>
      </c>
      <c r="AH183" s="4">
        <f t="shared" si="83"/>
        <v>8.1120000000000001</v>
      </c>
      <c r="AI183" s="4">
        <f t="shared" si="84"/>
        <v>7.8444500000000001</v>
      </c>
      <c r="AJ183" s="4">
        <f t="shared" si="85"/>
        <v>7.9047999999999998</v>
      </c>
      <c r="AK183" s="4">
        <f t="shared" si="86"/>
        <v>8.0151500000000002</v>
      </c>
      <c r="AN183" s="4">
        <f t="shared" si="87"/>
        <v>-6.0900000000000176E-2</v>
      </c>
      <c r="AO183" s="4">
        <f t="shared" si="88"/>
        <v>-0.12295000000000034</v>
      </c>
      <c r="AP183" s="4">
        <f t="shared" si="89"/>
        <v>-2.0100000000000229E-2</v>
      </c>
      <c r="AQ183" s="4">
        <f t="shared" si="90"/>
        <v>5.3599999999999426E-2</v>
      </c>
      <c r="AR183" s="4">
        <f t="shared" si="91"/>
        <v>-3.3999999999999808E-2</v>
      </c>
      <c r="AS183" s="4">
        <f t="shared" si="92"/>
        <v>0.19200000000000017</v>
      </c>
      <c r="AT183" s="4">
        <f t="shared" si="93"/>
        <v>-7.5549999999999784E-2</v>
      </c>
      <c r="AU183" s="4">
        <f t="shared" si="94"/>
        <v>-1.5200000000000102E-2</v>
      </c>
      <c r="AV183" s="4">
        <f t="shared" si="95"/>
        <v>9.515000000000029E-2</v>
      </c>
    </row>
    <row r="184" spans="1:48" x14ac:dyDescent="0.25">
      <c r="A184" s="18">
        <v>184</v>
      </c>
      <c r="B184" s="19">
        <v>43552</v>
      </c>
      <c r="C184" s="20">
        <v>0.54262731481481474</v>
      </c>
      <c r="D184" s="18">
        <v>7.81</v>
      </c>
      <c r="E184" s="18">
        <v>7.63</v>
      </c>
      <c r="F184" s="18">
        <v>7.88</v>
      </c>
      <c r="G184" s="18">
        <v>7.69</v>
      </c>
      <c r="H184" s="18">
        <v>7.56</v>
      </c>
      <c r="I184" s="18">
        <v>7.81</v>
      </c>
      <c r="J184" s="18">
        <v>7.94</v>
      </c>
      <c r="K184" s="18">
        <v>7.88</v>
      </c>
      <c r="L184" s="18">
        <v>7.44</v>
      </c>
      <c r="N184" s="4">
        <v>7.81</v>
      </c>
      <c r="O184" s="4">
        <f>N184-'Sonde étalon'!$C$13</f>
        <v>7.9799999999999995</v>
      </c>
      <c r="R184" s="4">
        <f t="shared" si="96"/>
        <v>-0.16999999999999993</v>
      </c>
      <c r="S184" s="4">
        <f t="shared" si="97"/>
        <v>-0.34999999999999964</v>
      </c>
      <c r="T184" s="4">
        <f t="shared" si="98"/>
        <v>-9.9999999999999645E-2</v>
      </c>
      <c r="U184" s="4">
        <f t="shared" si="99"/>
        <v>-0.28999999999999915</v>
      </c>
      <c r="V184" s="4">
        <f t="shared" si="100"/>
        <v>-0.41999999999999993</v>
      </c>
      <c r="W184" s="4">
        <f t="shared" si="101"/>
        <v>-0.16999999999999993</v>
      </c>
      <c r="X184" s="4">
        <f t="shared" si="102"/>
        <v>-3.9999999999999147E-2</v>
      </c>
      <c r="Y184" s="4">
        <f t="shared" si="103"/>
        <v>-9.9999999999999645E-2</v>
      </c>
      <c r="Z184" s="4">
        <f t="shared" si="104"/>
        <v>-0.53999999999999915</v>
      </c>
      <c r="AC184" s="4">
        <f t="shared" si="78"/>
        <v>7.9190999999999994</v>
      </c>
      <c r="AD184" s="4">
        <f t="shared" si="79"/>
        <v>7.8670499999999999</v>
      </c>
      <c r="AE184" s="4">
        <f t="shared" si="80"/>
        <v>7.9699</v>
      </c>
      <c r="AF184" s="4">
        <f t="shared" si="81"/>
        <v>8.0335999999999999</v>
      </c>
      <c r="AG184" s="4">
        <f t="shared" si="82"/>
        <v>7.9459999999999997</v>
      </c>
      <c r="AH184" s="4">
        <f t="shared" si="83"/>
        <v>8.1719999999999988</v>
      </c>
      <c r="AI184" s="4">
        <f t="shared" si="84"/>
        <v>7.9044500000000006</v>
      </c>
      <c r="AJ184" s="4">
        <f t="shared" si="85"/>
        <v>7.9748000000000001</v>
      </c>
      <c r="AK184" s="4">
        <f t="shared" si="86"/>
        <v>8.0751500000000007</v>
      </c>
      <c r="AN184" s="4">
        <f t="shared" si="87"/>
        <v>-6.0900000000000176E-2</v>
      </c>
      <c r="AO184" s="4">
        <f t="shared" si="88"/>
        <v>-0.11294999999999966</v>
      </c>
      <c r="AP184" s="4">
        <f t="shared" si="89"/>
        <v>-1.0099999999999554E-2</v>
      </c>
      <c r="AQ184" s="4">
        <f t="shared" si="90"/>
        <v>5.3600000000000314E-2</v>
      </c>
      <c r="AR184" s="4">
        <f t="shared" si="91"/>
        <v>-3.3999999999999808E-2</v>
      </c>
      <c r="AS184" s="4">
        <f t="shared" si="92"/>
        <v>0.19199999999999928</v>
      </c>
      <c r="AT184" s="4">
        <f t="shared" si="93"/>
        <v>-7.5549999999998896E-2</v>
      </c>
      <c r="AU184" s="4">
        <f t="shared" si="94"/>
        <v>-5.1999999999994273E-3</v>
      </c>
      <c r="AV184" s="4">
        <f t="shared" si="95"/>
        <v>9.5150000000001178E-2</v>
      </c>
    </row>
    <row r="185" spans="1:48" x14ac:dyDescent="0.25">
      <c r="A185" s="18">
        <v>185</v>
      </c>
      <c r="B185" s="19">
        <v>43552</v>
      </c>
      <c r="C185" s="20">
        <v>0.5433217592592593</v>
      </c>
      <c r="D185" s="18">
        <v>7.88</v>
      </c>
      <c r="E185" s="18">
        <v>7.69</v>
      </c>
      <c r="F185" s="18">
        <v>7.94</v>
      </c>
      <c r="G185" s="18">
        <v>7.75</v>
      </c>
      <c r="H185" s="18">
        <v>7.63</v>
      </c>
      <c r="I185" s="18">
        <v>7.88</v>
      </c>
      <c r="J185" s="18">
        <v>8</v>
      </c>
      <c r="K185" s="18">
        <v>7.94</v>
      </c>
      <c r="L185" s="18">
        <v>7.5</v>
      </c>
      <c r="N185" s="4">
        <v>7.86</v>
      </c>
      <c r="O185" s="4">
        <f>N185-'Sonde étalon'!$C$13</f>
        <v>8.0300000000000011</v>
      </c>
      <c r="R185" s="4">
        <f t="shared" si="96"/>
        <v>-0.15000000000000124</v>
      </c>
      <c r="S185" s="4">
        <f t="shared" si="97"/>
        <v>-0.34000000000000075</v>
      </c>
      <c r="T185" s="4">
        <f t="shared" si="98"/>
        <v>-9.0000000000000746E-2</v>
      </c>
      <c r="U185" s="4">
        <f t="shared" si="99"/>
        <v>-0.28000000000000114</v>
      </c>
      <c r="V185" s="4">
        <f t="shared" si="100"/>
        <v>-0.40000000000000124</v>
      </c>
      <c r="W185" s="4">
        <f t="shared" si="101"/>
        <v>-0.15000000000000124</v>
      </c>
      <c r="X185" s="4">
        <f t="shared" si="102"/>
        <v>-3.0000000000001137E-2</v>
      </c>
      <c r="Y185" s="4">
        <f t="shared" si="103"/>
        <v>-9.0000000000000746E-2</v>
      </c>
      <c r="Z185" s="4">
        <f t="shared" si="104"/>
        <v>-0.53000000000000114</v>
      </c>
      <c r="AC185" s="4">
        <f t="shared" si="78"/>
        <v>7.9890999999999996</v>
      </c>
      <c r="AD185" s="4">
        <f t="shared" si="79"/>
        <v>7.9270500000000004</v>
      </c>
      <c r="AE185" s="4">
        <f t="shared" si="80"/>
        <v>8.0298999999999996</v>
      </c>
      <c r="AF185" s="4">
        <f t="shared" si="81"/>
        <v>8.0936000000000003</v>
      </c>
      <c r="AG185" s="4">
        <f t="shared" si="82"/>
        <v>8.016</v>
      </c>
      <c r="AH185" s="4">
        <f t="shared" si="83"/>
        <v>8.2419999999999991</v>
      </c>
      <c r="AI185" s="4">
        <f t="shared" si="84"/>
        <v>7.9644500000000003</v>
      </c>
      <c r="AJ185" s="4">
        <f t="shared" si="85"/>
        <v>8.0348000000000006</v>
      </c>
      <c r="AK185" s="4">
        <f t="shared" si="86"/>
        <v>8.1351499999999994</v>
      </c>
      <c r="AN185" s="4">
        <f t="shared" si="87"/>
        <v>-4.0900000000001491E-2</v>
      </c>
      <c r="AO185" s="4">
        <f t="shared" si="88"/>
        <v>-0.10295000000000076</v>
      </c>
      <c r="AP185" s="4">
        <f t="shared" si="89"/>
        <v>-1.000000000015433E-4</v>
      </c>
      <c r="AQ185" s="4">
        <f t="shared" si="90"/>
        <v>6.3599999999999213E-2</v>
      </c>
      <c r="AR185" s="4">
        <f t="shared" si="91"/>
        <v>-1.4000000000001123E-2</v>
      </c>
      <c r="AS185" s="4">
        <f t="shared" si="92"/>
        <v>0.21199999999999797</v>
      </c>
      <c r="AT185" s="4">
        <f t="shared" si="93"/>
        <v>-6.5550000000000885E-2</v>
      </c>
      <c r="AU185" s="4">
        <f t="shared" si="94"/>
        <v>4.7999999999994714E-3</v>
      </c>
      <c r="AV185" s="4">
        <f t="shared" si="95"/>
        <v>0.1051499999999983</v>
      </c>
    </row>
    <row r="186" spans="1:48" x14ac:dyDescent="0.25">
      <c r="A186" s="18">
        <v>186</v>
      </c>
      <c r="B186" s="19">
        <v>43552</v>
      </c>
      <c r="C186" s="20">
        <v>0.54401620370370374</v>
      </c>
      <c r="D186" s="18">
        <v>7.94</v>
      </c>
      <c r="E186" s="18">
        <v>7.75</v>
      </c>
      <c r="F186" s="18">
        <v>8</v>
      </c>
      <c r="G186" s="18">
        <v>7.81</v>
      </c>
      <c r="H186" s="18">
        <v>7.69</v>
      </c>
      <c r="I186" s="18">
        <v>7.94</v>
      </c>
      <c r="J186" s="18">
        <v>8.06</v>
      </c>
      <c r="K186" s="18">
        <v>8</v>
      </c>
      <c r="L186" s="18">
        <v>7.56</v>
      </c>
      <c r="N186" s="4">
        <v>7.94</v>
      </c>
      <c r="O186" s="4">
        <f>N186-'Sonde étalon'!$C$13</f>
        <v>8.1100000000000012</v>
      </c>
      <c r="R186" s="4">
        <f t="shared" si="96"/>
        <v>-0.17000000000000082</v>
      </c>
      <c r="S186" s="4">
        <f t="shared" si="97"/>
        <v>-0.36000000000000121</v>
      </c>
      <c r="T186" s="4">
        <f t="shared" si="98"/>
        <v>-0.11000000000000121</v>
      </c>
      <c r="U186" s="4">
        <f t="shared" si="99"/>
        <v>-0.3000000000000016</v>
      </c>
      <c r="V186" s="4">
        <f t="shared" si="100"/>
        <v>-0.42000000000000082</v>
      </c>
      <c r="W186" s="4">
        <f t="shared" si="101"/>
        <v>-0.17000000000000082</v>
      </c>
      <c r="X186" s="4">
        <f t="shared" si="102"/>
        <v>-5.0000000000000711E-2</v>
      </c>
      <c r="Y186" s="4">
        <f t="shared" si="103"/>
        <v>-0.11000000000000121</v>
      </c>
      <c r="Z186" s="4">
        <f t="shared" si="104"/>
        <v>-0.5500000000000016</v>
      </c>
      <c r="AC186" s="4">
        <f t="shared" si="78"/>
        <v>8.049100000000001</v>
      </c>
      <c r="AD186" s="4">
        <f t="shared" si="79"/>
        <v>7.98705</v>
      </c>
      <c r="AE186" s="4">
        <f t="shared" si="80"/>
        <v>8.0899000000000001</v>
      </c>
      <c r="AF186" s="4">
        <f t="shared" si="81"/>
        <v>8.1535999999999991</v>
      </c>
      <c r="AG186" s="4">
        <f t="shared" si="82"/>
        <v>8.0760000000000005</v>
      </c>
      <c r="AH186" s="4">
        <f t="shared" si="83"/>
        <v>8.3019999999999996</v>
      </c>
      <c r="AI186" s="4">
        <f t="shared" si="84"/>
        <v>8.0244499999999999</v>
      </c>
      <c r="AJ186" s="4">
        <f t="shared" si="85"/>
        <v>8.0947999999999993</v>
      </c>
      <c r="AK186" s="4">
        <f t="shared" si="86"/>
        <v>8.1951499999999999</v>
      </c>
      <c r="AN186" s="4">
        <f t="shared" si="87"/>
        <v>-6.0900000000000176E-2</v>
      </c>
      <c r="AO186" s="4">
        <f t="shared" si="88"/>
        <v>-0.12295000000000122</v>
      </c>
      <c r="AP186" s="4">
        <f t="shared" si="89"/>
        <v>-2.0100000000001117E-2</v>
      </c>
      <c r="AQ186" s="4">
        <f t="shared" si="90"/>
        <v>4.3599999999997863E-2</v>
      </c>
      <c r="AR186" s="4">
        <f t="shared" si="91"/>
        <v>-3.4000000000000696E-2</v>
      </c>
      <c r="AS186" s="4">
        <f t="shared" si="92"/>
        <v>0.19199999999999839</v>
      </c>
      <c r="AT186" s="4">
        <f t="shared" si="93"/>
        <v>-8.5550000000001347E-2</v>
      </c>
      <c r="AU186" s="4">
        <f t="shared" si="94"/>
        <v>-1.5200000000001879E-2</v>
      </c>
      <c r="AV186" s="4">
        <f t="shared" si="95"/>
        <v>8.5149999999998727E-2</v>
      </c>
    </row>
    <row r="187" spans="1:48" x14ac:dyDescent="0.25">
      <c r="A187" s="18">
        <v>187</v>
      </c>
      <c r="B187" s="19">
        <v>43552</v>
      </c>
      <c r="C187" s="20">
        <v>0.54471064814814818</v>
      </c>
      <c r="D187" s="18">
        <v>8</v>
      </c>
      <c r="E187" s="18">
        <v>7.81</v>
      </c>
      <c r="F187" s="18">
        <v>8.06</v>
      </c>
      <c r="G187" s="18">
        <v>7.88</v>
      </c>
      <c r="H187" s="18">
        <v>7.75</v>
      </c>
      <c r="I187" s="18">
        <v>8</v>
      </c>
      <c r="J187" s="18">
        <v>8.06</v>
      </c>
      <c r="K187" s="18">
        <v>8.06</v>
      </c>
      <c r="L187" s="18">
        <v>7.63</v>
      </c>
      <c r="N187" s="4">
        <v>8</v>
      </c>
      <c r="O187" s="4">
        <f>N187-'Sonde étalon'!$C$13</f>
        <v>8.17</v>
      </c>
      <c r="R187" s="4">
        <f t="shared" si="96"/>
        <v>-0.16999999999999993</v>
      </c>
      <c r="S187" s="4">
        <f t="shared" si="97"/>
        <v>-0.36000000000000032</v>
      </c>
      <c r="T187" s="4">
        <f t="shared" si="98"/>
        <v>-0.10999999999999943</v>
      </c>
      <c r="U187" s="4">
        <f t="shared" si="99"/>
        <v>-0.29000000000000004</v>
      </c>
      <c r="V187" s="4">
        <f t="shared" si="100"/>
        <v>-0.41999999999999993</v>
      </c>
      <c r="W187" s="4">
        <f t="shared" si="101"/>
        <v>-0.16999999999999993</v>
      </c>
      <c r="X187" s="4">
        <f t="shared" si="102"/>
        <v>-0.10999999999999943</v>
      </c>
      <c r="Y187" s="4">
        <f t="shared" si="103"/>
        <v>-0.10999999999999943</v>
      </c>
      <c r="Z187" s="4">
        <f t="shared" si="104"/>
        <v>-0.54</v>
      </c>
      <c r="AC187" s="4">
        <f t="shared" si="78"/>
        <v>8.1090999999999998</v>
      </c>
      <c r="AD187" s="4">
        <f t="shared" si="79"/>
        <v>8.0470499999999987</v>
      </c>
      <c r="AE187" s="4">
        <f t="shared" si="80"/>
        <v>8.1499000000000006</v>
      </c>
      <c r="AF187" s="4">
        <f t="shared" si="81"/>
        <v>8.2235999999999994</v>
      </c>
      <c r="AG187" s="4">
        <f t="shared" si="82"/>
        <v>8.1359999999999992</v>
      </c>
      <c r="AH187" s="4">
        <f t="shared" si="83"/>
        <v>8.3620000000000001</v>
      </c>
      <c r="AI187" s="4">
        <f t="shared" si="84"/>
        <v>8.0244499999999999</v>
      </c>
      <c r="AJ187" s="4">
        <f t="shared" si="85"/>
        <v>8.1547999999999998</v>
      </c>
      <c r="AK187" s="4">
        <f t="shared" si="86"/>
        <v>8.2651500000000002</v>
      </c>
      <c r="AN187" s="4">
        <f t="shared" si="87"/>
        <v>-6.0900000000000176E-2</v>
      </c>
      <c r="AO187" s="4">
        <f t="shared" si="88"/>
        <v>-0.12295000000000122</v>
      </c>
      <c r="AP187" s="4">
        <f t="shared" si="89"/>
        <v>-2.0099999999999341E-2</v>
      </c>
      <c r="AQ187" s="4">
        <f t="shared" si="90"/>
        <v>5.3599999999999426E-2</v>
      </c>
      <c r="AR187" s="4">
        <f t="shared" si="91"/>
        <v>-3.4000000000000696E-2</v>
      </c>
      <c r="AS187" s="4">
        <f t="shared" si="92"/>
        <v>0.19200000000000017</v>
      </c>
      <c r="AT187" s="4">
        <f t="shared" si="93"/>
        <v>-0.14555000000000007</v>
      </c>
      <c r="AU187" s="4">
        <f t="shared" si="94"/>
        <v>-1.5200000000000102E-2</v>
      </c>
      <c r="AV187" s="4">
        <f t="shared" si="95"/>
        <v>9.515000000000029E-2</v>
      </c>
    </row>
    <row r="188" spans="1:48" x14ac:dyDescent="0.25">
      <c r="A188" s="18">
        <v>188</v>
      </c>
      <c r="B188" s="19">
        <v>43552</v>
      </c>
      <c r="C188" s="20">
        <v>0.54540509259259262</v>
      </c>
      <c r="D188" s="18">
        <v>8.06</v>
      </c>
      <c r="E188" s="18">
        <v>7.88</v>
      </c>
      <c r="F188" s="18">
        <v>8.1300000000000008</v>
      </c>
      <c r="G188" s="18">
        <v>7.94</v>
      </c>
      <c r="H188" s="18">
        <v>7.81</v>
      </c>
      <c r="I188" s="18">
        <v>8</v>
      </c>
      <c r="J188" s="18">
        <v>8.1300000000000008</v>
      </c>
      <c r="K188" s="18">
        <v>8.1300000000000008</v>
      </c>
      <c r="L188" s="18">
        <v>7.69</v>
      </c>
      <c r="N188" s="4">
        <v>8.0500000000000007</v>
      </c>
      <c r="O188" s="4">
        <f>N188-'Sonde étalon'!$C$13</f>
        <v>8.2200000000000006</v>
      </c>
      <c r="R188" s="4">
        <f t="shared" si="96"/>
        <v>-0.16000000000000014</v>
      </c>
      <c r="S188" s="4">
        <f t="shared" si="97"/>
        <v>-0.34000000000000075</v>
      </c>
      <c r="T188" s="4">
        <f t="shared" si="98"/>
        <v>-8.9999999999999858E-2</v>
      </c>
      <c r="U188" s="4">
        <f t="shared" si="99"/>
        <v>-0.28000000000000025</v>
      </c>
      <c r="V188" s="4">
        <f t="shared" si="100"/>
        <v>-0.41000000000000103</v>
      </c>
      <c r="W188" s="4">
        <f t="shared" si="101"/>
        <v>-0.22000000000000064</v>
      </c>
      <c r="X188" s="4">
        <f t="shared" si="102"/>
        <v>-8.9999999999999858E-2</v>
      </c>
      <c r="Y188" s="4">
        <f t="shared" si="103"/>
        <v>-8.9999999999999858E-2</v>
      </c>
      <c r="Z188" s="4">
        <f t="shared" si="104"/>
        <v>-0.53000000000000025</v>
      </c>
      <c r="AC188" s="4">
        <f t="shared" si="78"/>
        <v>8.1691000000000003</v>
      </c>
      <c r="AD188" s="4">
        <f t="shared" si="79"/>
        <v>8.117049999999999</v>
      </c>
      <c r="AE188" s="4">
        <f t="shared" si="80"/>
        <v>8.2199000000000009</v>
      </c>
      <c r="AF188" s="4">
        <f t="shared" si="81"/>
        <v>8.2835999999999999</v>
      </c>
      <c r="AG188" s="4">
        <f t="shared" si="82"/>
        <v>8.1959999999999997</v>
      </c>
      <c r="AH188" s="4">
        <f t="shared" si="83"/>
        <v>8.3620000000000001</v>
      </c>
      <c r="AI188" s="4">
        <f t="shared" si="84"/>
        <v>8.0944500000000001</v>
      </c>
      <c r="AJ188" s="4">
        <f t="shared" si="85"/>
        <v>8.2248000000000001</v>
      </c>
      <c r="AK188" s="4">
        <f t="shared" si="86"/>
        <v>8.3251500000000007</v>
      </c>
      <c r="AN188" s="4">
        <f t="shared" si="87"/>
        <v>-5.0900000000000389E-2</v>
      </c>
      <c r="AO188" s="4">
        <f t="shared" si="88"/>
        <v>-0.10295000000000165</v>
      </c>
      <c r="AP188" s="4">
        <f t="shared" si="89"/>
        <v>-9.9999999999766942E-5</v>
      </c>
      <c r="AQ188" s="4">
        <f t="shared" si="90"/>
        <v>6.3599999999999213E-2</v>
      </c>
      <c r="AR188" s="4">
        <f t="shared" si="91"/>
        <v>-2.4000000000000909E-2</v>
      </c>
      <c r="AS188" s="4">
        <f t="shared" si="92"/>
        <v>0.14199999999999946</v>
      </c>
      <c r="AT188" s="4">
        <f t="shared" si="93"/>
        <v>-0.12555000000000049</v>
      </c>
      <c r="AU188" s="4">
        <f t="shared" si="94"/>
        <v>4.7999999999994714E-3</v>
      </c>
      <c r="AV188" s="4">
        <f t="shared" si="95"/>
        <v>0.10515000000000008</v>
      </c>
    </row>
    <row r="189" spans="1:48" x14ac:dyDescent="0.25">
      <c r="A189" s="18">
        <v>189</v>
      </c>
      <c r="B189" s="19">
        <v>43552</v>
      </c>
      <c r="C189" s="20">
        <v>0.54609953703703706</v>
      </c>
      <c r="D189" s="18">
        <v>8.06</v>
      </c>
      <c r="E189" s="18">
        <v>7.94</v>
      </c>
      <c r="F189" s="18">
        <v>8.1300000000000008</v>
      </c>
      <c r="G189" s="18">
        <v>8</v>
      </c>
      <c r="H189" s="18">
        <v>7.81</v>
      </c>
      <c r="I189" s="18">
        <v>8.06</v>
      </c>
      <c r="J189" s="18">
        <v>8.19</v>
      </c>
      <c r="K189" s="18">
        <v>8.19</v>
      </c>
      <c r="L189" s="18">
        <v>7.75</v>
      </c>
      <c r="N189" s="4">
        <v>8.1</v>
      </c>
      <c r="O189" s="4">
        <f>N189-'Sonde étalon'!$C$13</f>
        <v>8.27</v>
      </c>
      <c r="R189" s="4">
        <f t="shared" si="96"/>
        <v>-0.20999999999999908</v>
      </c>
      <c r="S189" s="4">
        <f t="shared" si="97"/>
        <v>-0.32999999999999918</v>
      </c>
      <c r="T189" s="4">
        <f t="shared" si="98"/>
        <v>-0.13999999999999879</v>
      </c>
      <c r="U189" s="4">
        <f t="shared" si="99"/>
        <v>-0.26999999999999957</v>
      </c>
      <c r="V189" s="4">
        <f t="shared" si="100"/>
        <v>-0.45999999999999996</v>
      </c>
      <c r="W189" s="4">
        <f t="shared" si="101"/>
        <v>-0.20999999999999908</v>
      </c>
      <c r="X189" s="4">
        <f t="shared" si="102"/>
        <v>-8.0000000000000071E-2</v>
      </c>
      <c r="Y189" s="4">
        <f t="shared" si="103"/>
        <v>-8.0000000000000071E-2</v>
      </c>
      <c r="Z189" s="4">
        <f t="shared" si="104"/>
        <v>-0.51999999999999957</v>
      </c>
      <c r="AC189" s="4">
        <f t="shared" si="78"/>
        <v>8.1691000000000003</v>
      </c>
      <c r="AD189" s="4">
        <f t="shared" si="79"/>
        <v>8.1770499999999995</v>
      </c>
      <c r="AE189" s="4">
        <f t="shared" si="80"/>
        <v>8.2199000000000009</v>
      </c>
      <c r="AF189" s="4">
        <f t="shared" si="81"/>
        <v>8.3436000000000003</v>
      </c>
      <c r="AG189" s="4">
        <f t="shared" si="82"/>
        <v>8.1959999999999997</v>
      </c>
      <c r="AH189" s="4">
        <f t="shared" si="83"/>
        <v>8.4220000000000006</v>
      </c>
      <c r="AI189" s="4">
        <f t="shared" si="84"/>
        <v>8.1544499999999989</v>
      </c>
      <c r="AJ189" s="4">
        <f t="shared" si="85"/>
        <v>8.2847999999999988</v>
      </c>
      <c r="AK189" s="4">
        <f t="shared" si="86"/>
        <v>8.3851499999999994</v>
      </c>
      <c r="AN189" s="4">
        <f t="shared" si="87"/>
        <v>-0.10089999999999932</v>
      </c>
      <c r="AO189" s="4">
        <f t="shared" si="88"/>
        <v>-9.2950000000000088E-2</v>
      </c>
      <c r="AP189" s="4">
        <f t="shared" si="89"/>
        <v>-5.0099999999998701E-2</v>
      </c>
      <c r="AQ189" s="4">
        <f t="shared" si="90"/>
        <v>7.3600000000000776E-2</v>
      </c>
      <c r="AR189" s="4">
        <f t="shared" si="91"/>
        <v>-7.3999999999999844E-2</v>
      </c>
      <c r="AS189" s="4">
        <f t="shared" si="92"/>
        <v>0.15200000000000102</v>
      </c>
      <c r="AT189" s="4">
        <f t="shared" si="93"/>
        <v>-0.11555000000000071</v>
      </c>
      <c r="AU189" s="4">
        <f t="shared" si="94"/>
        <v>1.4799999999999258E-2</v>
      </c>
      <c r="AV189" s="4">
        <f t="shared" si="95"/>
        <v>0.11514999999999986</v>
      </c>
    </row>
    <row r="190" spans="1:48" x14ac:dyDescent="0.25">
      <c r="A190" s="18">
        <v>190</v>
      </c>
      <c r="B190" s="19">
        <v>43552</v>
      </c>
      <c r="C190" s="20">
        <v>0.54679398148148151</v>
      </c>
      <c r="D190" s="18">
        <v>8.19</v>
      </c>
      <c r="E190" s="18">
        <v>8</v>
      </c>
      <c r="F190" s="18">
        <v>8.19</v>
      </c>
      <c r="G190" s="18">
        <v>8.06</v>
      </c>
      <c r="H190" s="18">
        <v>7.88</v>
      </c>
      <c r="I190" s="18">
        <v>8.1300000000000008</v>
      </c>
      <c r="J190" s="18">
        <v>8.25</v>
      </c>
      <c r="K190" s="18">
        <v>8.19</v>
      </c>
      <c r="L190" s="18">
        <v>7.81</v>
      </c>
      <c r="N190" s="4">
        <v>8.15</v>
      </c>
      <c r="O190" s="4">
        <f>N190-'Sonde étalon'!$C$13</f>
        <v>8.32</v>
      </c>
      <c r="R190" s="4">
        <f t="shared" si="96"/>
        <v>-0.13000000000000078</v>
      </c>
      <c r="S190" s="4">
        <f t="shared" si="97"/>
        <v>-0.32000000000000028</v>
      </c>
      <c r="T190" s="4">
        <f t="shared" si="98"/>
        <v>-0.13000000000000078</v>
      </c>
      <c r="U190" s="4">
        <f t="shared" si="99"/>
        <v>-0.25999999999999979</v>
      </c>
      <c r="V190" s="4">
        <f t="shared" si="100"/>
        <v>-0.44000000000000039</v>
      </c>
      <c r="W190" s="4">
        <f t="shared" si="101"/>
        <v>-0.1899999999999995</v>
      </c>
      <c r="X190" s="4">
        <f t="shared" si="102"/>
        <v>-7.0000000000000284E-2</v>
      </c>
      <c r="Y190" s="4">
        <f t="shared" si="103"/>
        <v>-0.13000000000000078</v>
      </c>
      <c r="Z190" s="4">
        <f t="shared" si="104"/>
        <v>-0.51000000000000068</v>
      </c>
      <c r="AC190" s="4">
        <f t="shared" si="78"/>
        <v>8.2990999999999993</v>
      </c>
      <c r="AD190" s="4">
        <f t="shared" si="79"/>
        <v>8.23705</v>
      </c>
      <c r="AE190" s="4">
        <f t="shared" si="80"/>
        <v>8.2798999999999996</v>
      </c>
      <c r="AF190" s="4">
        <f t="shared" si="81"/>
        <v>8.4036000000000008</v>
      </c>
      <c r="AG190" s="4">
        <f t="shared" si="82"/>
        <v>8.266</v>
      </c>
      <c r="AH190" s="4">
        <f t="shared" si="83"/>
        <v>8.4920000000000009</v>
      </c>
      <c r="AI190" s="4">
        <f t="shared" si="84"/>
        <v>8.2144499999999994</v>
      </c>
      <c r="AJ190" s="4">
        <f t="shared" si="85"/>
        <v>8.2847999999999988</v>
      </c>
      <c r="AK190" s="4">
        <f t="shared" si="86"/>
        <v>8.4451499999999999</v>
      </c>
      <c r="AN190" s="4">
        <f t="shared" si="87"/>
        <v>-2.0900000000001029E-2</v>
      </c>
      <c r="AO190" s="4">
        <f t="shared" si="88"/>
        <v>-8.2950000000000301E-2</v>
      </c>
      <c r="AP190" s="4">
        <f t="shared" si="89"/>
        <v>-4.0100000000000691E-2</v>
      </c>
      <c r="AQ190" s="4">
        <f t="shared" si="90"/>
        <v>8.3600000000000563E-2</v>
      </c>
      <c r="AR190" s="4">
        <f t="shared" si="91"/>
        <v>-5.400000000000027E-2</v>
      </c>
      <c r="AS190" s="4">
        <f t="shared" si="92"/>
        <v>0.1720000000000006</v>
      </c>
      <c r="AT190" s="4">
        <f t="shared" si="93"/>
        <v>-0.10555000000000092</v>
      </c>
      <c r="AU190" s="4">
        <f t="shared" si="94"/>
        <v>-3.5200000000001452E-2</v>
      </c>
      <c r="AV190" s="4">
        <f t="shared" si="95"/>
        <v>0.12514999999999965</v>
      </c>
    </row>
    <row r="191" spans="1:48" x14ac:dyDescent="0.25">
      <c r="A191" s="18">
        <v>191</v>
      </c>
      <c r="B191" s="19">
        <v>43552</v>
      </c>
      <c r="C191" s="20">
        <v>0.54748842592592595</v>
      </c>
      <c r="D191" s="18">
        <v>8.19</v>
      </c>
      <c r="E191" s="18">
        <v>8.06</v>
      </c>
      <c r="F191" s="18">
        <v>8.25</v>
      </c>
      <c r="G191" s="18">
        <v>8.06</v>
      </c>
      <c r="H191" s="18">
        <v>7.94</v>
      </c>
      <c r="I191" s="18">
        <v>8.19</v>
      </c>
      <c r="J191" s="18">
        <v>8.31</v>
      </c>
      <c r="K191" s="18">
        <v>8.25</v>
      </c>
      <c r="L191" s="18">
        <v>7.81</v>
      </c>
      <c r="N191" s="4">
        <v>8.1999999999999993</v>
      </c>
      <c r="O191" s="4">
        <f>N191-'Sonde étalon'!$C$13</f>
        <v>8.3699999999999992</v>
      </c>
      <c r="R191" s="4">
        <f t="shared" si="96"/>
        <v>-0.17999999999999972</v>
      </c>
      <c r="S191" s="4">
        <f t="shared" si="97"/>
        <v>-0.30999999999999872</v>
      </c>
      <c r="T191" s="4">
        <f t="shared" si="98"/>
        <v>-0.11999999999999922</v>
      </c>
      <c r="U191" s="4">
        <f t="shared" si="99"/>
        <v>-0.30999999999999872</v>
      </c>
      <c r="V191" s="4">
        <f t="shared" si="100"/>
        <v>-0.42999999999999883</v>
      </c>
      <c r="W191" s="4">
        <f t="shared" si="101"/>
        <v>-0.17999999999999972</v>
      </c>
      <c r="X191" s="4">
        <f t="shared" si="102"/>
        <v>-5.9999999999998721E-2</v>
      </c>
      <c r="Y191" s="4">
        <f t="shared" si="103"/>
        <v>-0.11999999999999922</v>
      </c>
      <c r="Z191" s="4">
        <f t="shared" si="104"/>
        <v>-0.55999999999999961</v>
      </c>
      <c r="AC191" s="4">
        <f t="shared" si="78"/>
        <v>8.2990999999999993</v>
      </c>
      <c r="AD191" s="4">
        <f t="shared" si="79"/>
        <v>8.2970500000000005</v>
      </c>
      <c r="AE191" s="4">
        <f t="shared" si="80"/>
        <v>8.3399000000000001</v>
      </c>
      <c r="AF191" s="4">
        <f t="shared" si="81"/>
        <v>8.4036000000000008</v>
      </c>
      <c r="AG191" s="4">
        <f t="shared" si="82"/>
        <v>8.3260000000000005</v>
      </c>
      <c r="AH191" s="4">
        <f t="shared" si="83"/>
        <v>8.5519999999999996</v>
      </c>
      <c r="AI191" s="4">
        <f t="shared" si="84"/>
        <v>8.2744499999999999</v>
      </c>
      <c r="AJ191" s="4">
        <f t="shared" si="85"/>
        <v>8.3447999999999993</v>
      </c>
      <c r="AK191" s="4">
        <f t="shared" si="86"/>
        <v>8.4451499999999999</v>
      </c>
      <c r="AN191" s="4">
        <f t="shared" si="87"/>
        <v>-7.0899999999999963E-2</v>
      </c>
      <c r="AO191" s="4">
        <f t="shared" si="88"/>
        <v>-7.2949999999998738E-2</v>
      </c>
      <c r="AP191" s="4">
        <f t="shared" si="89"/>
        <v>-3.0099999999999127E-2</v>
      </c>
      <c r="AQ191" s="4">
        <f t="shared" si="90"/>
        <v>3.3600000000001629E-2</v>
      </c>
      <c r="AR191" s="4">
        <f t="shared" si="91"/>
        <v>-4.3999999999998707E-2</v>
      </c>
      <c r="AS191" s="4">
        <f t="shared" si="92"/>
        <v>0.18200000000000038</v>
      </c>
      <c r="AT191" s="4">
        <f t="shared" si="93"/>
        <v>-9.5549999999999358E-2</v>
      </c>
      <c r="AU191" s="4">
        <f t="shared" si="94"/>
        <v>-2.5199999999999889E-2</v>
      </c>
      <c r="AV191" s="4">
        <f t="shared" si="95"/>
        <v>7.5150000000000716E-2</v>
      </c>
    </row>
    <row r="192" spans="1:48" x14ac:dyDescent="0.25">
      <c r="A192" s="18">
        <v>192</v>
      </c>
      <c r="B192" s="19">
        <v>43552</v>
      </c>
      <c r="C192" s="20">
        <v>0.54818287037037039</v>
      </c>
      <c r="D192" s="18">
        <v>8.25</v>
      </c>
      <c r="E192" s="18">
        <v>8.06</v>
      </c>
      <c r="F192" s="18">
        <v>8.31</v>
      </c>
      <c r="G192" s="18">
        <v>8.1300000000000008</v>
      </c>
      <c r="H192" s="18">
        <v>8</v>
      </c>
      <c r="I192" s="18">
        <v>8.19</v>
      </c>
      <c r="J192" s="18">
        <v>8.31</v>
      </c>
      <c r="K192" s="18">
        <v>8.31</v>
      </c>
      <c r="L192" s="18">
        <v>7.88</v>
      </c>
      <c r="N192" s="4">
        <v>8.25</v>
      </c>
      <c r="O192" s="4">
        <f>N192-'Sonde étalon'!$C$13</f>
        <v>8.42</v>
      </c>
      <c r="R192" s="4">
        <f t="shared" si="96"/>
        <v>-0.16999999999999993</v>
      </c>
      <c r="S192" s="4">
        <f t="shared" si="97"/>
        <v>-0.35999999999999943</v>
      </c>
      <c r="T192" s="4">
        <f t="shared" si="98"/>
        <v>-0.10999999999999943</v>
      </c>
      <c r="U192" s="4">
        <f t="shared" si="99"/>
        <v>-0.28999999999999915</v>
      </c>
      <c r="V192" s="4">
        <f t="shared" si="100"/>
        <v>-0.41999999999999993</v>
      </c>
      <c r="W192" s="4">
        <f t="shared" si="101"/>
        <v>-0.23000000000000043</v>
      </c>
      <c r="X192" s="4">
        <f t="shared" si="102"/>
        <v>-0.10999999999999943</v>
      </c>
      <c r="Y192" s="4">
        <f t="shared" si="103"/>
        <v>-0.10999999999999943</v>
      </c>
      <c r="Z192" s="4">
        <f t="shared" si="104"/>
        <v>-0.54</v>
      </c>
      <c r="AC192" s="4">
        <f t="shared" si="78"/>
        <v>8.3590999999999998</v>
      </c>
      <c r="AD192" s="4">
        <f t="shared" si="79"/>
        <v>8.2970500000000005</v>
      </c>
      <c r="AE192" s="4">
        <f t="shared" si="80"/>
        <v>8.3999000000000006</v>
      </c>
      <c r="AF192" s="4">
        <f t="shared" si="81"/>
        <v>8.4736000000000011</v>
      </c>
      <c r="AG192" s="4">
        <f t="shared" si="82"/>
        <v>8.3859999999999992</v>
      </c>
      <c r="AH192" s="4">
        <f t="shared" si="83"/>
        <v>8.5519999999999996</v>
      </c>
      <c r="AI192" s="4">
        <f t="shared" si="84"/>
        <v>8.2744499999999999</v>
      </c>
      <c r="AJ192" s="4">
        <f t="shared" si="85"/>
        <v>8.4047999999999998</v>
      </c>
      <c r="AK192" s="4">
        <f t="shared" si="86"/>
        <v>8.5151500000000002</v>
      </c>
      <c r="AN192" s="4">
        <f t="shared" si="87"/>
        <v>-6.0900000000000176E-2</v>
      </c>
      <c r="AO192" s="4">
        <f t="shared" si="88"/>
        <v>-0.12294999999999945</v>
      </c>
      <c r="AP192" s="4">
        <f t="shared" si="89"/>
        <v>-2.0099999999999341E-2</v>
      </c>
      <c r="AQ192" s="4">
        <f t="shared" si="90"/>
        <v>5.3600000000001202E-2</v>
      </c>
      <c r="AR192" s="4">
        <f t="shared" si="91"/>
        <v>-3.4000000000000696E-2</v>
      </c>
      <c r="AS192" s="4">
        <f t="shared" si="92"/>
        <v>0.13199999999999967</v>
      </c>
      <c r="AT192" s="4">
        <f t="shared" si="93"/>
        <v>-0.14555000000000007</v>
      </c>
      <c r="AU192" s="4">
        <f t="shared" si="94"/>
        <v>-1.5200000000000102E-2</v>
      </c>
      <c r="AV192" s="4">
        <f t="shared" si="95"/>
        <v>9.515000000000029E-2</v>
      </c>
    </row>
    <row r="193" spans="1:48" x14ac:dyDescent="0.25">
      <c r="A193" s="18">
        <v>193</v>
      </c>
      <c r="B193" s="19">
        <v>43552</v>
      </c>
      <c r="C193" s="20">
        <v>0.54887731481481483</v>
      </c>
      <c r="D193" s="18">
        <v>8.31</v>
      </c>
      <c r="E193" s="18">
        <v>8.1300000000000008</v>
      </c>
      <c r="F193" s="18">
        <v>8.31</v>
      </c>
      <c r="G193" s="18">
        <v>8.19</v>
      </c>
      <c r="H193" s="18">
        <v>8.06</v>
      </c>
      <c r="I193" s="18">
        <v>8.31</v>
      </c>
      <c r="J193" s="18">
        <v>8.3800000000000008</v>
      </c>
      <c r="K193" s="18">
        <v>8.3800000000000008</v>
      </c>
      <c r="L193" s="18">
        <v>7.94</v>
      </c>
      <c r="N193" s="4">
        <v>8.2899999999999991</v>
      </c>
      <c r="O193" s="4">
        <f>N193-'Sonde étalon'!$C$13</f>
        <v>8.4599999999999991</v>
      </c>
      <c r="R193" s="4">
        <f t="shared" si="96"/>
        <v>-0.14999999999999858</v>
      </c>
      <c r="S193" s="4">
        <f t="shared" si="97"/>
        <v>-0.32999999999999829</v>
      </c>
      <c r="T193" s="4">
        <f t="shared" si="98"/>
        <v>-0.14999999999999858</v>
      </c>
      <c r="U193" s="4">
        <f t="shared" si="99"/>
        <v>-0.26999999999999957</v>
      </c>
      <c r="V193" s="4">
        <f t="shared" si="100"/>
        <v>-0.39999999999999858</v>
      </c>
      <c r="W193" s="4">
        <f t="shared" si="101"/>
        <v>-0.14999999999999858</v>
      </c>
      <c r="X193" s="4">
        <f t="shared" si="102"/>
        <v>-7.9999999999998295E-2</v>
      </c>
      <c r="Y193" s="4">
        <f t="shared" si="103"/>
        <v>-7.9999999999998295E-2</v>
      </c>
      <c r="Z193" s="4">
        <f t="shared" si="104"/>
        <v>-0.51999999999999869</v>
      </c>
      <c r="AC193" s="4">
        <f t="shared" si="78"/>
        <v>8.4191000000000003</v>
      </c>
      <c r="AD193" s="4">
        <f t="shared" si="79"/>
        <v>8.3670500000000008</v>
      </c>
      <c r="AE193" s="4">
        <f t="shared" si="80"/>
        <v>8.3999000000000006</v>
      </c>
      <c r="AF193" s="4">
        <f t="shared" si="81"/>
        <v>8.5335999999999999</v>
      </c>
      <c r="AG193" s="4">
        <f t="shared" si="82"/>
        <v>8.4459999999999997</v>
      </c>
      <c r="AH193" s="4">
        <f t="shared" si="83"/>
        <v>8.6720000000000006</v>
      </c>
      <c r="AI193" s="4">
        <f t="shared" si="84"/>
        <v>8.3444500000000001</v>
      </c>
      <c r="AJ193" s="4">
        <f t="shared" si="85"/>
        <v>8.4748000000000001</v>
      </c>
      <c r="AK193" s="4">
        <f t="shared" si="86"/>
        <v>8.5751500000000007</v>
      </c>
      <c r="AN193" s="4">
        <f t="shared" si="87"/>
        <v>-4.0899999999998826E-2</v>
      </c>
      <c r="AO193" s="4">
        <f t="shared" si="88"/>
        <v>-9.2949999999998312E-2</v>
      </c>
      <c r="AP193" s="4">
        <f t="shared" si="89"/>
        <v>-6.0099999999998488E-2</v>
      </c>
      <c r="AQ193" s="4">
        <f t="shared" si="90"/>
        <v>7.3600000000000776E-2</v>
      </c>
      <c r="AR193" s="4">
        <f t="shared" si="91"/>
        <v>-1.3999999999999346E-2</v>
      </c>
      <c r="AS193" s="4">
        <f t="shared" si="92"/>
        <v>0.21200000000000152</v>
      </c>
      <c r="AT193" s="4">
        <f t="shared" si="93"/>
        <v>-0.11554999999999893</v>
      </c>
      <c r="AU193" s="4">
        <f t="shared" si="94"/>
        <v>1.4800000000001035E-2</v>
      </c>
      <c r="AV193" s="4">
        <f t="shared" si="95"/>
        <v>0.11515000000000164</v>
      </c>
    </row>
    <row r="194" spans="1:48" x14ac:dyDescent="0.25">
      <c r="A194" s="18">
        <v>194</v>
      </c>
      <c r="B194" s="19">
        <v>43552</v>
      </c>
      <c r="C194" s="20">
        <v>0.54957175925925927</v>
      </c>
      <c r="D194" s="18">
        <v>8.3800000000000008</v>
      </c>
      <c r="E194" s="18">
        <v>8.19</v>
      </c>
      <c r="F194" s="18">
        <v>8.44</v>
      </c>
      <c r="G194" s="18">
        <v>8.25</v>
      </c>
      <c r="H194" s="18">
        <v>8.06</v>
      </c>
      <c r="I194" s="18">
        <v>8.31</v>
      </c>
      <c r="J194" s="18">
        <v>8.44</v>
      </c>
      <c r="K194" s="18">
        <v>8.44</v>
      </c>
      <c r="L194" s="18">
        <v>8</v>
      </c>
      <c r="N194" s="4">
        <v>8.35</v>
      </c>
      <c r="O194" s="4">
        <f>N194-'Sonde étalon'!$C$13</f>
        <v>8.52</v>
      </c>
      <c r="R194" s="4">
        <f t="shared" si="96"/>
        <v>-0.13999999999999879</v>
      </c>
      <c r="S194" s="4">
        <f t="shared" si="97"/>
        <v>-0.33000000000000007</v>
      </c>
      <c r="T194" s="4">
        <f t="shared" si="98"/>
        <v>-8.0000000000000071E-2</v>
      </c>
      <c r="U194" s="4">
        <f t="shared" si="99"/>
        <v>-0.26999999999999957</v>
      </c>
      <c r="V194" s="4">
        <f t="shared" si="100"/>
        <v>-0.45999999999999908</v>
      </c>
      <c r="W194" s="4">
        <f t="shared" si="101"/>
        <v>-0.20999999999999908</v>
      </c>
      <c r="X194" s="4">
        <f t="shared" si="102"/>
        <v>-8.0000000000000071E-2</v>
      </c>
      <c r="Y194" s="4">
        <f t="shared" si="103"/>
        <v>-8.0000000000000071E-2</v>
      </c>
      <c r="Z194" s="4">
        <f t="shared" si="104"/>
        <v>-0.51999999999999957</v>
      </c>
      <c r="AC194" s="4">
        <f t="shared" si="78"/>
        <v>8.4891000000000005</v>
      </c>
      <c r="AD194" s="4">
        <f t="shared" si="79"/>
        <v>8.4270499999999995</v>
      </c>
      <c r="AE194" s="4">
        <f t="shared" si="80"/>
        <v>8.5298999999999996</v>
      </c>
      <c r="AF194" s="4">
        <f t="shared" si="81"/>
        <v>8.5936000000000003</v>
      </c>
      <c r="AG194" s="4">
        <f t="shared" si="82"/>
        <v>8.4459999999999997</v>
      </c>
      <c r="AH194" s="4">
        <f t="shared" si="83"/>
        <v>8.6720000000000006</v>
      </c>
      <c r="AI194" s="4">
        <f t="shared" si="84"/>
        <v>8.4044499999999989</v>
      </c>
      <c r="AJ194" s="4">
        <f t="shared" si="85"/>
        <v>8.5347999999999988</v>
      </c>
      <c r="AK194" s="4">
        <f t="shared" si="86"/>
        <v>8.6351499999999994</v>
      </c>
      <c r="AN194" s="4">
        <f t="shared" si="87"/>
        <v>-3.0899999999999039E-2</v>
      </c>
      <c r="AO194" s="4">
        <f t="shared" si="88"/>
        <v>-9.2950000000000088E-2</v>
      </c>
      <c r="AP194" s="4">
        <f t="shared" si="89"/>
        <v>9.9000000000000199E-3</v>
      </c>
      <c r="AQ194" s="4">
        <f t="shared" si="90"/>
        <v>7.3600000000000776E-2</v>
      </c>
      <c r="AR194" s="4">
        <f t="shared" si="91"/>
        <v>-7.3999999999999844E-2</v>
      </c>
      <c r="AS194" s="4">
        <f t="shared" si="92"/>
        <v>0.15200000000000102</v>
      </c>
      <c r="AT194" s="4">
        <f t="shared" si="93"/>
        <v>-0.11555000000000071</v>
      </c>
      <c r="AU194" s="4">
        <f t="shared" si="94"/>
        <v>1.4799999999999258E-2</v>
      </c>
      <c r="AV194" s="4">
        <f t="shared" si="95"/>
        <v>0.11514999999999986</v>
      </c>
    </row>
    <row r="195" spans="1:48" x14ac:dyDescent="0.25">
      <c r="A195" s="18">
        <v>195</v>
      </c>
      <c r="B195" s="19">
        <v>43552</v>
      </c>
      <c r="C195" s="20">
        <v>0.55026620370370372</v>
      </c>
      <c r="D195" s="18">
        <v>8.44</v>
      </c>
      <c r="E195" s="18">
        <v>8.25</v>
      </c>
      <c r="F195" s="18">
        <v>8.44</v>
      </c>
      <c r="G195" s="18">
        <v>8.31</v>
      </c>
      <c r="H195" s="18">
        <v>8.1300000000000008</v>
      </c>
      <c r="I195" s="18">
        <v>8.3800000000000008</v>
      </c>
      <c r="J195" s="18">
        <v>8.5</v>
      </c>
      <c r="K195" s="18">
        <v>8.5</v>
      </c>
      <c r="L195" s="18">
        <v>8.06</v>
      </c>
      <c r="N195" s="4">
        <v>8.4</v>
      </c>
      <c r="O195" s="4">
        <f>N195-'Sonde étalon'!$C$13</f>
        <v>8.57</v>
      </c>
      <c r="R195" s="4">
        <f t="shared" si="96"/>
        <v>-0.13000000000000078</v>
      </c>
      <c r="S195" s="4">
        <f t="shared" si="97"/>
        <v>-0.32000000000000028</v>
      </c>
      <c r="T195" s="4">
        <f t="shared" si="98"/>
        <v>-0.13000000000000078</v>
      </c>
      <c r="U195" s="4">
        <f t="shared" si="99"/>
        <v>-0.25999999999999979</v>
      </c>
      <c r="V195" s="4">
        <f t="shared" si="100"/>
        <v>-0.4399999999999995</v>
      </c>
      <c r="W195" s="4">
        <f t="shared" si="101"/>
        <v>-0.1899999999999995</v>
      </c>
      <c r="X195" s="4">
        <f t="shared" si="102"/>
        <v>-7.0000000000000284E-2</v>
      </c>
      <c r="Y195" s="4">
        <f t="shared" si="103"/>
        <v>-7.0000000000000284E-2</v>
      </c>
      <c r="Z195" s="4">
        <f t="shared" si="104"/>
        <v>-0.50999999999999979</v>
      </c>
      <c r="AC195" s="4">
        <f t="shared" si="78"/>
        <v>8.5490999999999993</v>
      </c>
      <c r="AD195" s="4">
        <f t="shared" si="79"/>
        <v>8.48705</v>
      </c>
      <c r="AE195" s="4">
        <f t="shared" si="80"/>
        <v>8.5298999999999996</v>
      </c>
      <c r="AF195" s="4">
        <f t="shared" si="81"/>
        <v>8.6536000000000008</v>
      </c>
      <c r="AG195" s="4">
        <f t="shared" si="82"/>
        <v>8.516</v>
      </c>
      <c r="AH195" s="4">
        <f t="shared" si="83"/>
        <v>8.7420000000000009</v>
      </c>
      <c r="AI195" s="4">
        <f t="shared" si="84"/>
        <v>8.4644499999999994</v>
      </c>
      <c r="AJ195" s="4">
        <f t="shared" si="85"/>
        <v>8.5947999999999993</v>
      </c>
      <c r="AK195" s="4">
        <f t="shared" si="86"/>
        <v>8.6951499999999999</v>
      </c>
      <c r="AN195" s="4">
        <f t="shared" si="87"/>
        <v>-2.0900000000001029E-2</v>
      </c>
      <c r="AO195" s="4">
        <f t="shared" si="88"/>
        <v>-8.2950000000000301E-2</v>
      </c>
      <c r="AP195" s="4">
        <f t="shared" si="89"/>
        <v>-4.0100000000000691E-2</v>
      </c>
      <c r="AQ195" s="4">
        <f t="shared" si="90"/>
        <v>8.3600000000000563E-2</v>
      </c>
      <c r="AR195" s="4">
        <f t="shared" si="91"/>
        <v>-5.400000000000027E-2</v>
      </c>
      <c r="AS195" s="4">
        <f t="shared" si="92"/>
        <v>0.1720000000000006</v>
      </c>
      <c r="AT195" s="4">
        <f t="shared" si="93"/>
        <v>-0.10555000000000092</v>
      </c>
      <c r="AU195" s="4">
        <f t="shared" si="94"/>
        <v>2.4799999999999045E-2</v>
      </c>
      <c r="AV195" s="4">
        <f t="shared" si="95"/>
        <v>0.12514999999999965</v>
      </c>
    </row>
    <row r="196" spans="1:48" x14ac:dyDescent="0.25">
      <c r="A196" s="18">
        <v>196</v>
      </c>
      <c r="B196" s="19">
        <v>43552</v>
      </c>
      <c r="C196" s="20">
        <v>0.55096064814814816</v>
      </c>
      <c r="D196" s="18">
        <v>8.44</v>
      </c>
      <c r="E196" s="18">
        <v>8.25</v>
      </c>
      <c r="F196" s="18">
        <v>8.5</v>
      </c>
      <c r="G196" s="18">
        <v>8.3800000000000008</v>
      </c>
      <c r="H196" s="18">
        <v>8.19</v>
      </c>
      <c r="I196" s="18">
        <v>8.44</v>
      </c>
      <c r="J196" s="18">
        <v>8.56</v>
      </c>
      <c r="K196" s="18">
        <v>8.5</v>
      </c>
      <c r="L196" s="18">
        <v>8.06</v>
      </c>
      <c r="N196" s="4">
        <v>8.4499999999999993</v>
      </c>
      <c r="O196" s="4">
        <f>N196-'Sonde étalon'!$C$13</f>
        <v>8.6199999999999992</v>
      </c>
      <c r="R196" s="4">
        <f t="shared" si="96"/>
        <v>-0.17999999999999972</v>
      </c>
      <c r="S196" s="4">
        <f t="shared" si="97"/>
        <v>-0.36999999999999922</v>
      </c>
      <c r="T196" s="4">
        <f t="shared" si="98"/>
        <v>-0.11999999999999922</v>
      </c>
      <c r="U196" s="4">
        <f t="shared" si="99"/>
        <v>-0.23999999999999844</v>
      </c>
      <c r="V196" s="4">
        <f t="shared" si="100"/>
        <v>-0.42999999999999972</v>
      </c>
      <c r="W196" s="4">
        <f t="shared" si="101"/>
        <v>-0.17999999999999972</v>
      </c>
      <c r="X196" s="4">
        <f t="shared" si="102"/>
        <v>-5.9999999999998721E-2</v>
      </c>
      <c r="Y196" s="4">
        <f t="shared" si="103"/>
        <v>-0.11999999999999922</v>
      </c>
      <c r="Z196" s="4">
        <f t="shared" si="104"/>
        <v>-0.55999999999999872</v>
      </c>
      <c r="AC196" s="4">
        <f t="shared" si="78"/>
        <v>8.5490999999999993</v>
      </c>
      <c r="AD196" s="4">
        <f t="shared" si="79"/>
        <v>8.48705</v>
      </c>
      <c r="AE196" s="4">
        <f t="shared" si="80"/>
        <v>8.5899000000000001</v>
      </c>
      <c r="AF196" s="4">
        <f t="shared" si="81"/>
        <v>8.7236000000000011</v>
      </c>
      <c r="AG196" s="4">
        <f t="shared" si="82"/>
        <v>8.5759999999999987</v>
      </c>
      <c r="AH196" s="4">
        <f t="shared" si="83"/>
        <v>8.8019999999999996</v>
      </c>
      <c r="AI196" s="4">
        <f t="shared" si="84"/>
        <v>8.5244499999999999</v>
      </c>
      <c r="AJ196" s="4">
        <f t="shared" si="85"/>
        <v>8.5947999999999993</v>
      </c>
      <c r="AK196" s="4">
        <f t="shared" si="86"/>
        <v>8.6951499999999999</v>
      </c>
      <c r="AN196" s="4">
        <f t="shared" si="87"/>
        <v>-7.0899999999999963E-2</v>
      </c>
      <c r="AO196" s="4">
        <f t="shared" si="88"/>
        <v>-0.13294999999999924</v>
      </c>
      <c r="AP196" s="4">
        <f t="shared" si="89"/>
        <v>-3.0099999999999127E-2</v>
      </c>
      <c r="AQ196" s="4">
        <f t="shared" si="90"/>
        <v>0.10360000000000191</v>
      </c>
      <c r="AR196" s="4">
        <f t="shared" si="91"/>
        <v>-4.4000000000000483E-2</v>
      </c>
      <c r="AS196" s="4">
        <f t="shared" si="92"/>
        <v>0.18200000000000038</v>
      </c>
      <c r="AT196" s="4">
        <f t="shared" si="93"/>
        <v>-9.5549999999999358E-2</v>
      </c>
      <c r="AU196" s="4">
        <f t="shared" si="94"/>
        <v>-2.5199999999999889E-2</v>
      </c>
      <c r="AV196" s="4">
        <f t="shared" si="95"/>
        <v>7.5150000000000716E-2</v>
      </c>
    </row>
    <row r="197" spans="1:48" x14ac:dyDescent="0.25">
      <c r="A197" s="18">
        <v>197</v>
      </c>
      <c r="B197" s="19">
        <v>43552</v>
      </c>
      <c r="C197" s="20">
        <v>0.5516550925925926</v>
      </c>
      <c r="D197" s="18">
        <v>8.5</v>
      </c>
      <c r="E197" s="18">
        <v>8.31</v>
      </c>
      <c r="F197" s="18">
        <v>8.56</v>
      </c>
      <c r="G197" s="18">
        <v>8.3800000000000008</v>
      </c>
      <c r="H197" s="18">
        <v>8.25</v>
      </c>
      <c r="I197" s="18">
        <v>8.5</v>
      </c>
      <c r="J197" s="18">
        <v>8.56</v>
      </c>
      <c r="K197" s="18">
        <v>8.56</v>
      </c>
      <c r="L197" s="18">
        <v>8.1300000000000008</v>
      </c>
      <c r="N197" s="4">
        <v>8.49</v>
      </c>
      <c r="O197" s="4">
        <f>N197-'Sonde étalon'!$C$13</f>
        <v>8.66</v>
      </c>
      <c r="R197" s="4">
        <f t="shared" si="96"/>
        <v>-0.16000000000000014</v>
      </c>
      <c r="S197" s="4">
        <f t="shared" si="97"/>
        <v>-0.34999999999999964</v>
      </c>
      <c r="T197" s="4">
        <f t="shared" si="98"/>
        <v>-9.9999999999999645E-2</v>
      </c>
      <c r="U197" s="4">
        <f t="shared" si="99"/>
        <v>-0.27999999999999936</v>
      </c>
      <c r="V197" s="4">
        <f t="shared" si="100"/>
        <v>-0.41000000000000014</v>
      </c>
      <c r="W197" s="4">
        <f t="shared" si="101"/>
        <v>-0.16000000000000014</v>
      </c>
      <c r="X197" s="4">
        <f t="shared" si="102"/>
        <v>-9.9999999999999645E-2</v>
      </c>
      <c r="Y197" s="4">
        <f t="shared" si="103"/>
        <v>-9.9999999999999645E-2</v>
      </c>
      <c r="Z197" s="4">
        <f t="shared" si="104"/>
        <v>-0.52999999999999936</v>
      </c>
      <c r="AC197" s="4">
        <f t="shared" si="78"/>
        <v>8.6090999999999998</v>
      </c>
      <c r="AD197" s="4">
        <f t="shared" si="79"/>
        <v>8.5470500000000005</v>
      </c>
      <c r="AE197" s="4">
        <f t="shared" si="80"/>
        <v>8.6499000000000006</v>
      </c>
      <c r="AF197" s="4">
        <f t="shared" si="81"/>
        <v>8.7236000000000011</v>
      </c>
      <c r="AG197" s="4">
        <f t="shared" si="82"/>
        <v>8.6359999999999992</v>
      </c>
      <c r="AH197" s="4">
        <f t="shared" si="83"/>
        <v>8.8620000000000001</v>
      </c>
      <c r="AI197" s="4">
        <f t="shared" si="84"/>
        <v>8.5244499999999999</v>
      </c>
      <c r="AJ197" s="4">
        <f t="shared" si="85"/>
        <v>8.6547999999999998</v>
      </c>
      <c r="AK197" s="4">
        <f t="shared" si="86"/>
        <v>8.7651500000000002</v>
      </c>
      <c r="AN197" s="4">
        <f t="shared" si="87"/>
        <v>-5.0900000000000389E-2</v>
      </c>
      <c r="AO197" s="4">
        <f t="shared" si="88"/>
        <v>-0.11294999999999966</v>
      </c>
      <c r="AP197" s="4">
        <f t="shared" si="89"/>
        <v>-1.0099999999999554E-2</v>
      </c>
      <c r="AQ197" s="4">
        <f t="shared" si="90"/>
        <v>6.3600000000000989E-2</v>
      </c>
      <c r="AR197" s="4">
        <f t="shared" si="91"/>
        <v>-2.4000000000000909E-2</v>
      </c>
      <c r="AS197" s="4">
        <f t="shared" si="92"/>
        <v>0.20199999999999996</v>
      </c>
      <c r="AT197" s="4">
        <f t="shared" si="93"/>
        <v>-0.13555000000000028</v>
      </c>
      <c r="AU197" s="4">
        <f t="shared" si="94"/>
        <v>-5.2000000000003155E-3</v>
      </c>
      <c r="AV197" s="4">
        <f t="shared" si="95"/>
        <v>0.10515000000000008</v>
      </c>
    </row>
    <row r="198" spans="1:48" x14ac:dyDescent="0.25">
      <c r="A198" s="18">
        <v>198</v>
      </c>
      <c r="B198" s="19">
        <v>43552</v>
      </c>
      <c r="C198" s="20">
        <v>0.55234953703703704</v>
      </c>
      <c r="D198" s="18">
        <v>8.56</v>
      </c>
      <c r="E198" s="18">
        <v>8.3800000000000008</v>
      </c>
      <c r="F198" s="18">
        <v>8.6300000000000008</v>
      </c>
      <c r="G198" s="18">
        <v>8.44</v>
      </c>
      <c r="H198" s="18">
        <v>8.31</v>
      </c>
      <c r="I198" s="18">
        <v>8.56</v>
      </c>
      <c r="J198" s="18">
        <v>8.6300000000000008</v>
      </c>
      <c r="K198" s="18">
        <v>8.6300000000000008</v>
      </c>
      <c r="L198" s="18">
        <v>8.19</v>
      </c>
      <c r="N198" s="4">
        <v>8.5500000000000007</v>
      </c>
      <c r="O198" s="4">
        <f>N198-'Sonde étalon'!$C$13</f>
        <v>8.7200000000000006</v>
      </c>
      <c r="R198" s="4">
        <f t="shared" si="96"/>
        <v>-0.16000000000000014</v>
      </c>
      <c r="S198" s="4">
        <f t="shared" si="97"/>
        <v>-0.33999999999999986</v>
      </c>
      <c r="T198" s="4">
        <f t="shared" si="98"/>
        <v>-8.9999999999999858E-2</v>
      </c>
      <c r="U198" s="4">
        <f t="shared" si="99"/>
        <v>-0.28000000000000114</v>
      </c>
      <c r="V198" s="4">
        <f t="shared" si="100"/>
        <v>-0.41000000000000014</v>
      </c>
      <c r="W198" s="4">
        <f t="shared" si="101"/>
        <v>-0.16000000000000014</v>
      </c>
      <c r="X198" s="4">
        <f t="shared" si="102"/>
        <v>-8.9999999999999858E-2</v>
      </c>
      <c r="Y198" s="4">
        <f t="shared" si="103"/>
        <v>-8.9999999999999858E-2</v>
      </c>
      <c r="Z198" s="4">
        <f t="shared" si="104"/>
        <v>-0.53000000000000114</v>
      </c>
      <c r="AC198" s="4">
        <f t="shared" si="78"/>
        <v>8.6691000000000003</v>
      </c>
      <c r="AD198" s="4">
        <f t="shared" si="79"/>
        <v>8.6170500000000008</v>
      </c>
      <c r="AE198" s="4">
        <f t="shared" si="80"/>
        <v>8.7199000000000009</v>
      </c>
      <c r="AF198" s="4">
        <f t="shared" si="81"/>
        <v>8.7835999999999999</v>
      </c>
      <c r="AG198" s="4">
        <f t="shared" si="82"/>
        <v>8.6959999999999997</v>
      </c>
      <c r="AH198" s="4">
        <f t="shared" si="83"/>
        <v>8.9220000000000006</v>
      </c>
      <c r="AI198" s="4">
        <f t="shared" si="84"/>
        <v>8.5944500000000001</v>
      </c>
      <c r="AJ198" s="4">
        <f t="shared" si="85"/>
        <v>8.7248000000000001</v>
      </c>
      <c r="AK198" s="4">
        <f t="shared" si="86"/>
        <v>8.8251499999999989</v>
      </c>
      <c r="AN198" s="4">
        <f t="shared" si="87"/>
        <v>-5.0900000000000389E-2</v>
      </c>
      <c r="AO198" s="4">
        <f t="shared" si="88"/>
        <v>-0.10294999999999987</v>
      </c>
      <c r="AP198" s="4">
        <f t="shared" si="89"/>
        <v>-9.9999999999766942E-5</v>
      </c>
      <c r="AQ198" s="4">
        <f t="shared" si="90"/>
        <v>6.3599999999999213E-2</v>
      </c>
      <c r="AR198" s="4">
        <f t="shared" si="91"/>
        <v>-2.4000000000000909E-2</v>
      </c>
      <c r="AS198" s="4">
        <f t="shared" si="92"/>
        <v>0.20199999999999996</v>
      </c>
      <c r="AT198" s="4">
        <f t="shared" si="93"/>
        <v>-0.12555000000000049</v>
      </c>
      <c r="AU198" s="4">
        <f t="shared" si="94"/>
        <v>4.7999999999994714E-3</v>
      </c>
      <c r="AV198" s="4">
        <f t="shared" si="95"/>
        <v>0.1051499999999983</v>
      </c>
    </row>
    <row r="199" spans="1:48" x14ac:dyDescent="0.25">
      <c r="A199" s="18">
        <v>199</v>
      </c>
      <c r="B199" s="19">
        <v>43552</v>
      </c>
      <c r="C199" s="20">
        <v>0.55304398148148148</v>
      </c>
      <c r="D199" s="18">
        <v>8.6300000000000008</v>
      </c>
      <c r="E199" s="18">
        <v>8.44</v>
      </c>
      <c r="F199" s="18">
        <v>8.6300000000000008</v>
      </c>
      <c r="G199" s="18">
        <v>8.5</v>
      </c>
      <c r="H199" s="18">
        <v>8.3800000000000008</v>
      </c>
      <c r="I199" s="18">
        <v>8.6300000000000008</v>
      </c>
      <c r="J199" s="18">
        <v>8.69</v>
      </c>
      <c r="K199" s="18">
        <v>8.69</v>
      </c>
      <c r="L199" s="18">
        <v>8.25</v>
      </c>
      <c r="N199" s="4">
        <v>8.6</v>
      </c>
      <c r="O199" s="4">
        <f>N199-'Sonde étalon'!$C$13</f>
        <v>8.77</v>
      </c>
      <c r="R199" s="4">
        <f t="shared" si="96"/>
        <v>-0.13999999999999879</v>
      </c>
      <c r="S199" s="4">
        <f t="shared" si="97"/>
        <v>-0.33000000000000007</v>
      </c>
      <c r="T199" s="4">
        <f t="shared" si="98"/>
        <v>-0.13999999999999879</v>
      </c>
      <c r="U199" s="4">
        <f t="shared" si="99"/>
        <v>-0.26999999999999957</v>
      </c>
      <c r="V199" s="4">
        <f t="shared" si="100"/>
        <v>-0.38999999999999879</v>
      </c>
      <c r="W199" s="4">
        <f t="shared" si="101"/>
        <v>-0.13999999999999879</v>
      </c>
      <c r="X199" s="4">
        <f t="shared" si="102"/>
        <v>-8.0000000000000071E-2</v>
      </c>
      <c r="Y199" s="4">
        <f t="shared" si="103"/>
        <v>-8.0000000000000071E-2</v>
      </c>
      <c r="Z199" s="4">
        <f t="shared" si="104"/>
        <v>-0.51999999999999957</v>
      </c>
      <c r="AC199" s="4">
        <f t="shared" ref="AC199:AC205" si="105">D199-$R$3</f>
        <v>8.7391000000000005</v>
      </c>
      <c r="AD199" s="4">
        <f t="shared" ref="AD199:AD205" si="106">E199-$S$3</f>
        <v>8.6770499999999995</v>
      </c>
      <c r="AE199" s="4">
        <f t="shared" ref="AE199:AE205" si="107">F199-$T$3</f>
        <v>8.7199000000000009</v>
      </c>
      <c r="AF199" s="4">
        <f t="shared" ref="AF199:AF205" si="108">G199-$U$3</f>
        <v>8.8436000000000003</v>
      </c>
      <c r="AG199" s="4">
        <f t="shared" ref="AG199:AG205" si="109">H199-$V$3</f>
        <v>8.766</v>
      </c>
      <c r="AH199" s="4">
        <f t="shared" ref="AH199:AH205" si="110">I199-$W$3</f>
        <v>8.9920000000000009</v>
      </c>
      <c r="AI199" s="4">
        <f t="shared" ref="AI199:AI205" si="111">J199-$X$3</f>
        <v>8.6544499999999989</v>
      </c>
      <c r="AJ199" s="4">
        <f t="shared" ref="AJ199:AJ205" si="112">K199-$Y$3</f>
        <v>8.7847999999999988</v>
      </c>
      <c r="AK199" s="4">
        <f t="shared" ref="AK199:AK205" si="113">L199-$Z$3</f>
        <v>8.8851499999999994</v>
      </c>
      <c r="AN199" s="4">
        <f t="shared" ref="AN199:AN205" si="114">AC199-O199</f>
        <v>-3.0899999999999039E-2</v>
      </c>
      <c r="AO199" s="4">
        <f t="shared" ref="AO199:AO205" si="115">AD199-O199</f>
        <v>-9.2950000000000088E-2</v>
      </c>
      <c r="AP199" s="4">
        <f t="shared" ref="AP199:AP205" si="116">AE199-O199</f>
        <v>-5.0099999999998701E-2</v>
      </c>
      <c r="AQ199" s="4">
        <f t="shared" ref="AQ199:AQ205" si="117">AF199-O199</f>
        <v>7.3600000000000776E-2</v>
      </c>
      <c r="AR199" s="4">
        <f t="shared" ref="AR199:AR205" si="118">AG199-O199</f>
        <v>-3.9999999999995595E-3</v>
      </c>
      <c r="AS199" s="4">
        <f t="shared" ref="AS199:AS205" si="119">AH199-O199</f>
        <v>0.22200000000000131</v>
      </c>
      <c r="AT199" s="4">
        <f t="shared" ref="AT199:AT205" si="120">AI199-O199</f>
        <v>-0.11555000000000071</v>
      </c>
      <c r="AU199" s="4">
        <f t="shared" ref="AU199:AU205" si="121">AJ199-O199</f>
        <v>1.4799999999999258E-2</v>
      </c>
      <c r="AV199" s="4">
        <f t="shared" ref="AV199:AV205" si="122">AK199-O199</f>
        <v>0.11514999999999986</v>
      </c>
    </row>
    <row r="200" spans="1:48" x14ac:dyDescent="0.25">
      <c r="A200" s="18">
        <v>200</v>
      </c>
      <c r="B200" s="19">
        <v>43552</v>
      </c>
      <c r="C200" s="20">
        <v>0.55373842592592593</v>
      </c>
      <c r="D200" s="18">
        <v>8.69</v>
      </c>
      <c r="E200" s="18">
        <v>8.5</v>
      </c>
      <c r="F200" s="18">
        <v>8.69</v>
      </c>
      <c r="G200" s="18">
        <v>8.56</v>
      </c>
      <c r="H200" s="18">
        <v>8.44</v>
      </c>
      <c r="I200" s="18">
        <v>8.69</v>
      </c>
      <c r="J200" s="18">
        <v>8.75</v>
      </c>
      <c r="K200" s="18">
        <v>8.75</v>
      </c>
      <c r="L200" s="18">
        <v>8.31</v>
      </c>
      <c r="N200" s="4">
        <v>8.65</v>
      </c>
      <c r="O200" s="4">
        <f>N200-'Sonde étalon'!$C$13</f>
        <v>8.82</v>
      </c>
      <c r="R200" s="4">
        <f t="shared" si="96"/>
        <v>-0.13000000000000078</v>
      </c>
      <c r="S200" s="4">
        <f t="shared" si="97"/>
        <v>-0.32000000000000028</v>
      </c>
      <c r="T200" s="4">
        <f t="shared" si="98"/>
        <v>-0.13000000000000078</v>
      </c>
      <c r="U200" s="4">
        <f t="shared" si="99"/>
        <v>-0.25999999999999979</v>
      </c>
      <c r="V200" s="4">
        <f t="shared" si="100"/>
        <v>-0.38000000000000078</v>
      </c>
      <c r="W200" s="4">
        <f t="shared" si="101"/>
        <v>-0.13000000000000078</v>
      </c>
      <c r="X200" s="4">
        <f t="shared" si="102"/>
        <v>-7.0000000000000284E-2</v>
      </c>
      <c r="Y200" s="4">
        <f t="shared" si="103"/>
        <v>-7.0000000000000284E-2</v>
      </c>
      <c r="Z200" s="4">
        <f t="shared" si="104"/>
        <v>-0.50999999999999979</v>
      </c>
      <c r="AC200" s="4">
        <f t="shared" si="105"/>
        <v>8.7990999999999993</v>
      </c>
      <c r="AD200" s="4">
        <f t="shared" si="106"/>
        <v>8.73705</v>
      </c>
      <c r="AE200" s="4">
        <f t="shared" si="107"/>
        <v>8.7798999999999996</v>
      </c>
      <c r="AF200" s="4">
        <f t="shared" si="108"/>
        <v>8.9036000000000008</v>
      </c>
      <c r="AG200" s="4">
        <f t="shared" si="109"/>
        <v>8.8259999999999987</v>
      </c>
      <c r="AH200" s="4">
        <f t="shared" si="110"/>
        <v>9.0519999999999996</v>
      </c>
      <c r="AI200" s="4">
        <f t="shared" si="111"/>
        <v>8.7144499999999994</v>
      </c>
      <c r="AJ200" s="4">
        <f t="shared" si="112"/>
        <v>8.8447999999999993</v>
      </c>
      <c r="AK200" s="4">
        <f t="shared" si="113"/>
        <v>8.9451499999999999</v>
      </c>
      <c r="AN200" s="4">
        <f t="shared" si="114"/>
        <v>-2.0900000000001029E-2</v>
      </c>
      <c r="AO200" s="4">
        <f t="shared" si="115"/>
        <v>-8.2950000000000301E-2</v>
      </c>
      <c r="AP200" s="4">
        <f t="shared" si="116"/>
        <v>-4.0100000000000691E-2</v>
      </c>
      <c r="AQ200" s="4">
        <f t="shared" si="117"/>
        <v>8.3600000000000563E-2</v>
      </c>
      <c r="AR200" s="4">
        <f t="shared" si="118"/>
        <v>5.999999999998451E-3</v>
      </c>
      <c r="AS200" s="4">
        <f t="shared" si="119"/>
        <v>0.23199999999999932</v>
      </c>
      <c r="AT200" s="4">
        <f t="shared" si="120"/>
        <v>-0.10555000000000092</v>
      </c>
      <c r="AU200" s="4">
        <f t="shared" si="121"/>
        <v>2.4799999999999045E-2</v>
      </c>
      <c r="AV200" s="4">
        <f t="shared" si="122"/>
        <v>0.12514999999999965</v>
      </c>
    </row>
    <row r="201" spans="1:48" x14ac:dyDescent="0.25">
      <c r="A201" s="18">
        <v>201</v>
      </c>
      <c r="B201" s="19">
        <v>43552</v>
      </c>
      <c r="C201" s="20">
        <v>0.55443287037037037</v>
      </c>
      <c r="D201" s="18">
        <v>8.75</v>
      </c>
      <c r="E201" s="18">
        <v>8.5</v>
      </c>
      <c r="F201" s="18">
        <v>8.75</v>
      </c>
      <c r="G201" s="18">
        <v>8.6300000000000008</v>
      </c>
      <c r="H201" s="18">
        <v>8.44</v>
      </c>
      <c r="I201" s="18">
        <v>8.69</v>
      </c>
      <c r="J201" s="18">
        <v>8.81</v>
      </c>
      <c r="K201" s="18">
        <v>8.75</v>
      </c>
      <c r="L201" s="18">
        <v>8.3800000000000008</v>
      </c>
      <c r="N201" s="4">
        <v>8.6999999999999993</v>
      </c>
      <c r="O201" s="4">
        <f>N201-'Sonde étalon'!$C$13</f>
        <v>8.8699999999999992</v>
      </c>
      <c r="R201" s="4">
        <f t="shared" si="96"/>
        <v>-0.11999999999999922</v>
      </c>
      <c r="S201" s="4">
        <f t="shared" si="97"/>
        <v>-0.36999999999999922</v>
      </c>
      <c r="T201" s="4">
        <f t="shared" si="98"/>
        <v>-0.11999999999999922</v>
      </c>
      <c r="U201" s="4">
        <f t="shared" si="99"/>
        <v>-0.23999999999999844</v>
      </c>
      <c r="V201" s="4">
        <f t="shared" si="100"/>
        <v>-0.42999999999999972</v>
      </c>
      <c r="W201" s="4">
        <f t="shared" si="101"/>
        <v>-0.17999999999999972</v>
      </c>
      <c r="X201" s="4">
        <f t="shared" si="102"/>
        <v>-5.9999999999998721E-2</v>
      </c>
      <c r="Y201" s="4">
        <f t="shared" si="103"/>
        <v>-0.11999999999999922</v>
      </c>
      <c r="Z201" s="4">
        <f t="shared" si="104"/>
        <v>-0.48999999999999844</v>
      </c>
      <c r="AC201" s="4">
        <f t="shared" si="105"/>
        <v>8.8590999999999998</v>
      </c>
      <c r="AD201" s="4">
        <f t="shared" si="106"/>
        <v>8.73705</v>
      </c>
      <c r="AE201" s="4">
        <f t="shared" si="107"/>
        <v>8.8399000000000001</v>
      </c>
      <c r="AF201" s="4">
        <f t="shared" si="108"/>
        <v>8.9736000000000011</v>
      </c>
      <c r="AG201" s="4">
        <f t="shared" si="109"/>
        <v>8.8259999999999987</v>
      </c>
      <c r="AH201" s="4">
        <f t="shared" si="110"/>
        <v>9.0519999999999996</v>
      </c>
      <c r="AI201" s="4">
        <f t="shared" si="111"/>
        <v>8.7744499999999999</v>
      </c>
      <c r="AJ201" s="4">
        <f t="shared" si="112"/>
        <v>8.8447999999999993</v>
      </c>
      <c r="AK201" s="4">
        <f t="shared" si="113"/>
        <v>9.0151500000000002</v>
      </c>
      <c r="AN201" s="4">
        <f t="shared" si="114"/>
        <v>-1.0899999999999466E-2</v>
      </c>
      <c r="AO201" s="4">
        <f t="shared" si="115"/>
        <v>-0.13294999999999924</v>
      </c>
      <c r="AP201" s="4">
        <f t="shared" si="116"/>
        <v>-3.0099999999999127E-2</v>
      </c>
      <c r="AQ201" s="4">
        <f t="shared" si="117"/>
        <v>0.10360000000000191</v>
      </c>
      <c r="AR201" s="4">
        <f t="shared" si="118"/>
        <v>-4.4000000000000483E-2</v>
      </c>
      <c r="AS201" s="4">
        <f t="shared" si="119"/>
        <v>0.18200000000000038</v>
      </c>
      <c r="AT201" s="4">
        <f t="shared" si="120"/>
        <v>-9.5549999999999358E-2</v>
      </c>
      <c r="AU201" s="4">
        <f t="shared" si="121"/>
        <v>-2.5199999999999889E-2</v>
      </c>
      <c r="AV201" s="4">
        <f t="shared" si="122"/>
        <v>0.145150000000001</v>
      </c>
    </row>
    <row r="202" spans="1:48" x14ac:dyDescent="0.25">
      <c r="A202" s="18">
        <v>202</v>
      </c>
      <c r="B202" s="19">
        <v>43552</v>
      </c>
      <c r="C202" s="20">
        <v>0.55512731481481481</v>
      </c>
      <c r="D202" s="18">
        <v>8.81</v>
      </c>
      <c r="E202" s="18">
        <v>8.56</v>
      </c>
      <c r="F202" s="18">
        <v>8.81</v>
      </c>
      <c r="G202" s="18">
        <v>8.6300000000000008</v>
      </c>
      <c r="H202" s="18">
        <v>8.5</v>
      </c>
      <c r="I202" s="18">
        <v>8.75</v>
      </c>
      <c r="J202" s="18">
        <v>8.8800000000000008</v>
      </c>
      <c r="K202" s="18">
        <v>8.81</v>
      </c>
      <c r="L202" s="18">
        <v>8.3800000000000008</v>
      </c>
      <c r="N202" s="4">
        <v>8.76</v>
      </c>
      <c r="O202" s="4">
        <f>N202-'Sonde étalon'!$C$13</f>
        <v>8.93</v>
      </c>
      <c r="R202" s="4">
        <f t="shared" si="96"/>
        <v>-0.11999999999999922</v>
      </c>
      <c r="S202" s="4">
        <f t="shared" si="97"/>
        <v>-0.36999999999999922</v>
      </c>
      <c r="T202" s="4">
        <f t="shared" si="98"/>
        <v>-0.11999999999999922</v>
      </c>
      <c r="U202" s="4">
        <f t="shared" si="99"/>
        <v>-0.29999999999999893</v>
      </c>
      <c r="V202" s="4">
        <f t="shared" si="100"/>
        <v>-0.42999999999999972</v>
      </c>
      <c r="W202" s="4">
        <f t="shared" si="101"/>
        <v>-0.17999999999999972</v>
      </c>
      <c r="X202" s="4">
        <f t="shared" si="102"/>
        <v>-4.9999999999998934E-2</v>
      </c>
      <c r="Y202" s="4">
        <f t="shared" si="103"/>
        <v>-0.11999999999999922</v>
      </c>
      <c r="Z202" s="4">
        <f t="shared" si="104"/>
        <v>-0.54999999999999893</v>
      </c>
      <c r="AC202" s="4">
        <f t="shared" si="105"/>
        <v>8.9191000000000003</v>
      </c>
      <c r="AD202" s="4">
        <f t="shared" si="106"/>
        <v>8.7970500000000005</v>
      </c>
      <c r="AE202" s="4">
        <f t="shared" si="107"/>
        <v>8.8999000000000006</v>
      </c>
      <c r="AF202" s="4">
        <f t="shared" si="108"/>
        <v>8.9736000000000011</v>
      </c>
      <c r="AG202" s="4">
        <f t="shared" si="109"/>
        <v>8.8859999999999992</v>
      </c>
      <c r="AH202" s="4">
        <f t="shared" si="110"/>
        <v>9.1120000000000001</v>
      </c>
      <c r="AI202" s="4">
        <f t="shared" si="111"/>
        <v>8.8444500000000001</v>
      </c>
      <c r="AJ202" s="4">
        <f t="shared" si="112"/>
        <v>8.9047999999999998</v>
      </c>
      <c r="AK202" s="4">
        <f t="shared" si="113"/>
        <v>9.0151500000000002</v>
      </c>
      <c r="AN202" s="4">
        <f t="shared" si="114"/>
        <v>-1.0899999999999466E-2</v>
      </c>
      <c r="AO202" s="4">
        <f t="shared" si="115"/>
        <v>-0.13294999999999924</v>
      </c>
      <c r="AP202" s="4">
        <f t="shared" si="116"/>
        <v>-3.0099999999999127E-2</v>
      </c>
      <c r="AQ202" s="4">
        <f t="shared" si="117"/>
        <v>4.3600000000001415E-2</v>
      </c>
      <c r="AR202" s="4">
        <f t="shared" si="118"/>
        <v>-4.4000000000000483E-2</v>
      </c>
      <c r="AS202" s="4">
        <f t="shared" si="119"/>
        <v>0.18200000000000038</v>
      </c>
      <c r="AT202" s="4">
        <f t="shared" si="120"/>
        <v>-8.5549999999999571E-2</v>
      </c>
      <c r="AU202" s="4">
        <f t="shared" si="121"/>
        <v>-2.5199999999999889E-2</v>
      </c>
      <c r="AV202" s="4">
        <f t="shared" si="122"/>
        <v>8.5150000000000503E-2</v>
      </c>
    </row>
    <row r="203" spans="1:48" x14ac:dyDescent="0.25">
      <c r="A203" s="18">
        <v>203</v>
      </c>
      <c r="B203" s="19">
        <v>43552</v>
      </c>
      <c r="C203" s="20">
        <v>0.55582175925925925</v>
      </c>
      <c r="D203" s="18">
        <v>8.81</v>
      </c>
      <c r="E203" s="18">
        <v>8.6300000000000008</v>
      </c>
      <c r="F203" s="18">
        <v>8.8800000000000008</v>
      </c>
      <c r="G203" s="18">
        <v>8.69</v>
      </c>
      <c r="H203" s="18">
        <v>8.56</v>
      </c>
      <c r="I203" s="18">
        <v>8.81</v>
      </c>
      <c r="J203" s="18">
        <v>8.8800000000000008</v>
      </c>
      <c r="K203" s="18">
        <v>8.8800000000000008</v>
      </c>
      <c r="L203" s="18">
        <v>8.44</v>
      </c>
      <c r="N203" s="4">
        <v>8.82</v>
      </c>
      <c r="O203" s="4">
        <f>N203-'Sonde étalon'!$C$13</f>
        <v>8.99</v>
      </c>
      <c r="R203" s="4">
        <f t="shared" si="96"/>
        <v>-0.17999999999999972</v>
      </c>
      <c r="S203" s="4">
        <f t="shared" si="97"/>
        <v>-0.35999999999999943</v>
      </c>
      <c r="T203" s="4">
        <f t="shared" si="98"/>
        <v>-0.10999999999999943</v>
      </c>
      <c r="U203" s="4">
        <f t="shared" si="99"/>
        <v>-0.30000000000000071</v>
      </c>
      <c r="V203" s="4">
        <f t="shared" si="100"/>
        <v>-0.42999999999999972</v>
      </c>
      <c r="W203" s="4">
        <f t="shared" si="101"/>
        <v>-0.17999999999999972</v>
      </c>
      <c r="X203" s="4">
        <f t="shared" si="102"/>
        <v>-0.10999999999999943</v>
      </c>
      <c r="Y203" s="4">
        <f t="shared" si="103"/>
        <v>-0.10999999999999943</v>
      </c>
      <c r="Z203" s="4">
        <f t="shared" si="104"/>
        <v>-0.55000000000000071</v>
      </c>
      <c r="AC203" s="4">
        <f t="shared" si="105"/>
        <v>8.9191000000000003</v>
      </c>
      <c r="AD203" s="4">
        <f t="shared" si="106"/>
        <v>8.8670500000000008</v>
      </c>
      <c r="AE203" s="4">
        <f t="shared" si="107"/>
        <v>8.9699000000000009</v>
      </c>
      <c r="AF203" s="4">
        <f t="shared" si="108"/>
        <v>9.0335999999999999</v>
      </c>
      <c r="AG203" s="4">
        <f t="shared" si="109"/>
        <v>8.9459999999999997</v>
      </c>
      <c r="AH203" s="4">
        <f t="shared" si="110"/>
        <v>9.1720000000000006</v>
      </c>
      <c r="AI203" s="4">
        <f t="shared" si="111"/>
        <v>8.8444500000000001</v>
      </c>
      <c r="AJ203" s="4">
        <f t="shared" si="112"/>
        <v>8.9748000000000001</v>
      </c>
      <c r="AK203" s="4">
        <f t="shared" si="113"/>
        <v>9.0751499999999989</v>
      </c>
      <c r="AN203" s="4">
        <f t="shared" si="114"/>
        <v>-7.0899999999999963E-2</v>
      </c>
      <c r="AO203" s="4">
        <f t="shared" si="115"/>
        <v>-0.12294999999999945</v>
      </c>
      <c r="AP203" s="4">
        <f t="shared" si="116"/>
        <v>-2.0099999999999341E-2</v>
      </c>
      <c r="AQ203" s="4">
        <f t="shared" si="117"/>
        <v>4.3599999999999639E-2</v>
      </c>
      <c r="AR203" s="4">
        <f t="shared" si="118"/>
        <v>-4.4000000000000483E-2</v>
      </c>
      <c r="AS203" s="4">
        <f t="shared" si="119"/>
        <v>0.18200000000000038</v>
      </c>
      <c r="AT203" s="4">
        <f t="shared" si="120"/>
        <v>-0.14555000000000007</v>
      </c>
      <c r="AU203" s="4">
        <f t="shared" si="121"/>
        <v>-1.5200000000000102E-2</v>
      </c>
      <c r="AV203" s="4">
        <f t="shared" si="122"/>
        <v>8.5149999999998727E-2</v>
      </c>
    </row>
    <row r="204" spans="1:48" x14ac:dyDescent="0.25">
      <c r="A204" s="18">
        <v>204</v>
      </c>
      <c r="B204" s="19">
        <v>43552</v>
      </c>
      <c r="C204" s="20">
        <v>0.55651620370370369</v>
      </c>
      <c r="D204" s="18">
        <v>8.8800000000000008</v>
      </c>
      <c r="E204" s="18">
        <v>8.69</v>
      </c>
      <c r="F204" s="18">
        <v>8.8800000000000008</v>
      </c>
      <c r="G204" s="18">
        <v>8.75</v>
      </c>
      <c r="H204" s="18">
        <v>8.6300000000000008</v>
      </c>
      <c r="I204" s="18">
        <v>8.81</v>
      </c>
      <c r="J204" s="18">
        <v>8.94</v>
      </c>
      <c r="K204" s="18">
        <v>8.8800000000000008</v>
      </c>
      <c r="L204" s="18">
        <v>8.5</v>
      </c>
      <c r="N204" s="4">
        <v>8.85</v>
      </c>
      <c r="O204" s="4">
        <f>N204-'Sonde étalon'!$C$13</f>
        <v>9.02</v>
      </c>
      <c r="R204" s="4">
        <f t="shared" si="96"/>
        <v>-0.13999999999999879</v>
      </c>
      <c r="S204" s="4">
        <f t="shared" si="97"/>
        <v>-0.33000000000000007</v>
      </c>
      <c r="T204" s="4">
        <f t="shared" si="98"/>
        <v>-0.13999999999999879</v>
      </c>
      <c r="U204" s="4">
        <f t="shared" si="99"/>
        <v>-0.26999999999999957</v>
      </c>
      <c r="V204" s="4">
        <f t="shared" si="100"/>
        <v>-0.38999999999999879</v>
      </c>
      <c r="W204" s="4">
        <f t="shared" si="101"/>
        <v>-0.20999999999999908</v>
      </c>
      <c r="X204" s="4">
        <f t="shared" si="102"/>
        <v>-8.0000000000000071E-2</v>
      </c>
      <c r="Y204" s="4">
        <f t="shared" si="103"/>
        <v>-0.13999999999999879</v>
      </c>
      <c r="Z204" s="4">
        <f t="shared" si="104"/>
        <v>-0.51999999999999957</v>
      </c>
      <c r="AC204" s="4">
        <f t="shared" si="105"/>
        <v>8.9891000000000005</v>
      </c>
      <c r="AD204" s="4">
        <f t="shared" si="106"/>
        <v>8.9270499999999995</v>
      </c>
      <c r="AE204" s="4">
        <f t="shared" si="107"/>
        <v>8.9699000000000009</v>
      </c>
      <c r="AF204" s="4">
        <f t="shared" si="108"/>
        <v>9.0936000000000003</v>
      </c>
      <c r="AG204" s="4">
        <f t="shared" si="109"/>
        <v>9.016</v>
      </c>
      <c r="AH204" s="4">
        <f t="shared" si="110"/>
        <v>9.1720000000000006</v>
      </c>
      <c r="AI204" s="4">
        <f t="shared" si="111"/>
        <v>8.9044499999999989</v>
      </c>
      <c r="AJ204" s="4">
        <f t="shared" si="112"/>
        <v>8.9748000000000001</v>
      </c>
      <c r="AK204" s="4">
        <f t="shared" si="113"/>
        <v>9.1351499999999994</v>
      </c>
      <c r="AN204" s="4">
        <f t="shared" si="114"/>
        <v>-3.0899999999999039E-2</v>
      </c>
      <c r="AO204" s="4">
        <f t="shared" si="115"/>
        <v>-9.2950000000000088E-2</v>
      </c>
      <c r="AP204" s="4">
        <f t="shared" si="116"/>
        <v>-5.0099999999998701E-2</v>
      </c>
      <c r="AQ204" s="4">
        <f t="shared" si="117"/>
        <v>7.3600000000000776E-2</v>
      </c>
      <c r="AR204" s="4">
        <f t="shared" si="118"/>
        <v>-3.9999999999995595E-3</v>
      </c>
      <c r="AS204" s="4">
        <f t="shared" si="119"/>
        <v>0.15200000000000102</v>
      </c>
      <c r="AT204" s="4">
        <f t="shared" si="120"/>
        <v>-0.11555000000000071</v>
      </c>
      <c r="AU204" s="4">
        <f t="shared" si="121"/>
        <v>-4.5199999999999463E-2</v>
      </c>
      <c r="AV204" s="4">
        <f t="shared" si="122"/>
        <v>0.11514999999999986</v>
      </c>
    </row>
    <row r="205" spans="1:48" x14ac:dyDescent="0.25">
      <c r="A205" s="18">
        <v>205</v>
      </c>
      <c r="B205" s="19">
        <v>43552</v>
      </c>
      <c r="C205" s="20">
        <v>0.55721064814814814</v>
      </c>
      <c r="D205" s="18">
        <v>8.94</v>
      </c>
      <c r="E205" s="18">
        <v>8.75</v>
      </c>
      <c r="F205" s="18">
        <v>8.94</v>
      </c>
      <c r="G205" s="18">
        <v>8.81</v>
      </c>
      <c r="H205" s="18">
        <v>8.6300000000000008</v>
      </c>
      <c r="I205" s="18">
        <v>8.8800000000000008</v>
      </c>
      <c r="J205" s="18">
        <v>9</v>
      </c>
      <c r="K205" s="18">
        <v>8.94</v>
      </c>
      <c r="L205" s="18">
        <v>8.56</v>
      </c>
      <c r="N205" s="4">
        <v>8.8800000000000008</v>
      </c>
      <c r="O205" s="4">
        <f>N205-'Sonde étalon'!$C$13</f>
        <v>9.0500000000000007</v>
      </c>
      <c r="R205" s="4">
        <f t="shared" si="96"/>
        <v>-0.11000000000000121</v>
      </c>
      <c r="S205" s="4">
        <f t="shared" si="97"/>
        <v>-0.30000000000000071</v>
      </c>
      <c r="T205" s="4">
        <f t="shared" si="98"/>
        <v>-0.11000000000000121</v>
      </c>
      <c r="U205" s="4">
        <f t="shared" si="99"/>
        <v>-0.24000000000000021</v>
      </c>
      <c r="V205" s="4">
        <f t="shared" si="100"/>
        <v>-0.41999999999999993</v>
      </c>
      <c r="W205" s="4">
        <f t="shared" si="101"/>
        <v>-0.16999999999999993</v>
      </c>
      <c r="X205" s="4">
        <f t="shared" si="102"/>
        <v>-5.0000000000000711E-2</v>
      </c>
      <c r="Y205" s="4">
        <f t="shared" si="103"/>
        <v>-0.11000000000000121</v>
      </c>
      <c r="Z205" s="4">
        <f t="shared" si="104"/>
        <v>-0.49000000000000021</v>
      </c>
      <c r="AC205" s="4">
        <f t="shared" si="105"/>
        <v>9.0490999999999993</v>
      </c>
      <c r="AD205" s="4">
        <f t="shared" si="106"/>
        <v>8.98705</v>
      </c>
      <c r="AE205" s="4">
        <f t="shared" si="107"/>
        <v>9.0298999999999996</v>
      </c>
      <c r="AF205" s="4">
        <f t="shared" si="108"/>
        <v>9.1536000000000008</v>
      </c>
      <c r="AG205" s="4">
        <f t="shared" si="109"/>
        <v>9.016</v>
      </c>
      <c r="AH205" s="4">
        <f t="shared" si="110"/>
        <v>9.2420000000000009</v>
      </c>
      <c r="AI205" s="4">
        <f t="shared" si="111"/>
        <v>8.9644499999999994</v>
      </c>
      <c r="AJ205" s="4">
        <f t="shared" si="112"/>
        <v>9.0347999999999988</v>
      </c>
      <c r="AK205" s="4">
        <f t="shared" si="113"/>
        <v>9.1951499999999999</v>
      </c>
      <c r="AN205" s="4">
        <f t="shared" si="114"/>
        <v>-9.0000000000145519E-4</v>
      </c>
      <c r="AO205" s="4">
        <f t="shared" si="115"/>
        <v>-6.2950000000000728E-2</v>
      </c>
      <c r="AP205" s="4">
        <f t="shared" si="116"/>
        <v>-2.0100000000001117E-2</v>
      </c>
      <c r="AQ205" s="4">
        <f t="shared" si="117"/>
        <v>0.10360000000000014</v>
      </c>
      <c r="AR205" s="4">
        <f t="shared" si="118"/>
        <v>-3.4000000000000696E-2</v>
      </c>
      <c r="AS205" s="4">
        <f t="shared" si="119"/>
        <v>0.19200000000000017</v>
      </c>
      <c r="AT205" s="4">
        <f t="shared" si="120"/>
        <v>-8.5550000000001347E-2</v>
      </c>
      <c r="AU205" s="4">
        <f t="shared" si="121"/>
        <v>-1.5200000000001879E-2</v>
      </c>
      <c r="AV205" s="4">
        <f t="shared" si="122"/>
        <v>0.14514999999999922</v>
      </c>
    </row>
  </sheetData>
  <mergeCells count="5">
    <mergeCell ref="B1:L1"/>
    <mergeCell ref="N1:O1"/>
    <mergeCell ref="R1:Z1"/>
    <mergeCell ref="AC1:AK1"/>
    <mergeCell ref="AN1:A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05"/>
  <sheetViews>
    <sheetView topLeftCell="L1" zoomScale="60" zoomScaleNormal="60" workbookViewId="0">
      <selection activeCell="BA4" sqref="BA4"/>
    </sheetView>
  </sheetViews>
  <sheetFormatPr baseColWidth="10" defaultRowHeight="15.75" x14ac:dyDescent="0.25"/>
  <cols>
    <col min="1" max="1" width="8.375" style="4" customWidth="1"/>
    <col min="2" max="2" width="10.875" style="6" customWidth="1"/>
    <col min="3" max="3" width="11.25" style="8" customWidth="1"/>
    <col min="4" max="14" width="8.375" style="4" customWidth="1"/>
    <col min="16" max="16" width="8.375" style="4" customWidth="1"/>
    <col min="17" max="17" width="11" style="4"/>
    <col min="20" max="30" width="8.375" style="4" customWidth="1"/>
    <col min="32" max="41" width="8.375" style="4" customWidth="1"/>
    <col min="43" max="43" width="8.375" style="4" customWidth="1"/>
    <col min="45" max="53" width="8.375" style="4" customWidth="1"/>
  </cols>
  <sheetData>
    <row r="1" spans="1:53" x14ac:dyDescent="0.25">
      <c r="A1"/>
      <c r="B1" s="42" t="s">
        <v>34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P1" s="43" t="s">
        <v>35</v>
      </c>
      <c r="Q1" s="43"/>
      <c r="T1" s="43" t="s">
        <v>36</v>
      </c>
      <c r="U1" s="43"/>
      <c r="V1" s="43"/>
      <c r="W1" s="43"/>
      <c r="X1" s="43"/>
      <c r="Y1" s="43"/>
      <c r="Z1" s="43"/>
      <c r="AA1" s="43"/>
      <c r="AB1" s="43"/>
      <c r="AC1" s="16"/>
      <c r="AF1" s="43" t="s">
        <v>37</v>
      </c>
      <c r="AG1" s="43"/>
      <c r="AH1" s="43"/>
      <c r="AI1" s="43"/>
      <c r="AJ1" s="43"/>
      <c r="AK1" s="43"/>
      <c r="AL1" s="43"/>
      <c r="AM1" s="43"/>
      <c r="AN1" s="43"/>
      <c r="AO1"/>
      <c r="AQ1"/>
      <c r="AR1" s="43" t="s">
        <v>46</v>
      </c>
      <c r="AS1" s="43"/>
      <c r="AT1" s="43"/>
      <c r="AU1" s="43"/>
      <c r="AV1" s="43"/>
      <c r="AW1" s="43"/>
      <c r="AX1" s="43"/>
      <c r="AY1" s="43"/>
      <c r="AZ1" s="43"/>
      <c r="BA1"/>
    </row>
    <row r="2" spans="1:53" x14ac:dyDescent="0.25">
      <c r="AE2" s="4" t="s">
        <v>31</v>
      </c>
      <c r="AF2" s="4">
        <f t="shared" ref="AF2:AO2" si="0">COUNTA(AF6:AF4997)</f>
        <v>71</v>
      </c>
      <c r="AG2" s="4">
        <f t="shared" si="0"/>
        <v>71</v>
      </c>
      <c r="AH2" s="4">
        <f t="shared" si="0"/>
        <v>71</v>
      </c>
      <c r="AI2" s="4">
        <f t="shared" si="0"/>
        <v>71</v>
      </c>
      <c r="AJ2" s="4">
        <f t="shared" si="0"/>
        <v>71</v>
      </c>
      <c r="AK2" s="4">
        <f t="shared" si="0"/>
        <v>71</v>
      </c>
      <c r="AL2" s="4">
        <f t="shared" si="0"/>
        <v>71</v>
      </c>
      <c r="AM2" s="4">
        <f t="shared" si="0"/>
        <v>71</v>
      </c>
      <c r="AN2" s="4">
        <f t="shared" si="0"/>
        <v>71</v>
      </c>
      <c r="AO2" s="4">
        <f t="shared" si="0"/>
        <v>71</v>
      </c>
      <c r="AQ2" s="4" t="s">
        <v>31</v>
      </c>
      <c r="AR2" s="4">
        <f t="shared" ref="AR2:AZ2" si="1">COUNTA(AR6:AR4995)</f>
        <v>71</v>
      </c>
      <c r="AS2" s="4">
        <f t="shared" si="1"/>
        <v>71</v>
      </c>
      <c r="AT2" s="4">
        <f t="shared" si="1"/>
        <v>71</v>
      </c>
      <c r="AU2" s="4">
        <f t="shared" si="1"/>
        <v>71</v>
      </c>
      <c r="AV2" s="4">
        <f t="shared" si="1"/>
        <v>71</v>
      </c>
      <c r="AW2" s="4">
        <f t="shared" si="1"/>
        <v>71</v>
      </c>
      <c r="AX2" s="4">
        <f t="shared" si="1"/>
        <v>71</v>
      </c>
      <c r="AY2" s="4">
        <f t="shared" si="1"/>
        <v>71</v>
      </c>
      <c r="AZ2" s="4">
        <f t="shared" si="1"/>
        <v>71</v>
      </c>
      <c r="BA2" s="4">
        <f t="shared" ref="BA2" si="2">COUNTA(BA6:BA4997)</f>
        <v>71</v>
      </c>
    </row>
    <row r="3" spans="1:53" x14ac:dyDescent="0.25">
      <c r="S3" s="4" t="s">
        <v>30</v>
      </c>
      <c r="T3" s="4">
        <f t="shared" ref="T3:AC3" si="3">AVERAGE(T6:T4997)</f>
        <v>-0.15183098591549513</v>
      </c>
      <c r="U3" s="4">
        <f t="shared" si="3"/>
        <v>-0.22056338028169201</v>
      </c>
      <c r="V3" s="4">
        <f t="shared" si="3"/>
        <v>-0.24140845070422701</v>
      </c>
      <c r="W3" s="4">
        <f t="shared" si="3"/>
        <v>-0.21563380281690339</v>
      </c>
      <c r="X3" s="4">
        <f t="shared" si="3"/>
        <v>-0.23380281690141028</v>
      </c>
      <c r="Y3" s="4">
        <f t="shared" si="3"/>
        <v>-0.13816901408450902</v>
      </c>
      <c r="Z3" s="4">
        <f t="shared" si="3"/>
        <v>-2.4788732394367571E-2</v>
      </c>
      <c r="AA3" s="4">
        <f t="shared" si="3"/>
        <v>-9.0140845070424372E-2</v>
      </c>
      <c r="AB3" s="4">
        <f t="shared" si="3"/>
        <v>-0.34873239436619913</v>
      </c>
      <c r="AC3" s="4">
        <f t="shared" si="3"/>
        <v>2.6081690140845057</v>
      </c>
      <c r="AE3" s="4" t="s">
        <v>32</v>
      </c>
      <c r="AF3" s="4">
        <f t="shared" ref="AF3:AO3" si="4">STDEV(AF6:AF4997)</f>
        <v>0.20323094474367948</v>
      </c>
      <c r="AG3" s="4">
        <f t="shared" si="4"/>
        <v>0.17067459949705724</v>
      </c>
      <c r="AH3" s="4">
        <f t="shared" si="4"/>
        <v>0.19565223942688853</v>
      </c>
      <c r="AI3" s="4">
        <f t="shared" si="4"/>
        <v>0.18187742129871307</v>
      </c>
      <c r="AJ3" s="4">
        <f t="shared" si="4"/>
        <v>0.20363299926667577</v>
      </c>
      <c r="AK3" s="4">
        <f t="shared" si="4"/>
        <v>0.22160208687974217</v>
      </c>
      <c r="AL3" s="4">
        <f t="shared" si="4"/>
        <v>0.19530072771362839</v>
      </c>
      <c r="AM3" s="4">
        <f t="shared" si="4"/>
        <v>0.20173532872836866</v>
      </c>
      <c r="AN3" s="4">
        <f t="shared" si="4"/>
        <v>0.19955876882081558</v>
      </c>
      <c r="AO3" s="4">
        <f t="shared" si="4"/>
        <v>0.18996981651600009</v>
      </c>
      <c r="AQ3" s="4" t="s">
        <v>32</v>
      </c>
      <c r="AR3" s="4">
        <f t="shared" ref="AR3:AZ3" si="5">STDEV(AR6:AR4995)</f>
        <v>4.2200536867097065E-2</v>
      </c>
      <c r="AS3" s="4">
        <f t="shared" si="5"/>
        <v>7.040469391704815E-2</v>
      </c>
      <c r="AT3" s="4">
        <f t="shared" si="5"/>
        <v>3.8481749835766729E-2</v>
      </c>
      <c r="AU3" s="4">
        <f t="shared" si="5"/>
        <v>4.8158440718889903E-2</v>
      </c>
      <c r="AV3" s="4">
        <f t="shared" si="5"/>
        <v>3.1092773491283861E-2</v>
      </c>
      <c r="AW3" s="4">
        <f t="shared" si="5"/>
        <v>3.9867991427242233E-2</v>
      </c>
      <c r="AX3" s="4">
        <f t="shared" si="5"/>
        <v>4.9334402801683552E-2</v>
      </c>
      <c r="AY3" s="4">
        <f t="shared" si="5"/>
        <v>3.2841304904754738E-2</v>
      </c>
      <c r="AZ3" s="4">
        <f t="shared" si="5"/>
        <v>3.6991488498409282E-2</v>
      </c>
      <c r="BA3" s="4">
        <f t="shared" ref="BA3" si="6">STDEV(BA6:BA4997)</f>
        <v>8.7901078477943151E-2</v>
      </c>
    </row>
    <row r="4" spans="1:53" ht="16.5" thickBot="1" x14ac:dyDescent="0.3">
      <c r="AE4" s="4" t="s">
        <v>33</v>
      </c>
      <c r="AF4" s="4">
        <f>SQRT((AF3/SQRT(AF2))^2+(('Sonde étalon'!$D$14)/2)^2+(0.0625/(2*SQRT(3)))^2+(0.001/(2*SQRT(3)))^2)</f>
        <v>5.0073286113250667E-2</v>
      </c>
      <c r="AG4" s="4">
        <f>SQRT((AG3/SQRT(AG2))^2+(('Sonde étalon'!$D$14)/2)^2+(0.0625/(2*SQRT(3)))^2+(0.001/(2*SQRT(3)))^2)</f>
        <v>4.8330976674314768E-2</v>
      </c>
      <c r="AH4" s="4">
        <f>SQRT((AH3/SQRT(AH2))^2+(('Sonde étalon'!$D$14)/2)^2+(0.0625/(2*SQRT(3)))^2+(0.001/(2*SQRT(3)))^2)</f>
        <v>4.9646311669038351E-2</v>
      </c>
      <c r="AI4" s="4">
        <f>SQRT((AI3/SQRT(AI2))^2+(('Sonde étalon'!$D$14)/2)^2+(0.0625/(2*SQRT(3)))^2+(0.001/(2*SQRT(3)))^2)</f>
        <v>4.890307922728282E-2</v>
      </c>
      <c r="AJ4" s="4">
        <f>SQRT((AJ3/SQRT(AJ2))^2+(('Sonde étalon'!$D$14)/2)^2+(0.0625/(2*SQRT(3)))^2+(0.001/(2*SQRT(3)))^2)</f>
        <v>5.0096286756728073E-2</v>
      </c>
      <c r="AK4" s="4">
        <f>SQRT((AK3/SQRT(AK2))^2+(('Sonde étalon'!$D$14)/2)^2+(0.0625/(2*SQRT(3)))^2+(0.001/(2*SQRT(3)))^2)</f>
        <v>5.1159152492015247E-2</v>
      </c>
      <c r="AL4" s="4">
        <f>SQRT((AL3/SQRT(AL2))^2+(('Sonde étalon'!$D$14)/2)^2+(0.0625/(2*SQRT(3)))^2+(0.001/(2*SQRT(3)))^2)</f>
        <v>4.9626814378270323E-2</v>
      </c>
      <c r="AM4" s="4">
        <f>SQRT((AM3/SQRT(AM2))^2+(('Sonde étalon'!$D$14)/2)^2+(0.0625/(2*SQRT(3)))^2+(0.001/(2*SQRT(3)))^2)</f>
        <v>4.9988032186091248E-2</v>
      </c>
      <c r="AN4" s="4">
        <f>SQRT((AN3/SQRT(AN2))^2+(('Sonde étalon'!$D$14)/2)^2+(0.0625/(2*SQRT(3)))^2+(0.001/(2*SQRT(3)))^2)</f>
        <v>4.9864831103075158E-2</v>
      </c>
      <c r="AO4" s="4">
        <f>SQRT((AO3/SQRT(AO2))^2+(('Sonde étalon'!$D$14)/2)^2+(1/(2*SQRT(3)))^2+(0.001/(2*SQRT(3)))^2)</f>
        <v>0.29230413243455233</v>
      </c>
      <c r="AQ4" s="4" t="s">
        <v>33</v>
      </c>
      <c r="AR4" s="4">
        <f>SQRT((AR3/SQRT(AR2))^2+(('Sonde étalon'!$D$13)/2)^2+(0.0625/(2*SQRT(3)))^2+(0.01/(2*SQRT(3)))^2)</f>
        <v>4.4259880912437655E-2</v>
      </c>
      <c r="AS4" s="4">
        <f>SQRT((AS3/SQRT(AS2))^2+(('Sonde étalon'!$D$13)/2)^2+(0.0625/(2*SQRT(3)))^2+(0.01/(2*SQRT(3)))^2)</f>
        <v>4.476235634883189E-2</v>
      </c>
      <c r="AT4" s="4">
        <f>SQRT((AT3/SQRT(AT2))^2+(('Sonde étalon'!$D$13)/2)^2+(0.0625/(2*SQRT(3)))^2+(0.01/(2*SQRT(3)))^2)</f>
        <v>4.4212115302137707E-2</v>
      </c>
      <c r="AU4" s="4">
        <f>SQRT((AU3/SQRT(AU2))^2+(('Sonde étalon'!$D$13)/2)^2+(0.0625/(2*SQRT(3)))^2+(0.01/(2*SQRT(3)))^2)</f>
        <v>4.4345455845738152E-2</v>
      </c>
      <c r="AV4" s="4">
        <f>SQRT((AV3/SQRT(AV2))^2+(('Sonde étalon'!$D$13)/2)^2+(0.0625/(2*SQRT(3)))^2+(0.01/(2*SQRT(3)))^2)</f>
        <v>4.4130154233015882E-2</v>
      </c>
      <c r="AW4" s="4">
        <f>SQRT((AW3/SQRT(AW2))^2+(('Sonde étalon'!$D$13)/2)^2+(0.0625/(2*SQRT(3)))^2+(0.01/(2*SQRT(3)))^2)</f>
        <v>4.4229411948620671E-2</v>
      </c>
      <c r="AX4" s="4">
        <f>SQRT((AX3/SQRT(AX2))^2+(('Sonde étalon'!$D$13)/2)^2+(0.0625/(2*SQRT(3)))^2+(0.01/(2*SQRT(3)))^2)</f>
        <v>4.4363658698789776E-2</v>
      </c>
      <c r="AY4" s="4">
        <f>SQRT((AY3/SQRT(AY2))^2+(('Sonde étalon'!$D$13)/2)^2+(0.0625/(2*SQRT(3)))^2+(0.01/(2*SQRT(3)))^2)</f>
        <v>4.4147990103259184E-2</v>
      </c>
      <c r="AZ4" s="4">
        <f>SQRT((AZ3/SQRT(AZ2))^2+(('Sonde étalon'!$D$13)/2)^2+(0.0625/(2*SQRT(3)))^2+(0.01/(2*SQRT(3)))^2)</f>
        <v>4.4194196300932666E-2</v>
      </c>
      <c r="BA4" s="4">
        <f>SQRT((BA3/SQRT(BA2))^2+(('Sonde étalon'!$D$14)/2)^2+(1/(2*SQRT(3)))^2+(0.01/(2*SQRT(3)))^2)</f>
        <v>0.29163417497459304</v>
      </c>
    </row>
    <row r="5" spans="1:53" ht="17.25" thickTop="1" thickBot="1" x14ac:dyDescent="0.3">
      <c r="A5" s="3" t="s">
        <v>27</v>
      </c>
      <c r="B5" s="5" t="s">
        <v>0</v>
      </c>
      <c r="C5" s="7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P5" s="3" t="s">
        <v>28</v>
      </c>
      <c r="Q5" s="3" t="s">
        <v>29</v>
      </c>
      <c r="T5" s="3" t="s">
        <v>15</v>
      </c>
      <c r="U5" s="3" t="s">
        <v>16</v>
      </c>
      <c r="V5" s="3" t="s">
        <v>17</v>
      </c>
      <c r="W5" s="3" t="s">
        <v>18</v>
      </c>
      <c r="X5" s="3" t="s">
        <v>19</v>
      </c>
      <c r="Y5" s="3" t="s">
        <v>20</v>
      </c>
      <c r="Z5" s="3" t="s">
        <v>21</v>
      </c>
      <c r="AA5" s="3" t="s">
        <v>22</v>
      </c>
      <c r="AB5" s="3" t="s">
        <v>23</v>
      </c>
      <c r="AC5" s="3" t="s">
        <v>24</v>
      </c>
      <c r="AD5"/>
      <c r="AF5" s="3" t="s">
        <v>15</v>
      </c>
      <c r="AG5" s="3" t="s">
        <v>16</v>
      </c>
      <c r="AH5" s="3" t="s">
        <v>17</v>
      </c>
      <c r="AI5" s="3" t="s">
        <v>18</v>
      </c>
      <c r="AJ5" s="3" t="s">
        <v>19</v>
      </c>
      <c r="AK5" s="3" t="s">
        <v>20</v>
      </c>
      <c r="AL5" s="3" t="s">
        <v>21</v>
      </c>
      <c r="AM5" s="3" t="s">
        <v>22</v>
      </c>
      <c r="AN5" s="3" t="s">
        <v>23</v>
      </c>
      <c r="AO5" s="3" t="s">
        <v>24</v>
      </c>
      <c r="AQ5"/>
      <c r="AR5" s="3" t="s">
        <v>15</v>
      </c>
      <c r="AS5" s="3" t="s">
        <v>16</v>
      </c>
      <c r="AT5" s="3" t="s">
        <v>17</v>
      </c>
      <c r="AU5" s="3" t="s">
        <v>18</v>
      </c>
      <c r="AV5" s="3" t="s">
        <v>19</v>
      </c>
      <c r="AW5" s="3" t="s">
        <v>20</v>
      </c>
      <c r="AX5" s="3" t="s">
        <v>21</v>
      </c>
      <c r="AY5" s="3" t="s">
        <v>22</v>
      </c>
      <c r="AZ5" s="3" t="s">
        <v>23</v>
      </c>
      <c r="BA5" s="3" t="s">
        <v>24</v>
      </c>
    </row>
    <row r="6" spans="1:53" ht="16.5" thickTop="1" x14ac:dyDescent="0.25">
      <c r="A6" s="11">
        <v>3</v>
      </c>
      <c r="B6" s="12">
        <v>43551</v>
      </c>
      <c r="C6" s="13">
        <v>0.66053240740740737</v>
      </c>
      <c r="D6" s="11">
        <v>24</v>
      </c>
      <c r="E6" s="9">
        <v>24</v>
      </c>
      <c r="F6" s="11">
        <v>23.88</v>
      </c>
      <c r="G6" s="11">
        <v>23.94</v>
      </c>
      <c r="H6" s="11">
        <v>23.88</v>
      </c>
      <c r="I6" s="11">
        <v>24</v>
      </c>
      <c r="J6" s="11">
        <v>24.13</v>
      </c>
      <c r="K6" s="11">
        <v>24.06</v>
      </c>
      <c r="L6" s="11">
        <v>23.81</v>
      </c>
      <c r="M6" s="11">
        <v>26.7</v>
      </c>
      <c r="N6" s="11">
        <v>19</v>
      </c>
      <c r="P6" s="4">
        <v>23.93</v>
      </c>
      <c r="Q6" s="4">
        <f>P6-'Sonde étalon'!$C$14</f>
        <v>24.1</v>
      </c>
      <c r="T6" s="4">
        <f t="shared" ref="T6:T67" si="7">D6-Q6</f>
        <v>-0.10000000000000142</v>
      </c>
      <c r="U6" s="4">
        <f t="shared" ref="U6:U67" si="8">E6-Q6</f>
        <v>-0.10000000000000142</v>
      </c>
      <c r="V6" s="4">
        <f t="shared" ref="V6:V67" si="9">F6-Q6</f>
        <v>-0.22000000000000242</v>
      </c>
      <c r="W6" s="4">
        <f t="shared" ref="W6:W67" si="10">G6-Q6</f>
        <v>-0.16000000000000014</v>
      </c>
      <c r="X6" s="4">
        <f t="shared" ref="X6:X67" si="11">H6-Q6</f>
        <v>-0.22000000000000242</v>
      </c>
      <c r="Y6" s="4">
        <f t="shared" ref="Y6:Y67" si="12">I6-Q6</f>
        <v>-0.10000000000000142</v>
      </c>
      <c r="Z6" s="4">
        <f t="shared" ref="Z6:Z67" si="13">J6-Q6</f>
        <v>2.9999999999997584E-2</v>
      </c>
      <c r="AA6" s="4">
        <f t="shared" ref="AA6:AA67" si="14">K6-Q6</f>
        <v>-4.00000000000027E-2</v>
      </c>
      <c r="AB6" s="4">
        <f t="shared" ref="AB6:AB67" si="15">L6-Q6</f>
        <v>-0.2900000000000027</v>
      </c>
      <c r="AC6" s="4">
        <f>M6-Q6</f>
        <v>2.5999999999999979</v>
      </c>
      <c r="AF6" s="4">
        <f t="shared" ref="AF6" si="16">D6-$T$3</f>
        <v>24.151830985915495</v>
      </c>
      <c r="AG6" s="4">
        <f>E6-$U$3</f>
        <v>24.220563380281693</v>
      </c>
      <c r="AH6" s="4">
        <f>F6-$V$3</f>
        <v>24.121408450704227</v>
      </c>
      <c r="AI6" s="4">
        <f>G6-$W$3</f>
        <v>24.155633802816904</v>
      </c>
      <c r="AJ6" s="4">
        <f>H6-$X$3</f>
        <v>24.113802816901408</v>
      </c>
      <c r="AK6" s="4">
        <f>I6-$Y$3</f>
        <v>24.138169014084507</v>
      </c>
      <c r="AL6" s="4">
        <f>J6-$Z$3</f>
        <v>24.154788732394366</v>
      </c>
      <c r="AM6" s="4">
        <f>K6-$AA$3</f>
        <v>24.150140845070425</v>
      </c>
      <c r="AN6" s="4">
        <f>L6-$AB$3</f>
        <v>24.158732394366197</v>
      </c>
      <c r="AO6" s="4">
        <f>M6-$AC$3</f>
        <v>24.091830985915493</v>
      </c>
      <c r="AQ6"/>
      <c r="AR6" s="4">
        <f>AF6-Q6</f>
        <v>5.1830985915493955E-2</v>
      </c>
      <c r="AS6" s="4">
        <f>AG6-Q6</f>
        <v>0.12056338028169122</v>
      </c>
      <c r="AT6" s="4">
        <f>AH6-Q6</f>
        <v>2.1408450704225146E-2</v>
      </c>
      <c r="AU6" s="4">
        <f>AI6-Q6</f>
        <v>5.5633802816903E-2</v>
      </c>
      <c r="AV6" s="4">
        <f>AJ6-Q6</f>
        <v>1.3802816901407056E-2</v>
      </c>
      <c r="AW6" s="4">
        <f>AK6-Q6</f>
        <v>3.8169014084505903E-2</v>
      </c>
      <c r="AX6" s="4">
        <f>AL6-Q6</f>
        <v>5.4788732394364104E-2</v>
      </c>
      <c r="AY6" s="4">
        <f>AM6-Q6</f>
        <v>5.0140845070423268E-2</v>
      </c>
      <c r="AZ6" s="4">
        <f>AN6-Q6</f>
        <v>5.8732394366195706E-2</v>
      </c>
      <c r="BA6" s="4">
        <f>AO6-Q6</f>
        <v>-8.1690140845083192E-3</v>
      </c>
    </row>
    <row r="7" spans="1:53" x14ac:dyDescent="0.25">
      <c r="A7" s="11">
        <v>4</v>
      </c>
      <c r="B7" s="12">
        <v>43551</v>
      </c>
      <c r="C7" s="14">
        <v>0.66122685185185182</v>
      </c>
      <c r="D7" s="11">
        <v>24</v>
      </c>
      <c r="E7" s="11">
        <v>24</v>
      </c>
      <c r="F7" s="11">
        <v>23.88</v>
      </c>
      <c r="G7" s="11">
        <v>24</v>
      </c>
      <c r="H7" s="11">
        <v>23.94</v>
      </c>
      <c r="I7" s="11">
        <v>24</v>
      </c>
      <c r="J7" s="11">
        <v>24.19</v>
      </c>
      <c r="K7" s="11">
        <v>24.06</v>
      </c>
      <c r="L7" s="11">
        <v>23.81</v>
      </c>
      <c r="M7" s="11">
        <v>26.7</v>
      </c>
      <c r="N7" s="11">
        <v>19</v>
      </c>
      <c r="P7" s="4">
        <v>23.97</v>
      </c>
      <c r="Q7" s="4">
        <f>P7-'Sonde étalon'!$C$14</f>
        <v>24.14</v>
      </c>
      <c r="T7" s="4">
        <f t="shared" si="7"/>
        <v>-0.14000000000000057</v>
      </c>
      <c r="U7" s="4">
        <f t="shared" si="8"/>
        <v>-0.14000000000000057</v>
      </c>
      <c r="V7" s="4">
        <f t="shared" si="9"/>
        <v>-0.26000000000000156</v>
      </c>
      <c r="W7" s="4">
        <f t="shared" si="10"/>
        <v>-0.14000000000000057</v>
      </c>
      <c r="X7" s="4">
        <f t="shared" si="11"/>
        <v>-0.19999999999999929</v>
      </c>
      <c r="Y7" s="4">
        <f t="shared" si="12"/>
        <v>-0.14000000000000057</v>
      </c>
      <c r="Z7" s="4">
        <f t="shared" si="13"/>
        <v>5.0000000000000711E-2</v>
      </c>
      <c r="AA7" s="4">
        <f t="shared" si="14"/>
        <v>-8.0000000000001847E-2</v>
      </c>
      <c r="AB7" s="4">
        <f t="shared" si="15"/>
        <v>-0.33000000000000185</v>
      </c>
      <c r="AC7" s="4">
        <f t="shared" ref="AC7:AC70" si="17">M7-Q7</f>
        <v>2.5599999999999987</v>
      </c>
      <c r="AF7" s="4">
        <f t="shared" ref="AF7:AF70" si="18">D7-$T$3</f>
        <v>24.151830985915495</v>
      </c>
      <c r="AG7" s="4">
        <f t="shared" ref="AG7:AG70" si="19">E7-$U$3</f>
        <v>24.220563380281693</v>
      </c>
      <c r="AH7" s="4">
        <f t="shared" ref="AH7:AH70" si="20">F7-$V$3</f>
        <v>24.121408450704227</v>
      </c>
      <c r="AI7" s="4">
        <f t="shared" ref="AI7:AI70" si="21">G7-$W$3</f>
        <v>24.215633802816903</v>
      </c>
      <c r="AJ7" s="4">
        <f t="shared" ref="AJ7:AJ70" si="22">H7-$X$3</f>
        <v>24.173802816901411</v>
      </c>
      <c r="AK7" s="4">
        <f t="shared" ref="AK7:AK70" si="23">I7-$Y$3</f>
        <v>24.138169014084507</v>
      </c>
      <c r="AL7" s="4">
        <f t="shared" ref="AL7:AL70" si="24">J7-$Z$3</f>
        <v>24.214788732394368</v>
      </c>
      <c r="AM7" s="4">
        <f t="shared" ref="AM7:AM70" si="25">K7-$AA$3</f>
        <v>24.150140845070425</v>
      </c>
      <c r="AN7" s="4">
        <f t="shared" ref="AN7:AN70" si="26">L7-$AB$3</f>
        <v>24.158732394366197</v>
      </c>
      <c r="AO7" s="4">
        <f t="shared" ref="AO7:AO70" si="27">M7-$AC$3</f>
        <v>24.091830985915493</v>
      </c>
      <c r="AQ7"/>
      <c r="AR7" s="4">
        <f t="shared" ref="AR7:AR70" si="28">AF7-Q7</f>
        <v>1.1830985915494807E-2</v>
      </c>
      <c r="AS7" s="4">
        <f t="shared" ref="AS7:AS70" si="29">AG7-Q7</f>
        <v>8.0563380281692076E-2</v>
      </c>
      <c r="AT7" s="4">
        <f t="shared" ref="AT7:AT70" si="30">AH7-Q7</f>
        <v>-1.8591549295774001E-2</v>
      </c>
      <c r="AU7" s="4">
        <f t="shared" ref="AU7:AU70" si="31">AI7-Q7</f>
        <v>7.5633802816902573E-2</v>
      </c>
      <c r="AV7" s="4">
        <f t="shared" ref="AV7:AV70" si="32">AJ7-Q7</f>
        <v>3.3802816901410182E-2</v>
      </c>
      <c r="AW7" s="4">
        <f t="shared" ref="AW7:AW70" si="33">AK7-Q7</f>
        <v>-1.830985915493244E-3</v>
      </c>
      <c r="AX7" s="4">
        <f t="shared" ref="AX7:AX70" si="34">AL7-Q7</f>
        <v>7.478873239436723E-2</v>
      </c>
      <c r="AY7" s="4">
        <f t="shared" ref="AY7:AY70" si="35">AM7-Q7</f>
        <v>1.014084507042412E-2</v>
      </c>
      <c r="AZ7" s="4">
        <f t="shared" ref="AZ7:AZ70" si="36">AN7-Q7</f>
        <v>1.8732394366196559E-2</v>
      </c>
      <c r="BA7" s="4">
        <f t="shared" ref="BA7:BA70" si="37">AO7-Q7</f>
        <v>-4.8169014084507467E-2</v>
      </c>
    </row>
    <row r="8" spans="1:53" x14ac:dyDescent="0.25">
      <c r="A8" s="11">
        <v>5</v>
      </c>
      <c r="B8" s="12">
        <v>43551</v>
      </c>
      <c r="C8" s="13">
        <v>0.66192129629629626</v>
      </c>
      <c r="D8" s="11">
        <v>24.06</v>
      </c>
      <c r="E8" s="11">
        <v>24.06</v>
      </c>
      <c r="F8" s="11">
        <v>23.94</v>
      </c>
      <c r="G8" s="11">
        <v>24</v>
      </c>
      <c r="H8" s="11">
        <v>23.94</v>
      </c>
      <c r="I8" s="11">
        <v>24</v>
      </c>
      <c r="J8" s="11">
        <v>24.19</v>
      </c>
      <c r="K8" s="11">
        <v>24.06</v>
      </c>
      <c r="L8" s="11">
        <v>23.88</v>
      </c>
      <c r="M8" s="11">
        <v>26.7</v>
      </c>
      <c r="N8" s="11">
        <v>19</v>
      </c>
      <c r="P8" s="4">
        <v>23.94</v>
      </c>
      <c r="Q8" s="4">
        <f>P8-'Sonde étalon'!$C$14</f>
        <v>24.110000000000003</v>
      </c>
      <c r="T8" s="4">
        <f t="shared" si="7"/>
        <v>-5.0000000000004263E-2</v>
      </c>
      <c r="U8" s="4">
        <f t="shared" si="8"/>
        <v>-5.0000000000004263E-2</v>
      </c>
      <c r="V8" s="4">
        <f t="shared" si="9"/>
        <v>-0.17000000000000171</v>
      </c>
      <c r="W8" s="4">
        <f t="shared" si="10"/>
        <v>-0.11000000000000298</v>
      </c>
      <c r="X8" s="4">
        <f t="shared" si="11"/>
        <v>-0.17000000000000171</v>
      </c>
      <c r="Y8" s="4">
        <f t="shared" si="12"/>
        <v>-0.11000000000000298</v>
      </c>
      <c r="Z8" s="4">
        <f t="shared" si="13"/>
        <v>7.9999999999998295E-2</v>
      </c>
      <c r="AA8" s="4">
        <f t="shared" si="14"/>
        <v>-5.0000000000004263E-2</v>
      </c>
      <c r="AB8" s="4">
        <f t="shared" si="15"/>
        <v>-0.23000000000000398</v>
      </c>
      <c r="AC8" s="4">
        <f t="shared" si="17"/>
        <v>2.5899999999999963</v>
      </c>
      <c r="AF8" s="4">
        <f t="shared" si="18"/>
        <v>24.211830985915494</v>
      </c>
      <c r="AG8" s="4">
        <f t="shared" si="19"/>
        <v>24.280563380281691</v>
      </c>
      <c r="AH8" s="4">
        <f t="shared" si="20"/>
        <v>24.181408450704229</v>
      </c>
      <c r="AI8" s="4">
        <f t="shared" si="21"/>
        <v>24.215633802816903</v>
      </c>
      <c r="AJ8" s="4">
        <f t="shared" si="22"/>
        <v>24.173802816901411</v>
      </c>
      <c r="AK8" s="4">
        <f t="shared" si="23"/>
        <v>24.138169014084507</v>
      </c>
      <c r="AL8" s="4">
        <f t="shared" si="24"/>
        <v>24.214788732394368</v>
      </c>
      <c r="AM8" s="4">
        <f t="shared" si="25"/>
        <v>24.150140845070425</v>
      </c>
      <c r="AN8" s="4">
        <f t="shared" si="26"/>
        <v>24.228732394366197</v>
      </c>
      <c r="AO8" s="4">
        <f t="shared" si="27"/>
        <v>24.091830985915493</v>
      </c>
      <c r="AQ8"/>
      <c r="AR8" s="4">
        <f t="shared" si="28"/>
        <v>0.10183098591549111</v>
      </c>
      <c r="AS8" s="4">
        <f t="shared" si="29"/>
        <v>0.17056338028168838</v>
      </c>
      <c r="AT8" s="4">
        <f t="shared" si="30"/>
        <v>7.1408450704225856E-2</v>
      </c>
      <c r="AU8" s="4">
        <f t="shared" si="31"/>
        <v>0.10563380281690016</v>
      </c>
      <c r="AV8" s="4">
        <f t="shared" si="32"/>
        <v>6.3802816901407766E-2</v>
      </c>
      <c r="AW8" s="4">
        <f t="shared" si="33"/>
        <v>2.816901408450434E-2</v>
      </c>
      <c r="AX8" s="4">
        <f t="shared" si="34"/>
        <v>0.10478873239436481</v>
      </c>
      <c r="AY8" s="4">
        <f t="shared" si="35"/>
        <v>4.0140845070421705E-2</v>
      </c>
      <c r="AZ8" s="4">
        <f t="shared" si="36"/>
        <v>0.11873239436619443</v>
      </c>
      <c r="BA8" s="4">
        <f t="shared" si="37"/>
        <v>-1.8169014084509882E-2</v>
      </c>
    </row>
    <row r="9" spans="1:53" x14ac:dyDescent="0.25">
      <c r="A9" s="11">
        <v>6</v>
      </c>
      <c r="B9" s="12">
        <v>43551</v>
      </c>
      <c r="C9" s="13">
        <v>0.66261574074074081</v>
      </c>
      <c r="D9" s="11">
        <v>24.06</v>
      </c>
      <c r="E9" s="11">
        <v>24.06</v>
      </c>
      <c r="F9" s="11">
        <v>23.94</v>
      </c>
      <c r="G9" s="11">
        <v>24</v>
      </c>
      <c r="H9" s="11">
        <v>23.94</v>
      </c>
      <c r="I9" s="11">
        <v>24</v>
      </c>
      <c r="J9" s="11">
        <v>24.19</v>
      </c>
      <c r="K9" s="11">
        <v>24.13</v>
      </c>
      <c r="L9" s="11">
        <v>23.81</v>
      </c>
      <c r="M9" s="11">
        <v>26.8</v>
      </c>
      <c r="N9" s="11">
        <v>19</v>
      </c>
      <c r="P9" s="4">
        <v>23.97</v>
      </c>
      <c r="Q9" s="4">
        <f>P9-'Sonde étalon'!$C$14</f>
        <v>24.14</v>
      </c>
      <c r="T9" s="4">
        <f t="shared" si="7"/>
        <v>-8.0000000000001847E-2</v>
      </c>
      <c r="U9" s="4">
        <f t="shared" si="8"/>
        <v>-8.0000000000001847E-2</v>
      </c>
      <c r="V9" s="4">
        <f t="shared" si="9"/>
        <v>-0.19999999999999929</v>
      </c>
      <c r="W9" s="4">
        <f t="shared" si="10"/>
        <v>-0.14000000000000057</v>
      </c>
      <c r="X9" s="4">
        <f t="shared" si="11"/>
        <v>-0.19999999999999929</v>
      </c>
      <c r="Y9" s="4">
        <f t="shared" si="12"/>
        <v>-0.14000000000000057</v>
      </c>
      <c r="Z9" s="4">
        <f t="shared" si="13"/>
        <v>5.0000000000000711E-2</v>
      </c>
      <c r="AA9" s="4">
        <f t="shared" si="14"/>
        <v>-1.0000000000001563E-2</v>
      </c>
      <c r="AB9" s="4">
        <f t="shared" si="15"/>
        <v>-0.33000000000000185</v>
      </c>
      <c r="AC9" s="4">
        <f t="shared" si="17"/>
        <v>2.66</v>
      </c>
      <c r="AF9" s="4">
        <f t="shared" si="18"/>
        <v>24.211830985915494</v>
      </c>
      <c r="AG9" s="4">
        <f t="shared" si="19"/>
        <v>24.280563380281691</v>
      </c>
      <c r="AH9" s="4">
        <f t="shared" si="20"/>
        <v>24.181408450704229</v>
      </c>
      <c r="AI9" s="4">
        <f t="shared" si="21"/>
        <v>24.215633802816903</v>
      </c>
      <c r="AJ9" s="4">
        <f t="shared" si="22"/>
        <v>24.173802816901411</v>
      </c>
      <c r="AK9" s="4">
        <f t="shared" si="23"/>
        <v>24.138169014084507</v>
      </c>
      <c r="AL9" s="4">
        <f t="shared" si="24"/>
        <v>24.214788732394368</v>
      </c>
      <c r="AM9" s="4">
        <f t="shared" si="25"/>
        <v>24.220140845070425</v>
      </c>
      <c r="AN9" s="4">
        <f t="shared" si="26"/>
        <v>24.158732394366197</v>
      </c>
      <c r="AO9" s="4">
        <f t="shared" si="27"/>
        <v>24.191830985915495</v>
      </c>
      <c r="AQ9"/>
      <c r="AR9" s="4">
        <f t="shared" si="28"/>
        <v>7.1830985915493528E-2</v>
      </c>
      <c r="AS9" s="4">
        <f t="shared" si="29"/>
        <v>0.1405633802816908</v>
      </c>
      <c r="AT9" s="4">
        <f t="shared" si="30"/>
        <v>4.1408450704228272E-2</v>
      </c>
      <c r="AU9" s="4">
        <f t="shared" si="31"/>
        <v>7.5633802816902573E-2</v>
      </c>
      <c r="AV9" s="4">
        <f t="shared" si="32"/>
        <v>3.3802816901410182E-2</v>
      </c>
      <c r="AW9" s="4">
        <f t="shared" si="33"/>
        <v>-1.830985915493244E-3</v>
      </c>
      <c r="AX9" s="4">
        <f t="shared" si="34"/>
        <v>7.478873239436723E-2</v>
      </c>
      <c r="AY9" s="4">
        <f t="shared" si="35"/>
        <v>8.0140845070424405E-2</v>
      </c>
      <c r="AZ9" s="4">
        <f t="shared" si="36"/>
        <v>1.8732394366196559E-2</v>
      </c>
      <c r="BA9" s="4">
        <f t="shared" si="37"/>
        <v>5.1830985915493955E-2</v>
      </c>
    </row>
    <row r="10" spans="1:53" x14ac:dyDescent="0.25">
      <c r="A10" s="11">
        <v>7</v>
      </c>
      <c r="B10" s="12">
        <v>43551</v>
      </c>
      <c r="C10" s="15">
        <v>0.66331018518518514</v>
      </c>
      <c r="D10" s="11">
        <v>24.06</v>
      </c>
      <c r="E10" s="11">
        <v>24.06</v>
      </c>
      <c r="F10" s="11">
        <v>23.94</v>
      </c>
      <c r="G10" s="11">
        <v>24.06</v>
      </c>
      <c r="H10" s="11">
        <v>23.94</v>
      </c>
      <c r="I10" s="11">
        <v>24.06</v>
      </c>
      <c r="J10" s="11">
        <v>24.25</v>
      </c>
      <c r="K10" s="11">
        <v>24.13</v>
      </c>
      <c r="L10" s="11">
        <v>23.88</v>
      </c>
      <c r="M10" s="11">
        <v>26.8</v>
      </c>
      <c r="N10" s="11">
        <v>19</v>
      </c>
      <c r="P10" s="4">
        <v>24.02</v>
      </c>
      <c r="Q10" s="4">
        <f>P10-'Sonde étalon'!$C$14</f>
        <v>24.19</v>
      </c>
      <c r="T10" s="4">
        <f t="shared" si="7"/>
        <v>-0.13000000000000256</v>
      </c>
      <c r="U10" s="4">
        <f t="shared" si="8"/>
        <v>-0.13000000000000256</v>
      </c>
      <c r="V10" s="4">
        <f t="shared" si="9"/>
        <v>-0.25</v>
      </c>
      <c r="W10" s="4">
        <f t="shared" si="10"/>
        <v>-0.13000000000000256</v>
      </c>
      <c r="X10" s="4">
        <f t="shared" si="11"/>
        <v>-0.25</v>
      </c>
      <c r="Y10" s="4">
        <f t="shared" si="12"/>
        <v>-0.13000000000000256</v>
      </c>
      <c r="Z10" s="4">
        <f t="shared" si="13"/>
        <v>5.9999999999998721E-2</v>
      </c>
      <c r="AA10" s="4">
        <f t="shared" si="14"/>
        <v>-6.0000000000002274E-2</v>
      </c>
      <c r="AB10" s="4">
        <f t="shared" si="15"/>
        <v>-0.31000000000000227</v>
      </c>
      <c r="AC10" s="4">
        <f t="shared" si="17"/>
        <v>2.6099999999999994</v>
      </c>
      <c r="AF10" s="4">
        <f t="shared" si="18"/>
        <v>24.211830985915494</v>
      </c>
      <c r="AG10" s="4">
        <f t="shared" si="19"/>
        <v>24.280563380281691</v>
      </c>
      <c r="AH10" s="4">
        <f t="shared" si="20"/>
        <v>24.181408450704229</v>
      </c>
      <c r="AI10" s="4">
        <f t="shared" si="21"/>
        <v>24.275633802816902</v>
      </c>
      <c r="AJ10" s="4">
        <f t="shared" si="22"/>
        <v>24.173802816901411</v>
      </c>
      <c r="AK10" s="4">
        <f t="shared" si="23"/>
        <v>24.198169014084506</v>
      </c>
      <c r="AL10" s="4">
        <f t="shared" si="24"/>
        <v>24.274788732394367</v>
      </c>
      <c r="AM10" s="4">
        <f t="shared" si="25"/>
        <v>24.220140845070425</v>
      </c>
      <c r="AN10" s="4">
        <f t="shared" si="26"/>
        <v>24.228732394366197</v>
      </c>
      <c r="AO10" s="4">
        <f t="shared" si="27"/>
        <v>24.191830985915495</v>
      </c>
      <c r="AQ10"/>
      <c r="AR10" s="4">
        <f t="shared" si="28"/>
        <v>2.1830985915492818E-2</v>
      </c>
      <c r="AS10" s="4">
        <f t="shared" si="29"/>
        <v>9.0563380281690087E-2</v>
      </c>
      <c r="AT10" s="4">
        <f t="shared" si="30"/>
        <v>-8.5915492957724382E-3</v>
      </c>
      <c r="AU10" s="4">
        <f t="shared" si="31"/>
        <v>8.5633802816900584E-2</v>
      </c>
      <c r="AV10" s="4">
        <f t="shared" si="32"/>
        <v>-1.6197183098590529E-2</v>
      </c>
      <c r="AW10" s="4">
        <f t="shared" si="33"/>
        <v>8.1690140845047665E-3</v>
      </c>
      <c r="AX10" s="4">
        <f t="shared" si="34"/>
        <v>8.478873239436524E-2</v>
      </c>
      <c r="AY10" s="4">
        <f t="shared" si="35"/>
        <v>3.0140845070423694E-2</v>
      </c>
      <c r="AZ10" s="4">
        <f t="shared" si="36"/>
        <v>3.8732394366196132E-2</v>
      </c>
      <c r="BA10" s="4">
        <f t="shared" si="37"/>
        <v>1.830985915493244E-3</v>
      </c>
    </row>
    <row r="11" spans="1:53" x14ac:dyDescent="0.25">
      <c r="A11" s="11">
        <v>8</v>
      </c>
      <c r="B11" s="12">
        <v>43551</v>
      </c>
      <c r="C11" s="13">
        <v>0.66400462962962969</v>
      </c>
      <c r="D11" s="11">
        <v>24.06</v>
      </c>
      <c r="E11" s="11">
        <v>24.06</v>
      </c>
      <c r="F11" s="11">
        <v>23.94</v>
      </c>
      <c r="G11" s="11">
        <v>24</v>
      </c>
      <c r="H11" s="11">
        <v>23.94</v>
      </c>
      <c r="I11" s="11">
        <v>24.06</v>
      </c>
      <c r="J11" s="11">
        <v>24.25</v>
      </c>
      <c r="K11" s="11">
        <v>24.13</v>
      </c>
      <c r="L11" s="11">
        <v>23.88</v>
      </c>
      <c r="M11" s="11">
        <v>26.8</v>
      </c>
      <c r="N11" s="11">
        <v>19</v>
      </c>
      <c r="P11" s="4">
        <v>24</v>
      </c>
      <c r="Q11" s="4">
        <f>P11-'Sonde étalon'!$C$14</f>
        <v>24.17</v>
      </c>
      <c r="T11" s="4">
        <f t="shared" si="7"/>
        <v>-0.11000000000000298</v>
      </c>
      <c r="U11" s="4">
        <f t="shared" si="8"/>
        <v>-0.11000000000000298</v>
      </c>
      <c r="V11" s="4">
        <f t="shared" si="9"/>
        <v>-0.23000000000000043</v>
      </c>
      <c r="W11" s="4">
        <f t="shared" si="10"/>
        <v>-0.17000000000000171</v>
      </c>
      <c r="X11" s="4">
        <f t="shared" si="11"/>
        <v>-0.23000000000000043</v>
      </c>
      <c r="Y11" s="4">
        <f t="shared" si="12"/>
        <v>-0.11000000000000298</v>
      </c>
      <c r="Z11" s="4">
        <f t="shared" si="13"/>
        <v>7.9999999999998295E-2</v>
      </c>
      <c r="AA11" s="4">
        <f t="shared" si="14"/>
        <v>-4.00000000000027E-2</v>
      </c>
      <c r="AB11" s="4">
        <f t="shared" si="15"/>
        <v>-0.2900000000000027</v>
      </c>
      <c r="AC11" s="4">
        <f t="shared" si="17"/>
        <v>2.629999999999999</v>
      </c>
      <c r="AF11" s="4">
        <f t="shared" si="18"/>
        <v>24.211830985915494</v>
      </c>
      <c r="AG11" s="4">
        <f t="shared" si="19"/>
        <v>24.280563380281691</v>
      </c>
      <c r="AH11" s="4">
        <f t="shared" si="20"/>
        <v>24.181408450704229</v>
      </c>
      <c r="AI11" s="4">
        <f t="shared" si="21"/>
        <v>24.215633802816903</v>
      </c>
      <c r="AJ11" s="4">
        <f t="shared" si="22"/>
        <v>24.173802816901411</v>
      </c>
      <c r="AK11" s="4">
        <f t="shared" si="23"/>
        <v>24.198169014084506</v>
      </c>
      <c r="AL11" s="4">
        <f t="shared" si="24"/>
        <v>24.274788732394367</v>
      </c>
      <c r="AM11" s="4">
        <f t="shared" si="25"/>
        <v>24.220140845070425</v>
      </c>
      <c r="AN11" s="4">
        <f t="shared" si="26"/>
        <v>24.228732394366197</v>
      </c>
      <c r="AO11" s="4">
        <f t="shared" si="27"/>
        <v>24.191830985915495</v>
      </c>
      <c r="AQ11"/>
      <c r="AR11" s="4">
        <f t="shared" si="28"/>
        <v>4.1830985915492391E-2</v>
      </c>
      <c r="AS11" s="4">
        <f t="shared" si="29"/>
        <v>0.11056338028168966</v>
      </c>
      <c r="AT11" s="4">
        <f t="shared" si="30"/>
        <v>1.1408450704227135E-2</v>
      </c>
      <c r="AU11" s="4">
        <f t="shared" si="31"/>
        <v>4.5633802816901436E-2</v>
      </c>
      <c r="AV11" s="4">
        <f t="shared" si="32"/>
        <v>3.8028169014090452E-3</v>
      </c>
      <c r="AW11" s="4">
        <f t="shared" si="33"/>
        <v>2.816901408450434E-2</v>
      </c>
      <c r="AX11" s="4">
        <f t="shared" si="34"/>
        <v>0.10478873239436481</v>
      </c>
      <c r="AY11" s="4">
        <f t="shared" si="35"/>
        <v>5.0140845070423268E-2</v>
      </c>
      <c r="AZ11" s="4">
        <f t="shared" si="36"/>
        <v>5.8732394366195706E-2</v>
      </c>
      <c r="BA11" s="4">
        <f t="shared" si="37"/>
        <v>2.1830985915492818E-2</v>
      </c>
    </row>
    <row r="12" spans="1:53" x14ac:dyDescent="0.25">
      <c r="A12" s="11">
        <v>9</v>
      </c>
      <c r="B12" s="12">
        <v>43551</v>
      </c>
      <c r="C12" s="14">
        <v>0.66469907407407403</v>
      </c>
      <c r="D12" s="11">
        <v>24.06</v>
      </c>
      <c r="E12" s="11">
        <v>24.13</v>
      </c>
      <c r="F12" s="11">
        <v>24</v>
      </c>
      <c r="G12" s="11">
        <v>24.06</v>
      </c>
      <c r="H12" s="11">
        <v>24</v>
      </c>
      <c r="I12" s="11">
        <v>24.06</v>
      </c>
      <c r="J12" s="11">
        <v>24.25</v>
      </c>
      <c r="K12" s="11">
        <v>24.13</v>
      </c>
      <c r="L12" s="11">
        <v>23.88</v>
      </c>
      <c r="M12" s="11">
        <v>26.8</v>
      </c>
      <c r="N12" s="11">
        <v>19</v>
      </c>
      <c r="P12" s="4">
        <v>24.02</v>
      </c>
      <c r="Q12" s="4">
        <f>P12-'Sonde étalon'!$C$14</f>
        <v>24.19</v>
      </c>
      <c r="T12" s="4">
        <f t="shared" si="7"/>
        <v>-0.13000000000000256</v>
      </c>
      <c r="U12" s="4">
        <f t="shared" si="8"/>
        <v>-6.0000000000002274E-2</v>
      </c>
      <c r="V12" s="4">
        <f t="shared" si="9"/>
        <v>-0.19000000000000128</v>
      </c>
      <c r="W12" s="4">
        <f t="shared" si="10"/>
        <v>-0.13000000000000256</v>
      </c>
      <c r="X12" s="4">
        <f t="shared" si="11"/>
        <v>-0.19000000000000128</v>
      </c>
      <c r="Y12" s="4">
        <f t="shared" si="12"/>
        <v>-0.13000000000000256</v>
      </c>
      <c r="Z12" s="4">
        <f t="shared" si="13"/>
        <v>5.9999999999998721E-2</v>
      </c>
      <c r="AA12" s="4">
        <f t="shared" si="14"/>
        <v>-6.0000000000002274E-2</v>
      </c>
      <c r="AB12" s="4">
        <f t="shared" si="15"/>
        <v>-0.31000000000000227</v>
      </c>
      <c r="AC12" s="4">
        <f t="shared" si="17"/>
        <v>2.6099999999999994</v>
      </c>
      <c r="AF12" s="4">
        <f t="shared" si="18"/>
        <v>24.211830985915494</v>
      </c>
      <c r="AG12" s="4">
        <f t="shared" si="19"/>
        <v>24.350563380281692</v>
      </c>
      <c r="AH12" s="4">
        <f t="shared" si="20"/>
        <v>24.241408450704228</v>
      </c>
      <c r="AI12" s="4">
        <f t="shared" si="21"/>
        <v>24.275633802816902</v>
      </c>
      <c r="AJ12" s="4">
        <f t="shared" si="22"/>
        <v>24.233802816901409</v>
      </c>
      <c r="AK12" s="4">
        <f t="shared" si="23"/>
        <v>24.198169014084506</v>
      </c>
      <c r="AL12" s="4">
        <f t="shared" si="24"/>
        <v>24.274788732394367</v>
      </c>
      <c r="AM12" s="4">
        <f t="shared" si="25"/>
        <v>24.220140845070425</v>
      </c>
      <c r="AN12" s="4">
        <f t="shared" si="26"/>
        <v>24.228732394366197</v>
      </c>
      <c r="AO12" s="4">
        <f t="shared" si="27"/>
        <v>24.191830985915495</v>
      </c>
      <c r="AQ12"/>
      <c r="AR12" s="4">
        <f t="shared" si="28"/>
        <v>2.1830985915492818E-2</v>
      </c>
      <c r="AS12" s="4">
        <f t="shared" si="29"/>
        <v>0.16056338028169037</v>
      </c>
      <c r="AT12" s="4">
        <f t="shared" si="30"/>
        <v>5.1408450704226283E-2</v>
      </c>
      <c r="AU12" s="4">
        <f t="shared" si="31"/>
        <v>8.5633802816900584E-2</v>
      </c>
      <c r="AV12" s="4">
        <f t="shared" si="32"/>
        <v>4.3802816901408193E-2</v>
      </c>
      <c r="AW12" s="4">
        <f t="shared" si="33"/>
        <v>8.1690140845047665E-3</v>
      </c>
      <c r="AX12" s="4">
        <f t="shared" si="34"/>
        <v>8.478873239436524E-2</v>
      </c>
      <c r="AY12" s="4">
        <f t="shared" si="35"/>
        <v>3.0140845070423694E-2</v>
      </c>
      <c r="AZ12" s="4">
        <f t="shared" si="36"/>
        <v>3.8732394366196132E-2</v>
      </c>
      <c r="BA12" s="4">
        <f t="shared" si="37"/>
        <v>1.830985915493244E-3</v>
      </c>
    </row>
    <row r="13" spans="1:53" x14ac:dyDescent="0.25">
      <c r="A13" s="11">
        <v>10</v>
      </c>
      <c r="B13" s="12">
        <v>43551</v>
      </c>
      <c r="C13" s="13">
        <v>0.66539351851851858</v>
      </c>
      <c r="D13" s="11">
        <v>24.06</v>
      </c>
      <c r="E13" s="11">
        <v>24.06</v>
      </c>
      <c r="F13" s="11">
        <v>24</v>
      </c>
      <c r="G13" s="11">
        <v>24.06</v>
      </c>
      <c r="H13" s="11">
        <v>24</v>
      </c>
      <c r="I13" s="11">
        <v>24.06</v>
      </c>
      <c r="J13" s="11">
        <v>24.25</v>
      </c>
      <c r="K13" s="11">
        <v>24.13</v>
      </c>
      <c r="L13" s="11">
        <v>23.88</v>
      </c>
      <c r="M13" s="11">
        <v>26.8</v>
      </c>
      <c r="N13" s="11">
        <v>18</v>
      </c>
      <c r="P13" s="4">
        <v>24.03</v>
      </c>
      <c r="Q13" s="4">
        <f>P13-'Sonde étalon'!$C$14</f>
        <v>24.200000000000003</v>
      </c>
      <c r="T13" s="4">
        <f t="shared" si="7"/>
        <v>-0.14000000000000412</v>
      </c>
      <c r="U13" s="4">
        <f t="shared" si="8"/>
        <v>-0.14000000000000412</v>
      </c>
      <c r="V13" s="4">
        <f t="shared" si="9"/>
        <v>-0.20000000000000284</v>
      </c>
      <c r="W13" s="4">
        <f t="shared" si="10"/>
        <v>-0.14000000000000412</v>
      </c>
      <c r="X13" s="4">
        <f t="shared" si="11"/>
        <v>-0.20000000000000284</v>
      </c>
      <c r="Y13" s="4">
        <f t="shared" si="12"/>
        <v>-0.14000000000000412</v>
      </c>
      <c r="Z13" s="4">
        <f t="shared" si="13"/>
        <v>4.9999999999997158E-2</v>
      </c>
      <c r="AA13" s="4">
        <f t="shared" si="14"/>
        <v>-7.0000000000003837E-2</v>
      </c>
      <c r="AB13" s="4">
        <f t="shared" si="15"/>
        <v>-0.32000000000000384</v>
      </c>
      <c r="AC13" s="4">
        <f t="shared" si="17"/>
        <v>2.5999999999999979</v>
      </c>
      <c r="AF13" s="4">
        <f t="shared" si="18"/>
        <v>24.211830985915494</v>
      </c>
      <c r="AG13" s="4">
        <f t="shared" si="19"/>
        <v>24.280563380281691</v>
      </c>
      <c r="AH13" s="4">
        <f t="shared" si="20"/>
        <v>24.241408450704228</v>
      </c>
      <c r="AI13" s="4">
        <f t="shared" si="21"/>
        <v>24.275633802816902</v>
      </c>
      <c r="AJ13" s="4">
        <f t="shared" si="22"/>
        <v>24.233802816901409</v>
      </c>
      <c r="AK13" s="4">
        <f t="shared" si="23"/>
        <v>24.198169014084506</v>
      </c>
      <c r="AL13" s="4">
        <f t="shared" si="24"/>
        <v>24.274788732394367</v>
      </c>
      <c r="AM13" s="4">
        <f t="shared" si="25"/>
        <v>24.220140845070425</v>
      </c>
      <c r="AN13" s="4">
        <f t="shared" si="26"/>
        <v>24.228732394366197</v>
      </c>
      <c r="AO13" s="4">
        <f t="shared" si="27"/>
        <v>24.191830985915495</v>
      </c>
      <c r="AQ13"/>
      <c r="AR13" s="4">
        <f t="shared" si="28"/>
        <v>1.1830985915491254E-2</v>
      </c>
      <c r="AS13" s="4">
        <f t="shared" si="29"/>
        <v>8.0563380281688524E-2</v>
      </c>
      <c r="AT13" s="4">
        <f t="shared" si="30"/>
        <v>4.140845070422472E-2</v>
      </c>
      <c r="AU13" s="4">
        <f t="shared" si="31"/>
        <v>7.5633802816899021E-2</v>
      </c>
      <c r="AV13" s="4">
        <f t="shared" si="32"/>
        <v>3.3802816901406629E-2</v>
      </c>
      <c r="AW13" s="4">
        <f t="shared" si="33"/>
        <v>-1.8309859154967967E-3</v>
      </c>
      <c r="AX13" s="4">
        <f t="shared" si="34"/>
        <v>7.4788732394363677E-2</v>
      </c>
      <c r="AY13" s="4">
        <f t="shared" si="35"/>
        <v>2.0140845070422131E-2</v>
      </c>
      <c r="AZ13" s="4">
        <f t="shared" si="36"/>
        <v>2.8732394366194569E-2</v>
      </c>
      <c r="BA13" s="4">
        <f t="shared" si="37"/>
        <v>-8.1690140845083192E-3</v>
      </c>
    </row>
    <row r="14" spans="1:53" x14ac:dyDescent="0.25">
      <c r="A14" s="11">
        <v>11</v>
      </c>
      <c r="B14" s="10">
        <v>43551</v>
      </c>
      <c r="C14" s="13">
        <v>0.66608796296296291</v>
      </c>
      <c r="D14" s="11">
        <v>24.06</v>
      </c>
      <c r="E14" s="11">
        <v>24.06</v>
      </c>
      <c r="F14" s="11">
        <v>23.94</v>
      </c>
      <c r="G14" s="11">
        <v>24.06</v>
      </c>
      <c r="H14" s="11">
        <v>24</v>
      </c>
      <c r="I14" s="11">
        <v>24</v>
      </c>
      <c r="J14" s="11">
        <v>24.25</v>
      </c>
      <c r="K14" s="11">
        <v>24.13</v>
      </c>
      <c r="L14" s="11">
        <v>23.88</v>
      </c>
      <c r="M14" s="11">
        <v>26.8</v>
      </c>
      <c r="N14" s="11">
        <v>18</v>
      </c>
      <c r="P14" s="4">
        <v>24.03</v>
      </c>
      <c r="Q14" s="4">
        <f>P14-'Sonde étalon'!$C$14</f>
        <v>24.200000000000003</v>
      </c>
      <c r="T14" s="4">
        <f t="shared" si="7"/>
        <v>-0.14000000000000412</v>
      </c>
      <c r="U14" s="4">
        <f t="shared" si="8"/>
        <v>-0.14000000000000412</v>
      </c>
      <c r="V14" s="4">
        <f t="shared" si="9"/>
        <v>-0.26000000000000156</v>
      </c>
      <c r="W14" s="4">
        <f t="shared" si="10"/>
        <v>-0.14000000000000412</v>
      </c>
      <c r="X14" s="4">
        <f t="shared" si="11"/>
        <v>-0.20000000000000284</v>
      </c>
      <c r="Y14" s="4">
        <f t="shared" si="12"/>
        <v>-0.20000000000000284</v>
      </c>
      <c r="Z14" s="4">
        <f t="shared" si="13"/>
        <v>4.9999999999997158E-2</v>
      </c>
      <c r="AA14" s="4">
        <f t="shared" si="14"/>
        <v>-7.0000000000003837E-2</v>
      </c>
      <c r="AB14" s="4">
        <f t="shared" si="15"/>
        <v>-0.32000000000000384</v>
      </c>
      <c r="AC14" s="4">
        <f t="shared" si="17"/>
        <v>2.5999999999999979</v>
      </c>
      <c r="AF14" s="4">
        <f t="shared" si="18"/>
        <v>24.211830985915494</v>
      </c>
      <c r="AG14" s="4">
        <f t="shared" si="19"/>
        <v>24.280563380281691</v>
      </c>
      <c r="AH14" s="4">
        <f t="shared" si="20"/>
        <v>24.181408450704229</v>
      </c>
      <c r="AI14" s="4">
        <f t="shared" si="21"/>
        <v>24.275633802816902</v>
      </c>
      <c r="AJ14" s="4">
        <f t="shared" si="22"/>
        <v>24.233802816901409</v>
      </c>
      <c r="AK14" s="4">
        <f t="shared" si="23"/>
        <v>24.138169014084507</v>
      </c>
      <c r="AL14" s="4">
        <f t="shared" si="24"/>
        <v>24.274788732394367</v>
      </c>
      <c r="AM14" s="4">
        <f t="shared" si="25"/>
        <v>24.220140845070425</v>
      </c>
      <c r="AN14" s="4">
        <f t="shared" si="26"/>
        <v>24.228732394366197</v>
      </c>
      <c r="AO14" s="4">
        <f t="shared" si="27"/>
        <v>24.191830985915495</v>
      </c>
      <c r="AQ14"/>
      <c r="AR14" s="4">
        <f t="shared" si="28"/>
        <v>1.1830985915491254E-2</v>
      </c>
      <c r="AS14" s="4">
        <f t="shared" si="29"/>
        <v>8.0563380281688524E-2</v>
      </c>
      <c r="AT14" s="4">
        <f t="shared" si="30"/>
        <v>-1.8591549295774001E-2</v>
      </c>
      <c r="AU14" s="4">
        <f t="shared" si="31"/>
        <v>7.5633802816899021E-2</v>
      </c>
      <c r="AV14" s="4">
        <f t="shared" si="32"/>
        <v>3.3802816901406629E-2</v>
      </c>
      <c r="AW14" s="4">
        <f t="shared" si="33"/>
        <v>-6.1830985915495518E-2</v>
      </c>
      <c r="AX14" s="4">
        <f t="shared" si="34"/>
        <v>7.4788732394363677E-2</v>
      </c>
      <c r="AY14" s="4">
        <f t="shared" si="35"/>
        <v>2.0140845070422131E-2</v>
      </c>
      <c r="AZ14" s="4">
        <f t="shared" si="36"/>
        <v>2.8732394366194569E-2</v>
      </c>
      <c r="BA14" s="4">
        <f t="shared" si="37"/>
        <v>-8.1690140845083192E-3</v>
      </c>
    </row>
    <row r="15" spans="1:53" x14ac:dyDescent="0.25">
      <c r="A15" s="11">
        <v>12</v>
      </c>
      <c r="B15" s="12">
        <v>43551</v>
      </c>
      <c r="C15" s="13">
        <v>0.66678240740740735</v>
      </c>
      <c r="D15" s="11">
        <v>24.06</v>
      </c>
      <c r="E15" s="11">
        <v>24.06</v>
      </c>
      <c r="F15" s="11">
        <v>23.94</v>
      </c>
      <c r="G15" s="11">
        <v>24</v>
      </c>
      <c r="H15" s="11">
        <v>24</v>
      </c>
      <c r="I15" s="11">
        <v>24</v>
      </c>
      <c r="J15" s="11">
        <v>24.25</v>
      </c>
      <c r="K15" s="11">
        <v>24.13</v>
      </c>
      <c r="L15" s="11">
        <v>23.88</v>
      </c>
      <c r="M15" s="11">
        <v>26.8</v>
      </c>
      <c r="N15" s="11">
        <v>18</v>
      </c>
      <c r="P15" s="4">
        <v>24.02</v>
      </c>
      <c r="Q15" s="4">
        <f>P15-'Sonde étalon'!$C$14</f>
        <v>24.19</v>
      </c>
      <c r="T15" s="4">
        <f t="shared" si="7"/>
        <v>-0.13000000000000256</v>
      </c>
      <c r="U15" s="4">
        <f t="shared" si="8"/>
        <v>-0.13000000000000256</v>
      </c>
      <c r="V15" s="4">
        <f t="shared" si="9"/>
        <v>-0.25</v>
      </c>
      <c r="W15" s="4">
        <f t="shared" si="10"/>
        <v>-0.19000000000000128</v>
      </c>
      <c r="X15" s="4">
        <f t="shared" si="11"/>
        <v>-0.19000000000000128</v>
      </c>
      <c r="Y15" s="4">
        <f t="shared" si="12"/>
        <v>-0.19000000000000128</v>
      </c>
      <c r="Z15" s="4">
        <f t="shared" si="13"/>
        <v>5.9999999999998721E-2</v>
      </c>
      <c r="AA15" s="4">
        <f t="shared" si="14"/>
        <v>-6.0000000000002274E-2</v>
      </c>
      <c r="AB15" s="4">
        <f t="shared" si="15"/>
        <v>-0.31000000000000227</v>
      </c>
      <c r="AC15" s="4">
        <f t="shared" si="17"/>
        <v>2.6099999999999994</v>
      </c>
      <c r="AF15" s="4">
        <f t="shared" si="18"/>
        <v>24.211830985915494</v>
      </c>
      <c r="AG15" s="4">
        <f t="shared" si="19"/>
        <v>24.280563380281691</v>
      </c>
      <c r="AH15" s="4">
        <f t="shared" si="20"/>
        <v>24.181408450704229</v>
      </c>
      <c r="AI15" s="4">
        <f t="shared" si="21"/>
        <v>24.215633802816903</v>
      </c>
      <c r="AJ15" s="4">
        <f t="shared" si="22"/>
        <v>24.233802816901409</v>
      </c>
      <c r="AK15" s="4">
        <f t="shared" si="23"/>
        <v>24.138169014084507</v>
      </c>
      <c r="AL15" s="4">
        <f t="shared" si="24"/>
        <v>24.274788732394367</v>
      </c>
      <c r="AM15" s="4">
        <f t="shared" si="25"/>
        <v>24.220140845070425</v>
      </c>
      <c r="AN15" s="4">
        <f t="shared" si="26"/>
        <v>24.228732394366197</v>
      </c>
      <c r="AO15" s="4">
        <f t="shared" si="27"/>
        <v>24.191830985915495</v>
      </c>
      <c r="AQ15"/>
      <c r="AR15" s="4">
        <f t="shared" si="28"/>
        <v>2.1830985915492818E-2</v>
      </c>
      <c r="AS15" s="4">
        <f t="shared" si="29"/>
        <v>9.0563380281690087E-2</v>
      </c>
      <c r="AT15" s="4">
        <f t="shared" si="30"/>
        <v>-8.5915492957724382E-3</v>
      </c>
      <c r="AU15" s="4">
        <f t="shared" si="31"/>
        <v>2.5633802816901863E-2</v>
      </c>
      <c r="AV15" s="4">
        <f t="shared" si="32"/>
        <v>4.3802816901408193E-2</v>
      </c>
      <c r="AW15" s="4">
        <f t="shared" si="33"/>
        <v>-5.1830985915493955E-2</v>
      </c>
      <c r="AX15" s="4">
        <f t="shared" si="34"/>
        <v>8.478873239436524E-2</v>
      </c>
      <c r="AY15" s="4">
        <f t="shared" si="35"/>
        <v>3.0140845070423694E-2</v>
      </c>
      <c r="AZ15" s="4">
        <f t="shared" si="36"/>
        <v>3.8732394366196132E-2</v>
      </c>
      <c r="BA15" s="4">
        <f t="shared" si="37"/>
        <v>1.830985915493244E-3</v>
      </c>
    </row>
    <row r="16" spans="1:53" x14ac:dyDescent="0.25">
      <c r="A16" s="11">
        <v>13</v>
      </c>
      <c r="B16" s="12">
        <v>43551</v>
      </c>
      <c r="C16" s="13">
        <v>0.6674768518518519</v>
      </c>
      <c r="D16" s="11">
        <v>24.13</v>
      </c>
      <c r="E16" s="11">
        <v>24.06</v>
      </c>
      <c r="F16" s="11">
        <v>24</v>
      </c>
      <c r="G16" s="11">
        <v>24.06</v>
      </c>
      <c r="H16" s="11">
        <v>24</v>
      </c>
      <c r="I16" s="11">
        <v>24.06</v>
      </c>
      <c r="J16" s="11">
        <v>24.25</v>
      </c>
      <c r="K16" s="11">
        <v>24.13</v>
      </c>
      <c r="L16" s="11">
        <v>23.88</v>
      </c>
      <c r="M16" s="11">
        <v>26.8</v>
      </c>
      <c r="N16" s="11">
        <v>18</v>
      </c>
      <c r="P16" s="4">
        <v>24</v>
      </c>
      <c r="Q16" s="4">
        <f>P16-'Sonde étalon'!$C$14</f>
        <v>24.17</v>
      </c>
      <c r="T16" s="4">
        <f t="shared" si="7"/>
        <v>-4.00000000000027E-2</v>
      </c>
      <c r="U16" s="4">
        <f t="shared" si="8"/>
        <v>-0.11000000000000298</v>
      </c>
      <c r="V16" s="4">
        <f t="shared" si="9"/>
        <v>-0.17000000000000171</v>
      </c>
      <c r="W16" s="4">
        <f t="shared" si="10"/>
        <v>-0.11000000000000298</v>
      </c>
      <c r="X16" s="4">
        <f t="shared" si="11"/>
        <v>-0.17000000000000171</v>
      </c>
      <c r="Y16" s="4">
        <f t="shared" si="12"/>
        <v>-0.11000000000000298</v>
      </c>
      <c r="Z16" s="4">
        <f t="shared" si="13"/>
        <v>7.9999999999998295E-2</v>
      </c>
      <c r="AA16" s="4">
        <f t="shared" si="14"/>
        <v>-4.00000000000027E-2</v>
      </c>
      <c r="AB16" s="4">
        <f t="shared" si="15"/>
        <v>-0.2900000000000027</v>
      </c>
      <c r="AC16" s="4">
        <f t="shared" si="17"/>
        <v>2.629999999999999</v>
      </c>
      <c r="AF16" s="4">
        <f t="shared" si="18"/>
        <v>24.281830985915494</v>
      </c>
      <c r="AG16" s="4">
        <f t="shared" si="19"/>
        <v>24.280563380281691</v>
      </c>
      <c r="AH16" s="4">
        <f t="shared" si="20"/>
        <v>24.241408450704228</v>
      </c>
      <c r="AI16" s="4">
        <f t="shared" si="21"/>
        <v>24.275633802816902</v>
      </c>
      <c r="AJ16" s="4">
        <f t="shared" si="22"/>
        <v>24.233802816901409</v>
      </c>
      <c r="AK16" s="4">
        <f t="shared" si="23"/>
        <v>24.198169014084506</v>
      </c>
      <c r="AL16" s="4">
        <f t="shared" si="24"/>
        <v>24.274788732394367</v>
      </c>
      <c r="AM16" s="4">
        <f t="shared" si="25"/>
        <v>24.220140845070425</v>
      </c>
      <c r="AN16" s="4">
        <f t="shared" si="26"/>
        <v>24.228732394366197</v>
      </c>
      <c r="AO16" s="4">
        <f t="shared" si="27"/>
        <v>24.191830985915495</v>
      </c>
      <c r="AQ16"/>
      <c r="AR16" s="4">
        <f t="shared" si="28"/>
        <v>0.11183098591549268</v>
      </c>
      <c r="AS16" s="4">
        <f t="shared" si="29"/>
        <v>0.11056338028168966</v>
      </c>
      <c r="AT16" s="4">
        <f t="shared" si="30"/>
        <v>7.1408450704225856E-2</v>
      </c>
      <c r="AU16" s="4">
        <f t="shared" si="31"/>
        <v>0.10563380281690016</v>
      </c>
      <c r="AV16" s="4">
        <f t="shared" si="32"/>
        <v>6.3802816901407766E-2</v>
      </c>
      <c r="AW16" s="4">
        <f t="shared" si="33"/>
        <v>2.816901408450434E-2</v>
      </c>
      <c r="AX16" s="4">
        <f t="shared" si="34"/>
        <v>0.10478873239436481</v>
      </c>
      <c r="AY16" s="4">
        <f t="shared" si="35"/>
        <v>5.0140845070423268E-2</v>
      </c>
      <c r="AZ16" s="4">
        <f t="shared" si="36"/>
        <v>5.8732394366195706E-2</v>
      </c>
      <c r="BA16" s="4">
        <f t="shared" si="37"/>
        <v>2.1830985915492818E-2</v>
      </c>
    </row>
    <row r="17" spans="1:53" x14ac:dyDescent="0.25">
      <c r="A17" s="11">
        <v>14</v>
      </c>
      <c r="B17" s="12">
        <v>43551</v>
      </c>
      <c r="C17" s="13">
        <v>0.66817129629629635</v>
      </c>
      <c r="D17" s="11">
        <v>24.13</v>
      </c>
      <c r="E17" s="11">
        <v>24.13</v>
      </c>
      <c r="F17" s="11">
        <v>24</v>
      </c>
      <c r="G17" s="11">
        <v>24.06</v>
      </c>
      <c r="H17" s="11">
        <v>24</v>
      </c>
      <c r="I17" s="11">
        <v>24.06</v>
      </c>
      <c r="J17" s="11">
        <v>24.25</v>
      </c>
      <c r="K17" s="11">
        <v>24.13</v>
      </c>
      <c r="L17" s="11">
        <v>23.94</v>
      </c>
      <c r="M17" s="11">
        <v>26.8</v>
      </c>
      <c r="N17" s="11">
        <v>18</v>
      </c>
      <c r="P17" s="4">
        <v>24.02</v>
      </c>
      <c r="Q17" s="4">
        <f>P17-'Sonde étalon'!$C$14</f>
        <v>24.19</v>
      </c>
      <c r="T17" s="4">
        <f t="shared" si="7"/>
        <v>-6.0000000000002274E-2</v>
      </c>
      <c r="U17" s="4">
        <f t="shared" si="8"/>
        <v>-6.0000000000002274E-2</v>
      </c>
      <c r="V17" s="4">
        <f t="shared" si="9"/>
        <v>-0.19000000000000128</v>
      </c>
      <c r="W17" s="4">
        <f t="shared" si="10"/>
        <v>-0.13000000000000256</v>
      </c>
      <c r="X17" s="4">
        <f t="shared" si="11"/>
        <v>-0.19000000000000128</v>
      </c>
      <c r="Y17" s="4">
        <f t="shared" si="12"/>
        <v>-0.13000000000000256</v>
      </c>
      <c r="Z17" s="4">
        <f t="shared" si="13"/>
        <v>5.9999999999998721E-2</v>
      </c>
      <c r="AA17" s="4">
        <f t="shared" si="14"/>
        <v>-6.0000000000002274E-2</v>
      </c>
      <c r="AB17" s="4">
        <f t="shared" si="15"/>
        <v>-0.25</v>
      </c>
      <c r="AC17" s="4">
        <f t="shared" si="17"/>
        <v>2.6099999999999994</v>
      </c>
      <c r="AF17" s="4">
        <f t="shared" si="18"/>
        <v>24.281830985915494</v>
      </c>
      <c r="AG17" s="4">
        <f t="shared" si="19"/>
        <v>24.350563380281692</v>
      </c>
      <c r="AH17" s="4">
        <f t="shared" si="20"/>
        <v>24.241408450704228</v>
      </c>
      <c r="AI17" s="4">
        <f t="shared" si="21"/>
        <v>24.275633802816902</v>
      </c>
      <c r="AJ17" s="4">
        <f t="shared" si="22"/>
        <v>24.233802816901409</v>
      </c>
      <c r="AK17" s="4">
        <f t="shared" si="23"/>
        <v>24.198169014084506</v>
      </c>
      <c r="AL17" s="4">
        <f t="shared" si="24"/>
        <v>24.274788732394367</v>
      </c>
      <c r="AM17" s="4">
        <f t="shared" si="25"/>
        <v>24.220140845070425</v>
      </c>
      <c r="AN17" s="4">
        <f t="shared" si="26"/>
        <v>24.2887323943662</v>
      </c>
      <c r="AO17" s="4">
        <f t="shared" si="27"/>
        <v>24.191830985915495</v>
      </c>
      <c r="AQ17"/>
      <c r="AR17" s="4">
        <f t="shared" si="28"/>
        <v>9.1830985915493102E-2</v>
      </c>
      <c r="AS17" s="4">
        <f t="shared" si="29"/>
        <v>0.16056338028169037</v>
      </c>
      <c r="AT17" s="4">
        <f t="shared" si="30"/>
        <v>5.1408450704226283E-2</v>
      </c>
      <c r="AU17" s="4">
        <f t="shared" si="31"/>
        <v>8.5633802816900584E-2</v>
      </c>
      <c r="AV17" s="4">
        <f t="shared" si="32"/>
        <v>4.3802816901408193E-2</v>
      </c>
      <c r="AW17" s="4">
        <f t="shared" si="33"/>
        <v>8.1690140845047665E-3</v>
      </c>
      <c r="AX17" s="4">
        <f t="shared" si="34"/>
        <v>8.478873239436524E-2</v>
      </c>
      <c r="AY17" s="4">
        <f t="shared" si="35"/>
        <v>3.0140845070423694E-2</v>
      </c>
      <c r="AZ17" s="4">
        <f t="shared" si="36"/>
        <v>9.8732394366198406E-2</v>
      </c>
      <c r="BA17" s="4">
        <f t="shared" si="37"/>
        <v>1.830985915493244E-3</v>
      </c>
    </row>
    <row r="18" spans="1:53" x14ac:dyDescent="0.25">
      <c r="A18" s="11">
        <v>15</v>
      </c>
      <c r="B18" s="12">
        <v>43551</v>
      </c>
      <c r="C18" s="13">
        <v>0.66886574074074068</v>
      </c>
      <c r="D18" s="11">
        <v>24.13</v>
      </c>
      <c r="E18" s="11">
        <v>24.06</v>
      </c>
      <c r="F18" s="11">
        <v>23.94</v>
      </c>
      <c r="G18" s="11">
        <v>24</v>
      </c>
      <c r="H18" s="11">
        <v>24</v>
      </c>
      <c r="I18" s="11">
        <v>24.06</v>
      </c>
      <c r="J18" s="11">
        <v>24.25</v>
      </c>
      <c r="K18" s="11">
        <v>24.13</v>
      </c>
      <c r="L18" s="11">
        <v>23.88</v>
      </c>
      <c r="M18" s="11">
        <v>26.9</v>
      </c>
      <c r="N18" s="11">
        <v>18</v>
      </c>
      <c r="P18" s="4">
        <v>24.02</v>
      </c>
      <c r="Q18" s="4">
        <f>P18-'Sonde étalon'!$C$14</f>
        <v>24.19</v>
      </c>
      <c r="T18" s="4">
        <f t="shared" si="7"/>
        <v>-6.0000000000002274E-2</v>
      </c>
      <c r="U18" s="4">
        <f t="shared" si="8"/>
        <v>-0.13000000000000256</v>
      </c>
      <c r="V18" s="4">
        <f t="shared" si="9"/>
        <v>-0.25</v>
      </c>
      <c r="W18" s="4">
        <f t="shared" si="10"/>
        <v>-0.19000000000000128</v>
      </c>
      <c r="X18" s="4">
        <f t="shared" si="11"/>
        <v>-0.19000000000000128</v>
      </c>
      <c r="Y18" s="4">
        <f t="shared" si="12"/>
        <v>-0.13000000000000256</v>
      </c>
      <c r="Z18" s="4">
        <f t="shared" si="13"/>
        <v>5.9999999999998721E-2</v>
      </c>
      <c r="AA18" s="4">
        <f t="shared" si="14"/>
        <v>-6.0000000000002274E-2</v>
      </c>
      <c r="AB18" s="4">
        <f t="shared" si="15"/>
        <v>-0.31000000000000227</v>
      </c>
      <c r="AC18" s="4">
        <f t="shared" si="17"/>
        <v>2.7099999999999973</v>
      </c>
      <c r="AF18" s="4">
        <f t="shared" si="18"/>
        <v>24.281830985915494</v>
      </c>
      <c r="AG18" s="4">
        <f t="shared" si="19"/>
        <v>24.280563380281691</v>
      </c>
      <c r="AH18" s="4">
        <f t="shared" si="20"/>
        <v>24.181408450704229</v>
      </c>
      <c r="AI18" s="4">
        <f t="shared" si="21"/>
        <v>24.215633802816903</v>
      </c>
      <c r="AJ18" s="4">
        <f t="shared" si="22"/>
        <v>24.233802816901409</v>
      </c>
      <c r="AK18" s="4">
        <f t="shared" si="23"/>
        <v>24.198169014084506</v>
      </c>
      <c r="AL18" s="4">
        <f t="shared" si="24"/>
        <v>24.274788732394367</v>
      </c>
      <c r="AM18" s="4">
        <f t="shared" si="25"/>
        <v>24.220140845070425</v>
      </c>
      <c r="AN18" s="4">
        <f t="shared" si="26"/>
        <v>24.228732394366197</v>
      </c>
      <c r="AO18" s="4">
        <f t="shared" si="27"/>
        <v>24.291830985915492</v>
      </c>
      <c r="AQ18"/>
      <c r="AR18" s="4">
        <f t="shared" si="28"/>
        <v>9.1830985915493102E-2</v>
      </c>
      <c r="AS18" s="4">
        <f t="shared" si="29"/>
        <v>9.0563380281690087E-2</v>
      </c>
      <c r="AT18" s="4">
        <f t="shared" si="30"/>
        <v>-8.5915492957724382E-3</v>
      </c>
      <c r="AU18" s="4">
        <f t="shared" si="31"/>
        <v>2.5633802816901863E-2</v>
      </c>
      <c r="AV18" s="4">
        <f t="shared" si="32"/>
        <v>4.3802816901408193E-2</v>
      </c>
      <c r="AW18" s="4">
        <f t="shared" si="33"/>
        <v>8.1690140845047665E-3</v>
      </c>
      <c r="AX18" s="4">
        <f t="shared" si="34"/>
        <v>8.478873239436524E-2</v>
      </c>
      <c r="AY18" s="4">
        <f t="shared" si="35"/>
        <v>3.0140845070423694E-2</v>
      </c>
      <c r="AZ18" s="4">
        <f t="shared" si="36"/>
        <v>3.8732394366196132E-2</v>
      </c>
      <c r="BA18" s="4">
        <f t="shared" si="37"/>
        <v>0.10183098591549111</v>
      </c>
    </row>
    <row r="19" spans="1:53" x14ac:dyDescent="0.25">
      <c r="A19" s="11">
        <v>16</v>
      </c>
      <c r="B19" s="12">
        <v>43551</v>
      </c>
      <c r="C19" s="13">
        <v>0.66956018518518512</v>
      </c>
      <c r="D19" s="11">
        <v>24.06</v>
      </c>
      <c r="E19" s="11">
        <v>24.06</v>
      </c>
      <c r="F19" s="11">
        <v>23.94</v>
      </c>
      <c r="G19" s="11">
        <v>24.06</v>
      </c>
      <c r="H19" s="11">
        <v>24</v>
      </c>
      <c r="I19" s="11">
        <v>24.06</v>
      </c>
      <c r="J19" s="11">
        <v>24.19</v>
      </c>
      <c r="K19" s="11">
        <v>24.13</v>
      </c>
      <c r="L19" s="11">
        <v>23.88</v>
      </c>
      <c r="M19" s="11">
        <v>26.8</v>
      </c>
      <c r="N19" s="11">
        <v>18</v>
      </c>
      <c r="P19" s="4">
        <v>24.02</v>
      </c>
      <c r="Q19" s="4">
        <f>P19-'Sonde étalon'!$C$14</f>
        <v>24.19</v>
      </c>
      <c r="T19" s="4">
        <f t="shared" si="7"/>
        <v>-0.13000000000000256</v>
      </c>
      <c r="U19" s="4">
        <f t="shared" si="8"/>
        <v>-0.13000000000000256</v>
      </c>
      <c r="V19" s="4">
        <f t="shared" si="9"/>
        <v>-0.25</v>
      </c>
      <c r="W19" s="4">
        <f t="shared" si="10"/>
        <v>-0.13000000000000256</v>
      </c>
      <c r="X19" s="4">
        <f t="shared" si="11"/>
        <v>-0.19000000000000128</v>
      </c>
      <c r="Y19" s="4">
        <f t="shared" si="12"/>
        <v>-0.13000000000000256</v>
      </c>
      <c r="Z19" s="4">
        <f t="shared" si="13"/>
        <v>0</v>
      </c>
      <c r="AA19" s="4">
        <f t="shared" si="14"/>
        <v>-6.0000000000002274E-2</v>
      </c>
      <c r="AB19" s="4">
        <f t="shared" si="15"/>
        <v>-0.31000000000000227</v>
      </c>
      <c r="AC19" s="4">
        <f t="shared" si="17"/>
        <v>2.6099999999999994</v>
      </c>
      <c r="AF19" s="4">
        <f t="shared" si="18"/>
        <v>24.211830985915494</v>
      </c>
      <c r="AG19" s="4">
        <f t="shared" si="19"/>
        <v>24.280563380281691</v>
      </c>
      <c r="AH19" s="4">
        <f t="shared" si="20"/>
        <v>24.181408450704229</v>
      </c>
      <c r="AI19" s="4">
        <f t="shared" si="21"/>
        <v>24.275633802816902</v>
      </c>
      <c r="AJ19" s="4">
        <f t="shared" si="22"/>
        <v>24.233802816901409</v>
      </c>
      <c r="AK19" s="4">
        <f t="shared" si="23"/>
        <v>24.198169014084506</v>
      </c>
      <c r="AL19" s="4">
        <f t="shared" si="24"/>
        <v>24.214788732394368</v>
      </c>
      <c r="AM19" s="4">
        <f t="shared" si="25"/>
        <v>24.220140845070425</v>
      </c>
      <c r="AN19" s="4">
        <f t="shared" si="26"/>
        <v>24.228732394366197</v>
      </c>
      <c r="AO19" s="4">
        <f t="shared" si="27"/>
        <v>24.191830985915495</v>
      </c>
      <c r="AQ19"/>
      <c r="AR19" s="4">
        <f t="shared" si="28"/>
        <v>2.1830985915492818E-2</v>
      </c>
      <c r="AS19" s="4">
        <f t="shared" si="29"/>
        <v>9.0563380281690087E-2</v>
      </c>
      <c r="AT19" s="4">
        <f t="shared" si="30"/>
        <v>-8.5915492957724382E-3</v>
      </c>
      <c r="AU19" s="4">
        <f t="shared" si="31"/>
        <v>8.5633802816900584E-2</v>
      </c>
      <c r="AV19" s="4">
        <f t="shared" si="32"/>
        <v>4.3802816901408193E-2</v>
      </c>
      <c r="AW19" s="4">
        <f t="shared" si="33"/>
        <v>8.1690140845047665E-3</v>
      </c>
      <c r="AX19" s="4">
        <f t="shared" si="34"/>
        <v>2.4788732394366519E-2</v>
      </c>
      <c r="AY19" s="4">
        <f t="shared" si="35"/>
        <v>3.0140845070423694E-2</v>
      </c>
      <c r="AZ19" s="4">
        <f t="shared" si="36"/>
        <v>3.8732394366196132E-2</v>
      </c>
      <c r="BA19" s="4">
        <f t="shared" si="37"/>
        <v>1.830985915493244E-3</v>
      </c>
    </row>
    <row r="20" spans="1:53" x14ac:dyDescent="0.25">
      <c r="A20" s="11">
        <v>17</v>
      </c>
      <c r="B20" s="12">
        <v>43551</v>
      </c>
      <c r="C20" s="13">
        <v>0.67025462962962967</v>
      </c>
      <c r="D20" s="11">
        <v>24.06</v>
      </c>
      <c r="E20" s="9">
        <v>24.06</v>
      </c>
      <c r="F20" s="11">
        <v>23.94</v>
      </c>
      <c r="G20" s="11">
        <v>24</v>
      </c>
      <c r="H20" s="11">
        <v>23.94</v>
      </c>
      <c r="I20" s="11">
        <v>24</v>
      </c>
      <c r="J20" s="11">
        <v>24.25</v>
      </c>
      <c r="K20" s="11">
        <v>24.13</v>
      </c>
      <c r="L20" s="11">
        <v>23.88</v>
      </c>
      <c r="M20" s="11">
        <v>26.9</v>
      </c>
      <c r="N20" s="11">
        <v>18</v>
      </c>
      <c r="P20" s="4">
        <v>24.03</v>
      </c>
      <c r="Q20" s="4">
        <f>P20-'Sonde étalon'!$C$14</f>
        <v>24.200000000000003</v>
      </c>
      <c r="T20" s="4">
        <f t="shared" si="7"/>
        <v>-0.14000000000000412</v>
      </c>
      <c r="U20" s="4">
        <f t="shared" si="8"/>
        <v>-0.14000000000000412</v>
      </c>
      <c r="V20" s="4">
        <f t="shared" si="9"/>
        <v>-0.26000000000000156</v>
      </c>
      <c r="W20" s="4">
        <f t="shared" si="10"/>
        <v>-0.20000000000000284</v>
      </c>
      <c r="X20" s="4">
        <f t="shared" si="11"/>
        <v>-0.26000000000000156</v>
      </c>
      <c r="Y20" s="4">
        <f t="shared" si="12"/>
        <v>-0.20000000000000284</v>
      </c>
      <c r="Z20" s="4">
        <f t="shared" si="13"/>
        <v>4.9999999999997158E-2</v>
      </c>
      <c r="AA20" s="4">
        <f t="shared" si="14"/>
        <v>-7.0000000000003837E-2</v>
      </c>
      <c r="AB20" s="4">
        <f t="shared" si="15"/>
        <v>-0.32000000000000384</v>
      </c>
      <c r="AC20" s="4">
        <f t="shared" si="17"/>
        <v>2.6999999999999957</v>
      </c>
      <c r="AF20" s="4">
        <f t="shared" si="18"/>
        <v>24.211830985915494</v>
      </c>
      <c r="AG20" s="4">
        <f t="shared" si="19"/>
        <v>24.280563380281691</v>
      </c>
      <c r="AH20" s="4">
        <f t="shared" si="20"/>
        <v>24.181408450704229</v>
      </c>
      <c r="AI20" s="4">
        <f t="shared" si="21"/>
        <v>24.215633802816903</v>
      </c>
      <c r="AJ20" s="4">
        <f t="shared" si="22"/>
        <v>24.173802816901411</v>
      </c>
      <c r="AK20" s="4">
        <f t="shared" si="23"/>
        <v>24.138169014084507</v>
      </c>
      <c r="AL20" s="4">
        <f t="shared" si="24"/>
        <v>24.274788732394367</v>
      </c>
      <c r="AM20" s="4">
        <f t="shared" si="25"/>
        <v>24.220140845070425</v>
      </c>
      <c r="AN20" s="4">
        <f t="shared" si="26"/>
        <v>24.228732394366197</v>
      </c>
      <c r="AO20" s="4">
        <f t="shared" si="27"/>
        <v>24.291830985915492</v>
      </c>
      <c r="AQ20"/>
      <c r="AR20" s="4">
        <f t="shared" si="28"/>
        <v>1.1830985915491254E-2</v>
      </c>
      <c r="AS20" s="4">
        <f t="shared" si="29"/>
        <v>8.0563380281688524E-2</v>
      </c>
      <c r="AT20" s="4">
        <f t="shared" si="30"/>
        <v>-1.8591549295774001E-2</v>
      </c>
      <c r="AU20" s="4">
        <f t="shared" si="31"/>
        <v>1.56338028169003E-2</v>
      </c>
      <c r="AV20" s="4">
        <f t="shared" si="32"/>
        <v>-2.6197183098592092E-2</v>
      </c>
      <c r="AW20" s="4">
        <f t="shared" si="33"/>
        <v>-6.1830985915495518E-2</v>
      </c>
      <c r="AX20" s="4">
        <f t="shared" si="34"/>
        <v>7.4788732394363677E-2</v>
      </c>
      <c r="AY20" s="4">
        <f t="shared" si="35"/>
        <v>2.0140845070422131E-2</v>
      </c>
      <c r="AZ20" s="4">
        <f t="shared" si="36"/>
        <v>2.8732394366194569E-2</v>
      </c>
      <c r="BA20" s="4">
        <f t="shared" si="37"/>
        <v>9.1830985915489549E-2</v>
      </c>
    </row>
    <row r="21" spans="1:53" x14ac:dyDescent="0.25">
      <c r="A21" s="11">
        <v>18</v>
      </c>
      <c r="B21" s="12">
        <v>43551</v>
      </c>
      <c r="C21" s="15">
        <v>0.67094907407407411</v>
      </c>
      <c r="D21" s="11">
        <v>24</v>
      </c>
      <c r="E21" s="11">
        <v>24</v>
      </c>
      <c r="F21" s="11">
        <v>23.88</v>
      </c>
      <c r="G21" s="11">
        <v>23.94</v>
      </c>
      <c r="H21" s="11">
        <v>23.88</v>
      </c>
      <c r="I21" s="11">
        <v>24</v>
      </c>
      <c r="J21" s="11">
        <v>24.13</v>
      </c>
      <c r="K21" s="11">
        <v>24.06</v>
      </c>
      <c r="L21" s="11">
        <v>23.81</v>
      </c>
      <c r="M21" s="11">
        <v>26.8</v>
      </c>
      <c r="N21" s="11">
        <v>18</v>
      </c>
      <c r="P21" s="4">
        <v>24</v>
      </c>
      <c r="Q21" s="4">
        <f>P21-'Sonde étalon'!$C$14</f>
        <v>24.17</v>
      </c>
      <c r="T21" s="4">
        <f t="shared" si="7"/>
        <v>-0.17000000000000171</v>
      </c>
      <c r="U21" s="4">
        <f t="shared" si="8"/>
        <v>-0.17000000000000171</v>
      </c>
      <c r="V21" s="4">
        <f t="shared" si="9"/>
        <v>-0.2900000000000027</v>
      </c>
      <c r="W21" s="4">
        <f t="shared" si="10"/>
        <v>-0.23000000000000043</v>
      </c>
      <c r="X21" s="4">
        <f t="shared" si="11"/>
        <v>-0.2900000000000027</v>
      </c>
      <c r="Y21" s="4">
        <f t="shared" si="12"/>
        <v>-0.17000000000000171</v>
      </c>
      <c r="Z21" s="4">
        <f t="shared" si="13"/>
        <v>-4.00000000000027E-2</v>
      </c>
      <c r="AA21" s="4">
        <f t="shared" si="14"/>
        <v>-0.11000000000000298</v>
      </c>
      <c r="AB21" s="4">
        <f t="shared" si="15"/>
        <v>-0.36000000000000298</v>
      </c>
      <c r="AC21" s="4">
        <f t="shared" si="17"/>
        <v>2.629999999999999</v>
      </c>
      <c r="AF21" s="4">
        <f t="shared" si="18"/>
        <v>24.151830985915495</v>
      </c>
      <c r="AG21" s="4">
        <f t="shared" si="19"/>
        <v>24.220563380281693</v>
      </c>
      <c r="AH21" s="4">
        <f t="shared" si="20"/>
        <v>24.121408450704227</v>
      </c>
      <c r="AI21" s="4">
        <f t="shared" si="21"/>
        <v>24.155633802816904</v>
      </c>
      <c r="AJ21" s="4">
        <f t="shared" si="22"/>
        <v>24.113802816901408</v>
      </c>
      <c r="AK21" s="4">
        <f t="shared" si="23"/>
        <v>24.138169014084507</v>
      </c>
      <c r="AL21" s="4">
        <f t="shared" si="24"/>
        <v>24.154788732394366</v>
      </c>
      <c r="AM21" s="4">
        <f t="shared" si="25"/>
        <v>24.150140845070425</v>
      </c>
      <c r="AN21" s="4">
        <f t="shared" si="26"/>
        <v>24.158732394366197</v>
      </c>
      <c r="AO21" s="4">
        <f t="shared" si="27"/>
        <v>24.191830985915495</v>
      </c>
      <c r="AQ21"/>
      <c r="AR21" s="4">
        <f t="shared" si="28"/>
        <v>-1.816901408450633E-2</v>
      </c>
      <c r="AS21" s="4">
        <f t="shared" si="29"/>
        <v>5.0563380281690939E-2</v>
      </c>
      <c r="AT21" s="4">
        <f t="shared" si="30"/>
        <v>-4.8591549295775138E-2</v>
      </c>
      <c r="AU21" s="4">
        <f t="shared" si="31"/>
        <v>-1.4366197183097285E-2</v>
      </c>
      <c r="AV21" s="4">
        <f t="shared" si="32"/>
        <v>-5.6197183098593229E-2</v>
      </c>
      <c r="AW21" s="4">
        <f t="shared" si="33"/>
        <v>-3.1830985915494381E-2</v>
      </c>
      <c r="AX21" s="4">
        <f t="shared" si="34"/>
        <v>-1.5211267605636181E-2</v>
      </c>
      <c r="AY21" s="4">
        <f t="shared" si="35"/>
        <v>-1.9859154929577016E-2</v>
      </c>
      <c r="AZ21" s="4">
        <f t="shared" si="36"/>
        <v>-1.1267605633804578E-2</v>
      </c>
      <c r="BA21" s="4">
        <f t="shared" si="37"/>
        <v>2.1830985915492818E-2</v>
      </c>
    </row>
    <row r="22" spans="1:53" x14ac:dyDescent="0.25">
      <c r="A22" s="11">
        <v>19</v>
      </c>
      <c r="B22" s="12">
        <v>43551</v>
      </c>
      <c r="C22" s="13">
        <v>0.67164351851851845</v>
      </c>
      <c r="D22" s="11">
        <v>24</v>
      </c>
      <c r="E22" s="11">
        <v>23.94</v>
      </c>
      <c r="F22" s="11">
        <v>23.88</v>
      </c>
      <c r="G22" s="11">
        <v>23.94</v>
      </c>
      <c r="H22" s="11">
        <v>23.88</v>
      </c>
      <c r="I22" s="11">
        <v>23.94</v>
      </c>
      <c r="J22" s="11">
        <v>24.13</v>
      </c>
      <c r="K22" s="11">
        <v>24.06</v>
      </c>
      <c r="L22" s="11">
        <v>23.75</v>
      </c>
      <c r="M22" s="11">
        <v>26.8</v>
      </c>
      <c r="N22" s="11">
        <v>18</v>
      </c>
      <c r="P22" s="4">
        <v>23.97</v>
      </c>
      <c r="Q22" s="4">
        <f>P22-'Sonde étalon'!$C$14</f>
        <v>24.14</v>
      </c>
      <c r="T22" s="4">
        <f t="shared" si="7"/>
        <v>-0.14000000000000057</v>
      </c>
      <c r="U22" s="4">
        <f t="shared" si="8"/>
        <v>-0.19999999999999929</v>
      </c>
      <c r="V22" s="4">
        <f t="shared" si="9"/>
        <v>-0.26000000000000156</v>
      </c>
      <c r="W22" s="4">
        <f t="shared" si="10"/>
        <v>-0.19999999999999929</v>
      </c>
      <c r="X22" s="4">
        <f t="shared" si="11"/>
        <v>-0.26000000000000156</v>
      </c>
      <c r="Y22" s="4">
        <f t="shared" si="12"/>
        <v>-0.19999999999999929</v>
      </c>
      <c r="Z22" s="4">
        <f t="shared" si="13"/>
        <v>-1.0000000000001563E-2</v>
      </c>
      <c r="AA22" s="4">
        <f t="shared" si="14"/>
        <v>-8.0000000000001847E-2</v>
      </c>
      <c r="AB22" s="4">
        <f t="shared" si="15"/>
        <v>-0.39000000000000057</v>
      </c>
      <c r="AC22" s="4">
        <f t="shared" si="17"/>
        <v>2.66</v>
      </c>
      <c r="AF22" s="4">
        <f t="shared" si="18"/>
        <v>24.151830985915495</v>
      </c>
      <c r="AG22" s="4">
        <f t="shared" si="19"/>
        <v>24.160563380281694</v>
      </c>
      <c r="AH22" s="4">
        <f t="shared" si="20"/>
        <v>24.121408450704227</v>
      </c>
      <c r="AI22" s="4">
        <f t="shared" si="21"/>
        <v>24.155633802816904</v>
      </c>
      <c r="AJ22" s="4">
        <f t="shared" si="22"/>
        <v>24.113802816901408</v>
      </c>
      <c r="AK22" s="4">
        <f t="shared" si="23"/>
        <v>24.078169014084509</v>
      </c>
      <c r="AL22" s="4">
        <f t="shared" si="24"/>
        <v>24.154788732394366</v>
      </c>
      <c r="AM22" s="4">
        <f t="shared" si="25"/>
        <v>24.150140845070425</v>
      </c>
      <c r="AN22" s="4">
        <f t="shared" si="26"/>
        <v>24.098732394366198</v>
      </c>
      <c r="AO22" s="4">
        <f t="shared" si="27"/>
        <v>24.191830985915495</v>
      </c>
      <c r="AQ22"/>
      <c r="AR22" s="4">
        <f t="shared" si="28"/>
        <v>1.1830985915494807E-2</v>
      </c>
      <c r="AS22" s="4">
        <f t="shared" si="29"/>
        <v>2.0563380281693355E-2</v>
      </c>
      <c r="AT22" s="4">
        <f t="shared" si="30"/>
        <v>-1.8591549295774001E-2</v>
      </c>
      <c r="AU22" s="4">
        <f t="shared" si="31"/>
        <v>1.5633802816903852E-2</v>
      </c>
      <c r="AV22" s="4">
        <f t="shared" si="32"/>
        <v>-2.6197183098592092E-2</v>
      </c>
      <c r="AW22" s="4">
        <f t="shared" si="33"/>
        <v>-6.1830985915491965E-2</v>
      </c>
      <c r="AX22" s="4">
        <f t="shared" si="34"/>
        <v>1.4788732394364956E-2</v>
      </c>
      <c r="AY22" s="4">
        <f t="shared" si="35"/>
        <v>1.014084507042412E-2</v>
      </c>
      <c r="AZ22" s="4">
        <f t="shared" si="36"/>
        <v>-4.1267605633802162E-2</v>
      </c>
      <c r="BA22" s="4">
        <f t="shared" si="37"/>
        <v>5.1830985915493955E-2</v>
      </c>
    </row>
    <row r="23" spans="1:53" x14ac:dyDescent="0.25">
      <c r="A23" s="11">
        <v>20</v>
      </c>
      <c r="B23" s="12">
        <v>43551</v>
      </c>
      <c r="C23" s="13">
        <v>0.672337962962963</v>
      </c>
      <c r="D23" s="11">
        <v>23.94</v>
      </c>
      <c r="E23" s="11">
        <v>23.94</v>
      </c>
      <c r="F23" s="11">
        <v>23.81</v>
      </c>
      <c r="G23" s="11">
        <v>23.88</v>
      </c>
      <c r="H23" s="11">
        <v>23.88</v>
      </c>
      <c r="I23" s="11">
        <v>23.94</v>
      </c>
      <c r="J23" s="11">
        <v>24.06</v>
      </c>
      <c r="K23" s="11">
        <v>24</v>
      </c>
      <c r="L23" s="11">
        <v>23.75</v>
      </c>
      <c r="M23" s="11">
        <v>26.8</v>
      </c>
      <c r="N23" s="11">
        <v>18</v>
      </c>
      <c r="P23" s="4">
        <v>23.96</v>
      </c>
      <c r="Q23" s="4">
        <f>P23-'Sonde étalon'!$C$14</f>
        <v>24.130000000000003</v>
      </c>
      <c r="T23" s="4">
        <f t="shared" si="7"/>
        <v>-0.19000000000000128</v>
      </c>
      <c r="U23" s="4">
        <f t="shared" si="8"/>
        <v>-0.19000000000000128</v>
      </c>
      <c r="V23" s="4">
        <f t="shared" si="9"/>
        <v>-0.32000000000000384</v>
      </c>
      <c r="W23" s="4">
        <f t="shared" si="10"/>
        <v>-0.25000000000000355</v>
      </c>
      <c r="X23" s="4">
        <f t="shared" si="11"/>
        <v>-0.25000000000000355</v>
      </c>
      <c r="Y23" s="4">
        <f t="shared" si="12"/>
        <v>-0.19000000000000128</v>
      </c>
      <c r="Z23" s="4">
        <f t="shared" si="13"/>
        <v>-7.0000000000003837E-2</v>
      </c>
      <c r="AA23" s="4">
        <f t="shared" si="14"/>
        <v>-0.13000000000000256</v>
      </c>
      <c r="AB23" s="4">
        <f t="shared" si="15"/>
        <v>-0.38000000000000256</v>
      </c>
      <c r="AC23" s="4">
        <f t="shared" si="17"/>
        <v>2.6699999999999982</v>
      </c>
      <c r="AF23" s="4">
        <f t="shared" si="18"/>
        <v>24.091830985915497</v>
      </c>
      <c r="AG23" s="4">
        <f t="shared" si="19"/>
        <v>24.160563380281694</v>
      </c>
      <c r="AH23" s="4">
        <f t="shared" si="20"/>
        <v>24.051408450704226</v>
      </c>
      <c r="AI23" s="4">
        <f t="shared" si="21"/>
        <v>24.095633802816902</v>
      </c>
      <c r="AJ23" s="4">
        <f t="shared" si="22"/>
        <v>24.113802816901408</v>
      </c>
      <c r="AK23" s="4">
        <f t="shared" si="23"/>
        <v>24.078169014084509</v>
      </c>
      <c r="AL23" s="4">
        <f t="shared" si="24"/>
        <v>24.084788732394365</v>
      </c>
      <c r="AM23" s="4">
        <f t="shared" si="25"/>
        <v>24.090140845070426</v>
      </c>
      <c r="AN23" s="4">
        <f t="shared" si="26"/>
        <v>24.098732394366198</v>
      </c>
      <c r="AO23" s="4">
        <f t="shared" si="27"/>
        <v>24.191830985915495</v>
      </c>
      <c r="AQ23"/>
      <c r="AR23" s="4">
        <f t="shared" si="28"/>
        <v>-3.8169014084505903E-2</v>
      </c>
      <c r="AS23" s="4">
        <f t="shared" si="29"/>
        <v>3.0563380281691366E-2</v>
      </c>
      <c r="AT23" s="4">
        <f t="shared" si="30"/>
        <v>-7.8591549295776275E-2</v>
      </c>
      <c r="AU23" s="4">
        <f t="shared" si="31"/>
        <v>-3.4366197183100411E-2</v>
      </c>
      <c r="AV23" s="4">
        <f t="shared" si="32"/>
        <v>-1.6197183098594081E-2</v>
      </c>
      <c r="AW23" s="4">
        <f t="shared" si="33"/>
        <v>-5.1830985915493955E-2</v>
      </c>
      <c r="AX23" s="4">
        <f t="shared" si="34"/>
        <v>-4.5211267605637318E-2</v>
      </c>
      <c r="AY23" s="4">
        <f t="shared" si="35"/>
        <v>-3.985915492957659E-2</v>
      </c>
      <c r="AZ23" s="4">
        <f t="shared" si="36"/>
        <v>-3.1267605633804152E-2</v>
      </c>
      <c r="BA23" s="4">
        <f t="shared" si="37"/>
        <v>6.1830985915491965E-2</v>
      </c>
    </row>
    <row r="24" spans="1:53" x14ac:dyDescent="0.25">
      <c r="A24" s="11">
        <v>21</v>
      </c>
      <c r="B24" s="12">
        <v>43551</v>
      </c>
      <c r="C24" s="13">
        <v>0.67303240740740744</v>
      </c>
      <c r="D24" s="11">
        <v>23.94</v>
      </c>
      <c r="E24" s="11">
        <v>23.88</v>
      </c>
      <c r="F24" s="11">
        <v>23.81</v>
      </c>
      <c r="G24" s="11">
        <v>23.88</v>
      </c>
      <c r="H24" s="11">
        <v>23.81</v>
      </c>
      <c r="I24" s="11">
        <v>23.94</v>
      </c>
      <c r="J24" s="11">
        <v>24.06</v>
      </c>
      <c r="K24" s="11">
        <v>24</v>
      </c>
      <c r="L24" s="11">
        <v>23.69</v>
      </c>
      <c r="M24" s="11">
        <v>26.8</v>
      </c>
      <c r="N24" s="11">
        <v>18</v>
      </c>
      <c r="P24" s="4">
        <v>23.91</v>
      </c>
      <c r="Q24" s="4">
        <f>P24-'Sonde étalon'!$C$14</f>
        <v>24.080000000000002</v>
      </c>
      <c r="T24" s="4">
        <f t="shared" si="7"/>
        <v>-0.14000000000000057</v>
      </c>
      <c r="U24" s="4">
        <f t="shared" si="8"/>
        <v>-0.20000000000000284</v>
      </c>
      <c r="V24" s="4">
        <f t="shared" si="9"/>
        <v>-0.27000000000000313</v>
      </c>
      <c r="W24" s="4">
        <f t="shared" si="10"/>
        <v>-0.20000000000000284</v>
      </c>
      <c r="X24" s="4">
        <f t="shared" si="11"/>
        <v>-0.27000000000000313</v>
      </c>
      <c r="Y24" s="4">
        <f t="shared" si="12"/>
        <v>-0.14000000000000057</v>
      </c>
      <c r="Z24" s="4">
        <f t="shared" si="13"/>
        <v>-2.0000000000003126E-2</v>
      </c>
      <c r="AA24" s="4">
        <f t="shared" si="14"/>
        <v>-8.0000000000001847E-2</v>
      </c>
      <c r="AB24" s="4">
        <f t="shared" si="15"/>
        <v>-0.39000000000000057</v>
      </c>
      <c r="AC24" s="4">
        <f t="shared" si="17"/>
        <v>2.7199999999999989</v>
      </c>
      <c r="AF24" s="4">
        <f t="shared" si="18"/>
        <v>24.091830985915497</v>
      </c>
      <c r="AG24" s="4">
        <f t="shared" si="19"/>
        <v>24.100563380281692</v>
      </c>
      <c r="AH24" s="4">
        <f t="shared" si="20"/>
        <v>24.051408450704226</v>
      </c>
      <c r="AI24" s="4">
        <f t="shared" si="21"/>
        <v>24.095633802816902</v>
      </c>
      <c r="AJ24" s="4">
        <f t="shared" si="22"/>
        <v>24.043802816901408</v>
      </c>
      <c r="AK24" s="4">
        <f t="shared" si="23"/>
        <v>24.078169014084509</v>
      </c>
      <c r="AL24" s="4">
        <f t="shared" si="24"/>
        <v>24.084788732394365</v>
      </c>
      <c r="AM24" s="4">
        <f t="shared" si="25"/>
        <v>24.090140845070426</v>
      </c>
      <c r="AN24" s="4">
        <f t="shared" si="26"/>
        <v>24.0387323943662</v>
      </c>
      <c r="AO24" s="4">
        <f t="shared" si="27"/>
        <v>24.191830985915495</v>
      </c>
      <c r="AQ24"/>
      <c r="AR24" s="4">
        <f t="shared" si="28"/>
        <v>1.1830985915494807E-2</v>
      </c>
      <c r="AS24" s="4">
        <f t="shared" si="29"/>
        <v>2.0563380281689803E-2</v>
      </c>
      <c r="AT24" s="4">
        <f t="shared" si="30"/>
        <v>-2.8591549295775565E-2</v>
      </c>
      <c r="AU24" s="4">
        <f t="shared" si="31"/>
        <v>1.56338028169003E-2</v>
      </c>
      <c r="AV24" s="4">
        <f t="shared" si="32"/>
        <v>-3.6197183098593655E-2</v>
      </c>
      <c r="AW24" s="4">
        <f t="shared" si="33"/>
        <v>-1.830985915493244E-3</v>
      </c>
      <c r="AX24" s="4">
        <f t="shared" si="34"/>
        <v>4.788732394363393E-3</v>
      </c>
      <c r="AY24" s="4">
        <f t="shared" si="35"/>
        <v>1.014084507042412E-2</v>
      </c>
      <c r="AZ24" s="4">
        <f t="shared" si="36"/>
        <v>-4.1267605633802162E-2</v>
      </c>
      <c r="BA24" s="4">
        <f t="shared" si="37"/>
        <v>0.11183098591549268</v>
      </c>
    </row>
    <row r="25" spans="1:53" x14ac:dyDescent="0.25">
      <c r="A25" s="11">
        <v>22</v>
      </c>
      <c r="B25" s="12">
        <v>43551</v>
      </c>
      <c r="C25" s="13">
        <v>0.67372685185185188</v>
      </c>
      <c r="D25" s="11">
        <v>23.88</v>
      </c>
      <c r="E25" s="11">
        <v>23.88</v>
      </c>
      <c r="F25" s="11">
        <v>23.81</v>
      </c>
      <c r="G25" s="11">
        <v>23.88</v>
      </c>
      <c r="H25" s="11">
        <v>23.81</v>
      </c>
      <c r="I25" s="11">
        <v>23.88</v>
      </c>
      <c r="J25" s="11">
        <v>24.06</v>
      </c>
      <c r="K25" s="11">
        <v>23.94</v>
      </c>
      <c r="L25" s="11">
        <v>23.69</v>
      </c>
      <c r="M25" s="11">
        <v>26.8</v>
      </c>
      <c r="N25" s="11">
        <v>18</v>
      </c>
      <c r="P25" s="4">
        <v>23.9</v>
      </c>
      <c r="Q25" s="4">
        <f>P25-'Sonde étalon'!$C$14</f>
        <v>24.07</v>
      </c>
      <c r="T25" s="4">
        <f t="shared" si="7"/>
        <v>-0.19000000000000128</v>
      </c>
      <c r="U25" s="4">
        <f t="shared" si="8"/>
        <v>-0.19000000000000128</v>
      </c>
      <c r="V25" s="4">
        <f t="shared" si="9"/>
        <v>-0.26000000000000156</v>
      </c>
      <c r="W25" s="4">
        <f t="shared" si="10"/>
        <v>-0.19000000000000128</v>
      </c>
      <c r="X25" s="4">
        <f t="shared" si="11"/>
        <v>-0.26000000000000156</v>
      </c>
      <c r="Y25" s="4">
        <f t="shared" si="12"/>
        <v>-0.19000000000000128</v>
      </c>
      <c r="Z25" s="4">
        <f t="shared" si="13"/>
        <v>-1.0000000000001563E-2</v>
      </c>
      <c r="AA25" s="4">
        <f t="shared" si="14"/>
        <v>-0.12999999999999901</v>
      </c>
      <c r="AB25" s="4">
        <f t="shared" si="15"/>
        <v>-0.37999999999999901</v>
      </c>
      <c r="AC25" s="4">
        <f t="shared" si="17"/>
        <v>2.7300000000000004</v>
      </c>
      <c r="AF25" s="4">
        <f t="shared" si="18"/>
        <v>24.031830985915494</v>
      </c>
      <c r="AG25" s="4">
        <f t="shared" si="19"/>
        <v>24.100563380281692</v>
      </c>
      <c r="AH25" s="4">
        <f t="shared" si="20"/>
        <v>24.051408450704226</v>
      </c>
      <c r="AI25" s="4">
        <f t="shared" si="21"/>
        <v>24.095633802816902</v>
      </c>
      <c r="AJ25" s="4">
        <f t="shared" si="22"/>
        <v>24.043802816901408</v>
      </c>
      <c r="AK25" s="4">
        <f t="shared" si="23"/>
        <v>24.018169014084506</v>
      </c>
      <c r="AL25" s="4">
        <f t="shared" si="24"/>
        <v>24.084788732394365</v>
      </c>
      <c r="AM25" s="4">
        <f t="shared" si="25"/>
        <v>24.030140845070427</v>
      </c>
      <c r="AN25" s="4">
        <f t="shared" si="26"/>
        <v>24.0387323943662</v>
      </c>
      <c r="AO25" s="4">
        <f t="shared" si="27"/>
        <v>24.191830985915495</v>
      </c>
      <c r="AQ25"/>
      <c r="AR25" s="4">
        <f t="shared" si="28"/>
        <v>-3.8169014084505903E-2</v>
      </c>
      <c r="AS25" s="4">
        <f t="shared" si="29"/>
        <v>3.0563380281691366E-2</v>
      </c>
      <c r="AT25" s="4">
        <f t="shared" si="30"/>
        <v>-1.8591549295774001E-2</v>
      </c>
      <c r="AU25" s="4">
        <f t="shared" si="31"/>
        <v>2.5633802816901863E-2</v>
      </c>
      <c r="AV25" s="4">
        <f t="shared" si="32"/>
        <v>-2.6197183098592092E-2</v>
      </c>
      <c r="AW25" s="4">
        <f t="shared" si="33"/>
        <v>-5.1830985915493955E-2</v>
      </c>
      <c r="AX25" s="4">
        <f t="shared" si="34"/>
        <v>1.4788732394364956E-2</v>
      </c>
      <c r="AY25" s="4">
        <f t="shared" si="35"/>
        <v>-3.9859154929573037E-2</v>
      </c>
      <c r="AZ25" s="4">
        <f t="shared" si="36"/>
        <v>-3.1267605633800599E-2</v>
      </c>
      <c r="BA25" s="4">
        <f t="shared" si="37"/>
        <v>0.12183098591549424</v>
      </c>
    </row>
    <row r="26" spans="1:53" x14ac:dyDescent="0.25">
      <c r="A26" s="11">
        <v>23</v>
      </c>
      <c r="B26" s="12">
        <v>43551</v>
      </c>
      <c r="C26" s="13">
        <v>0.67442129629629621</v>
      </c>
      <c r="D26" s="11">
        <v>23.88</v>
      </c>
      <c r="E26" s="11">
        <v>23.88</v>
      </c>
      <c r="F26" s="11">
        <v>23.81</v>
      </c>
      <c r="G26" s="11">
        <v>23.88</v>
      </c>
      <c r="H26" s="11">
        <v>23.81</v>
      </c>
      <c r="I26" s="11">
        <v>23.88</v>
      </c>
      <c r="J26" s="11">
        <v>24</v>
      </c>
      <c r="K26" s="11">
        <v>23.94</v>
      </c>
      <c r="L26" s="11">
        <v>23.69</v>
      </c>
      <c r="M26" s="11">
        <v>26.8</v>
      </c>
      <c r="N26" s="11">
        <v>18</v>
      </c>
      <c r="P26" s="4">
        <v>23.88</v>
      </c>
      <c r="Q26" s="4">
        <f>P26-'Sonde étalon'!$C$14</f>
        <v>24.05</v>
      </c>
      <c r="T26" s="4">
        <f t="shared" si="7"/>
        <v>-0.17000000000000171</v>
      </c>
      <c r="U26" s="4">
        <f t="shared" si="8"/>
        <v>-0.17000000000000171</v>
      </c>
      <c r="V26" s="4">
        <f t="shared" si="9"/>
        <v>-0.24000000000000199</v>
      </c>
      <c r="W26" s="4">
        <f t="shared" si="10"/>
        <v>-0.17000000000000171</v>
      </c>
      <c r="X26" s="4">
        <f t="shared" si="11"/>
        <v>-0.24000000000000199</v>
      </c>
      <c r="Y26" s="4">
        <f t="shared" si="12"/>
        <v>-0.17000000000000171</v>
      </c>
      <c r="Z26" s="4">
        <f t="shared" si="13"/>
        <v>-5.0000000000000711E-2</v>
      </c>
      <c r="AA26" s="4">
        <f t="shared" si="14"/>
        <v>-0.10999999999999943</v>
      </c>
      <c r="AB26" s="4">
        <f t="shared" si="15"/>
        <v>-0.35999999999999943</v>
      </c>
      <c r="AC26" s="4">
        <f t="shared" si="17"/>
        <v>2.75</v>
      </c>
      <c r="AF26" s="4">
        <f t="shared" si="18"/>
        <v>24.031830985915494</v>
      </c>
      <c r="AG26" s="4">
        <f t="shared" si="19"/>
        <v>24.100563380281692</v>
      </c>
      <c r="AH26" s="4">
        <f t="shared" si="20"/>
        <v>24.051408450704226</v>
      </c>
      <c r="AI26" s="4">
        <f t="shared" si="21"/>
        <v>24.095633802816902</v>
      </c>
      <c r="AJ26" s="4">
        <f t="shared" si="22"/>
        <v>24.043802816901408</v>
      </c>
      <c r="AK26" s="4">
        <f t="shared" si="23"/>
        <v>24.018169014084506</v>
      </c>
      <c r="AL26" s="4">
        <f t="shared" si="24"/>
        <v>24.024788732394367</v>
      </c>
      <c r="AM26" s="4">
        <f t="shared" si="25"/>
        <v>24.030140845070427</v>
      </c>
      <c r="AN26" s="4">
        <f t="shared" si="26"/>
        <v>24.0387323943662</v>
      </c>
      <c r="AO26" s="4">
        <f t="shared" si="27"/>
        <v>24.191830985915495</v>
      </c>
      <c r="AQ26"/>
      <c r="AR26" s="4">
        <f t="shared" si="28"/>
        <v>-1.816901408450633E-2</v>
      </c>
      <c r="AS26" s="4">
        <f t="shared" si="29"/>
        <v>5.0563380281690939E-2</v>
      </c>
      <c r="AT26" s="4">
        <f t="shared" si="30"/>
        <v>1.4084507042255723E-3</v>
      </c>
      <c r="AU26" s="4">
        <f t="shared" si="31"/>
        <v>4.5633802816901436E-2</v>
      </c>
      <c r="AV26" s="4">
        <f t="shared" si="32"/>
        <v>-6.197183098592518E-3</v>
      </c>
      <c r="AW26" s="4">
        <f t="shared" si="33"/>
        <v>-3.1830985915494381E-2</v>
      </c>
      <c r="AX26" s="4">
        <f t="shared" si="34"/>
        <v>-2.5211267605634191E-2</v>
      </c>
      <c r="AY26" s="4">
        <f t="shared" si="35"/>
        <v>-1.9859154929573464E-2</v>
      </c>
      <c r="AZ26" s="4">
        <f t="shared" si="36"/>
        <v>-1.1267605633801026E-2</v>
      </c>
      <c r="BA26" s="4">
        <f t="shared" si="37"/>
        <v>0.14183098591549381</v>
      </c>
    </row>
    <row r="27" spans="1:53" x14ac:dyDescent="0.25">
      <c r="A27" s="11">
        <v>24</v>
      </c>
      <c r="B27" s="12">
        <v>43551</v>
      </c>
      <c r="C27" s="13">
        <v>0.67511574074074077</v>
      </c>
      <c r="D27" s="11">
        <v>23.88</v>
      </c>
      <c r="E27" s="11">
        <v>23.88</v>
      </c>
      <c r="F27" s="11">
        <v>23.75</v>
      </c>
      <c r="G27" s="11">
        <v>23.81</v>
      </c>
      <c r="H27" s="11">
        <v>23.75</v>
      </c>
      <c r="I27" s="11">
        <v>23.88</v>
      </c>
      <c r="J27" s="11">
        <v>24</v>
      </c>
      <c r="K27" s="11">
        <v>23.94</v>
      </c>
      <c r="L27" s="11">
        <v>23.69</v>
      </c>
      <c r="M27" s="11">
        <v>26.8</v>
      </c>
      <c r="N27" s="11">
        <v>18</v>
      </c>
      <c r="P27" s="4">
        <v>23.87</v>
      </c>
      <c r="Q27" s="4">
        <f>P27-'Sonde étalon'!$C$14</f>
        <v>24.040000000000003</v>
      </c>
      <c r="T27" s="4">
        <f t="shared" si="7"/>
        <v>-0.16000000000000369</v>
      </c>
      <c r="U27" s="4">
        <f t="shared" si="8"/>
        <v>-0.16000000000000369</v>
      </c>
      <c r="V27" s="4">
        <f t="shared" si="9"/>
        <v>-0.2900000000000027</v>
      </c>
      <c r="W27" s="4">
        <f t="shared" si="10"/>
        <v>-0.23000000000000398</v>
      </c>
      <c r="X27" s="4">
        <f t="shared" si="11"/>
        <v>-0.2900000000000027</v>
      </c>
      <c r="Y27" s="4">
        <f t="shared" si="12"/>
        <v>-0.16000000000000369</v>
      </c>
      <c r="Z27" s="4">
        <f t="shared" si="13"/>
        <v>-4.00000000000027E-2</v>
      </c>
      <c r="AA27" s="4">
        <f t="shared" si="14"/>
        <v>-0.10000000000000142</v>
      </c>
      <c r="AB27" s="4">
        <f t="shared" si="15"/>
        <v>-0.35000000000000142</v>
      </c>
      <c r="AC27" s="4">
        <f t="shared" si="17"/>
        <v>2.759999999999998</v>
      </c>
      <c r="AF27" s="4">
        <f t="shared" si="18"/>
        <v>24.031830985915494</v>
      </c>
      <c r="AG27" s="4">
        <f t="shared" si="19"/>
        <v>24.100563380281692</v>
      </c>
      <c r="AH27" s="4">
        <f t="shared" si="20"/>
        <v>23.991408450704228</v>
      </c>
      <c r="AI27" s="4">
        <f t="shared" si="21"/>
        <v>24.025633802816902</v>
      </c>
      <c r="AJ27" s="4">
        <f t="shared" si="22"/>
        <v>23.983802816901409</v>
      </c>
      <c r="AK27" s="4">
        <f t="shared" si="23"/>
        <v>24.018169014084506</v>
      </c>
      <c r="AL27" s="4">
        <f t="shared" si="24"/>
        <v>24.024788732394367</v>
      </c>
      <c r="AM27" s="4">
        <f t="shared" si="25"/>
        <v>24.030140845070427</v>
      </c>
      <c r="AN27" s="4">
        <f t="shared" si="26"/>
        <v>24.0387323943662</v>
      </c>
      <c r="AO27" s="4">
        <f t="shared" si="27"/>
        <v>24.191830985915495</v>
      </c>
      <c r="AQ27"/>
      <c r="AR27" s="4">
        <f t="shared" si="28"/>
        <v>-8.1690140845083192E-3</v>
      </c>
      <c r="AS27" s="4">
        <f t="shared" si="29"/>
        <v>6.056338028168895E-2</v>
      </c>
      <c r="AT27" s="4">
        <f t="shared" si="30"/>
        <v>-4.8591549295775138E-2</v>
      </c>
      <c r="AU27" s="4">
        <f t="shared" si="31"/>
        <v>-1.4366197183100837E-2</v>
      </c>
      <c r="AV27" s="4">
        <f t="shared" si="32"/>
        <v>-5.6197183098593229E-2</v>
      </c>
      <c r="AW27" s="4">
        <f t="shared" si="33"/>
        <v>-2.183098591549637E-2</v>
      </c>
      <c r="AX27" s="4">
        <f t="shared" si="34"/>
        <v>-1.5211267605636181E-2</v>
      </c>
      <c r="AY27" s="4">
        <f t="shared" si="35"/>
        <v>-9.8591549295754533E-3</v>
      </c>
      <c r="AZ27" s="4">
        <f t="shared" si="36"/>
        <v>-1.2676056338030151E-3</v>
      </c>
      <c r="BA27" s="4">
        <f t="shared" si="37"/>
        <v>0.15183098591549182</v>
      </c>
    </row>
    <row r="28" spans="1:53" x14ac:dyDescent="0.25">
      <c r="A28" s="11">
        <v>25</v>
      </c>
      <c r="B28" s="12">
        <v>43551</v>
      </c>
      <c r="C28" s="15">
        <v>0.67581018518518521</v>
      </c>
      <c r="D28" s="11">
        <v>23.81</v>
      </c>
      <c r="E28" s="11">
        <v>23.81</v>
      </c>
      <c r="F28" s="11">
        <v>23.75</v>
      </c>
      <c r="G28" s="11">
        <v>23.81</v>
      </c>
      <c r="H28" s="11">
        <v>23.75</v>
      </c>
      <c r="I28" s="11">
        <v>23.81</v>
      </c>
      <c r="J28" s="11">
        <v>23.94</v>
      </c>
      <c r="K28" s="11">
        <v>23.94</v>
      </c>
      <c r="L28" s="11">
        <v>23.63</v>
      </c>
      <c r="M28" s="11">
        <v>26.8</v>
      </c>
      <c r="N28" s="11">
        <v>18</v>
      </c>
      <c r="P28" s="4">
        <v>23.84</v>
      </c>
      <c r="Q28" s="4">
        <f>P28-'Sonde étalon'!$C$14</f>
        <v>24.01</v>
      </c>
      <c r="T28" s="4">
        <f t="shared" si="7"/>
        <v>-0.20000000000000284</v>
      </c>
      <c r="U28" s="4">
        <f t="shared" si="8"/>
        <v>-0.20000000000000284</v>
      </c>
      <c r="V28" s="4">
        <f t="shared" si="9"/>
        <v>-0.26000000000000156</v>
      </c>
      <c r="W28" s="4">
        <f t="shared" si="10"/>
        <v>-0.20000000000000284</v>
      </c>
      <c r="X28" s="4">
        <f t="shared" si="11"/>
        <v>-0.26000000000000156</v>
      </c>
      <c r="Y28" s="4">
        <f t="shared" si="12"/>
        <v>-0.20000000000000284</v>
      </c>
      <c r="Z28" s="4">
        <f t="shared" si="13"/>
        <v>-7.0000000000000284E-2</v>
      </c>
      <c r="AA28" s="4">
        <f t="shared" si="14"/>
        <v>-7.0000000000000284E-2</v>
      </c>
      <c r="AB28" s="4">
        <f t="shared" si="15"/>
        <v>-0.38000000000000256</v>
      </c>
      <c r="AC28" s="4">
        <f t="shared" si="17"/>
        <v>2.7899999999999991</v>
      </c>
      <c r="AF28" s="4">
        <f t="shared" si="18"/>
        <v>23.961830985915494</v>
      </c>
      <c r="AG28" s="4">
        <f t="shared" si="19"/>
        <v>24.030563380281691</v>
      </c>
      <c r="AH28" s="4">
        <f t="shared" si="20"/>
        <v>23.991408450704228</v>
      </c>
      <c r="AI28" s="4">
        <f t="shared" si="21"/>
        <v>24.025633802816902</v>
      </c>
      <c r="AJ28" s="4">
        <f t="shared" si="22"/>
        <v>23.983802816901409</v>
      </c>
      <c r="AK28" s="4">
        <f t="shared" si="23"/>
        <v>23.948169014084506</v>
      </c>
      <c r="AL28" s="4">
        <f t="shared" si="24"/>
        <v>23.964788732394368</v>
      </c>
      <c r="AM28" s="4">
        <f t="shared" si="25"/>
        <v>24.030140845070427</v>
      </c>
      <c r="AN28" s="4">
        <f t="shared" si="26"/>
        <v>23.978732394366197</v>
      </c>
      <c r="AO28" s="4">
        <f t="shared" si="27"/>
        <v>24.191830985915495</v>
      </c>
      <c r="AQ28"/>
      <c r="AR28" s="4">
        <f t="shared" si="28"/>
        <v>-4.8169014084507467E-2</v>
      </c>
      <c r="AS28" s="4">
        <f t="shared" si="29"/>
        <v>2.0563380281689803E-2</v>
      </c>
      <c r="AT28" s="4">
        <f t="shared" si="30"/>
        <v>-1.8591549295774001E-2</v>
      </c>
      <c r="AU28" s="4">
        <f t="shared" si="31"/>
        <v>1.56338028169003E-2</v>
      </c>
      <c r="AV28" s="4">
        <f t="shared" si="32"/>
        <v>-2.6197183098592092E-2</v>
      </c>
      <c r="AW28" s="4">
        <f t="shared" si="33"/>
        <v>-6.1830985915495518E-2</v>
      </c>
      <c r="AX28" s="4">
        <f t="shared" si="34"/>
        <v>-4.5211267605633765E-2</v>
      </c>
      <c r="AY28" s="4">
        <f t="shared" si="35"/>
        <v>2.0140845070425684E-2</v>
      </c>
      <c r="AZ28" s="4">
        <f t="shared" si="36"/>
        <v>-3.1267605633804152E-2</v>
      </c>
      <c r="BA28" s="4">
        <f t="shared" si="37"/>
        <v>0.18183098591549296</v>
      </c>
    </row>
    <row r="29" spans="1:53" x14ac:dyDescent="0.25">
      <c r="A29" s="11">
        <v>26</v>
      </c>
      <c r="B29" s="12">
        <v>43551</v>
      </c>
      <c r="C29" s="13">
        <v>0.67650462962962965</v>
      </c>
      <c r="D29" s="11">
        <v>23.81</v>
      </c>
      <c r="E29" s="11">
        <v>23.81</v>
      </c>
      <c r="F29" s="11">
        <v>23.75</v>
      </c>
      <c r="G29" s="11">
        <v>23.75</v>
      </c>
      <c r="H29" s="11">
        <v>23.75</v>
      </c>
      <c r="I29" s="11">
        <v>23.81</v>
      </c>
      <c r="J29" s="11">
        <v>23.94</v>
      </c>
      <c r="K29" s="11">
        <v>23.88</v>
      </c>
      <c r="L29" s="11">
        <v>23.63</v>
      </c>
      <c r="M29" s="11">
        <v>26.8</v>
      </c>
      <c r="N29" s="11">
        <v>18</v>
      </c>
      <c r="P29" s="4">
        <v>23.84</v>
      </c>
      <c r="Q29" s="4">
        <f>P29-'Sonde étalon'!$C$14</f>
        <v>24.01</v>
      </c>
      <c r="T29" s="4">
        <f t="shared" si="7"/>
        <v>-0.20000000000000284</v>
      </c>
      <c r="U29" s="4">
        <f t="shared" si="8"/>
        <v>-0.20000000000000284</v>
      </c>
      <c r="V29" s="4">
        <f t="shared" si="9"/>
        <v>-0.26000000000000156</v>
      </c>
      <c r="W29" s="4">
        <f t="shared" si="10"/>
        <v>-0.26000000000000156</v>
      </c>
      <c r="X29" s="4">
        <f t="shared" si="11"/>
        <v>-0.26000000000000156</v>
      </c>
      <c r="Y29" s="4">
        <f t="shared" si="12"/>
        <v>-0.20000000000000284</v>
      </c>
      <c r="Z29" s="4">
        <f t="shared" si="13"/>
        <v>-7.0000000000000284E-2</v>
      </c>
      <c r="AA29" s="4">
        <f t="shared" si="14"/>
        <v>-0.13000000000000256</v>
      </c>
      <c r="AB29" s="4">
        <f t="shared" si="15"/>
        <v>-0.38000000000000256</v>
      </c>
      <c r="AC29" s="4">
        <f t="shared" si="17"/>
        <v>2.7899999999999991</v>
      </c>
      <c r="AF29" s="4">
        <f t="shared" si="18"/>
        <v>23.961830985915494</v>
      </c>
      <c r="AG29" s="4">
        <f t="shared" si="19"/>
        <v>24.030563380281691</v>
      </c>
      <c r="AH29" s="4">
        <f t="shared" si="20"/>
        <v>23.991408450704228</v>
      </c>
      <c r="AI29" s="4">
        <f t="shared" si="21"/>
        <v>23.965633802816903</v>
      </c>
      <c r="AJ29" s="4">
        <f t="shared" si="22"/>
        <v>23.983802816901409</v>
      </c>
      <c r="AK29" s="4">
        <f t="shared" si="23"/>
        <v>23.948169014084506</v>
      </c>
      <c r="AL29" s="4">
        <f t="shared" si="24"/>
        <v>23.964788732394368</v>
      </c>
      <c r="AM29" s="4">
        <f t="shared" si="25"/>
        <v>23.970140845070425</v>
      </c>
      <c r="AN29" s="4">
        <f t="shared" si="26"/>
        <v>23.978732394366197</v>
      </c>
      <c r="AO29" s="4">
        <f t="shared" si="27"/>
        <v>24.191830985915495</v>
      </c>
      <c r="AQ29"/>
      <c r="AR29" s="4">
        <f t="shared" si="28"/>
        <v>-4.8169014084507467E-2</v>
      </c>
      <c r="AS29" s="4">
        <f t="shared" si="29"/>
        <v>2.0563380281689803E-2</v>
      </c>
      <c r="AT29" s="4">
        <f t="shared" si="30"/>
        <v>-1.8591549295774001E-2</v>
      </c>
      <c r="AU29" s="4">
        <f t="shared" si="31"/>
        <v>-4.4366197183098421E-2</v>
      </c>
      <c r="AV29" s="4">
        <f t="shared" si="32"/>
        <v>-2.6197183098592092E-2</v>
      </c>
      <c r="AW29" s="4">
        <f t="shared" si="33"/>
        <v>-6.1830985915495518E-2</v>
      </c>
      <c r="AX29" s="4">
        <f t="shared" si="34"/>
        <v>-4.5211267605633765E-2</v>
      </c>
      <c r="AY29" s="4">
        <f t="shared" si="35"/>
        <v>-3.985915492957659E-2</v>
      </c>
      <c r="AZ29" s="4">
        <f t="shared" si="36"/>
        <v>-3.1267605633804152E-2</v>
      </c>
      <c r="BA29" s="4">
        <f t="shared" si="37"/>
        <v>0.18183098591549296</v>
      </c>
    </row>
    <row r="30" spans="1:53" x14ac:dyDescent="0.25">
      <c r="A30" s="11">
        <v>27</v>
      </c>
      <c r="B30" s="12">
        <v>43551</v>
      </c>
      <c r="C30" s="13">
        <v>0.67719907407407398</v>
      </c>
      <c r="D30" s="11">
        <v>23.81</v>
      </c>
      <c r="E30" s="11">
        <v>23.75</v>
      </c>
      <c r="F30" s="11">
        <v>23.75</v>
      </c>
      <c r="G30" s="11">
        <v>23.75</v>
      </c>
      <c r="H30" s="11">
        <v>23.75</v>
      </c>
      <c r="I30" s="11">
        <v>23.81</v>
      </c>
      <c r="J30" s="11">
        <v>23.94</v>
      </c>
      <c r="K30" s="11">
        <v>23.88</v>
      </c>
      <c r="L30" s="11">
        <v>23.63</v>
      </c>
      <c r="M30" s="11">
        <v>26.8</v>
      </c>
      <c r="N30" s="11">
        <v>18</v>
      </c>
      <c r="P30" s="4">
        <v>23.81</v>
      </c>
      <c r="Q30" s="4">
        <f>P30-'Sonde étalon'!$C$14</f>
        <v>23.98</v>
      </c>
      <c r="T30" s="4">
        <f t="shared" si="7"/>
        <v>-0.17000000000000171</v>
      </c>
      <c r="U30" s="4">
        <f t="shared" si="8"/>
        <v>-0.23000000000000043</v>
      </c>
      <c r="V30" s="4">
        <f t="shared" si="9"/>
        <v>-0.23000000000000043</v>
      </c>
      <c r="W30" s="4">
        <f t="shared" si="10"/>
        <v>-0.23000000000000043</v>
      </c>
      <c r="X30" s="4">
        <f t="shared" si="11"/>
        <v>-0.23000000000000043</v>
      </c>
      <c r="Y30" s="4">
        <f t="shared" si="12"/>
        <v>-0.17000000000000171</v>
      </c>
      <c r="Z30" s="4">
        <f t="shared" si="13"/>
        <v>-3.9999999999999147E-2</v>
      </c>
      <c r="AA30" s="4">
        <f t="shared" si="14"/>
        <v>-0.10000000000000142</v>
      </c>
      <c r="AB30" s="4">
        <f t="shared" si="15"/>
        <v>-0.35000000000000142</v>
      </c>
      <c r="AC30" s="4">
        <f t="shared" si="17"/>
        <v>2.8200000000000003</v>
      </c>
      <c r="AF30" s="4">
        <f t="shared" si="18"/>
        <v>23.961830985915494</v>
      </c>
      <c r="AG30" s="4">
        <f t="shared" si="19"/>
        <v>23.970563380281693</v>
      </c>
      <c r="AH30" s="4">
        <f t="shared" si="20"/>
        <v>23.991408450704228</v>
      </c>
      <c r="AI30" s="4">
        <f t="shared" si="21"/>
        <v>23.965633802816903</v>
      </c>
      <c r="AJ30" s="4">
        <f t="shared" si="22"/>
        <v>23.983802816901409</v>
      </c>
      <c r="AK30" s="4">
        <f t="shared" si="23"/>
        <v>23.948169014084506</v>
      </c>
      <c r="AL30" s="4">
        <f t="shared" si="24"/>
        <v>23.964788732394368</v>
      </c>
      <c r="AM30" s="4">
        <f t="shared" si="25"/>
        <v>23.970140845070425</v>
      </c>
      <c r="AN30" s="4">
        <f t="shared" si="26"/>
        <v>23.978732394366197</v>
      </c>
      <c r="AO30" s="4">
        <f t="shared" si="27"/>
        <v>24.191830985915495</v>
      </c>
      <c r="AQ30"/>
      <c r="AR30" s="4">
        <f t="shared" si="28"/>
        <v>-1.816901408450633E-2</v>
      </c>
      <c r="AS30" s="4">
        <f t="shared" si="29"/>
        <v>-9.4366197183077816E-3</v>
      </c>
      <c r="AT30" s="4">
        <f t="shared" si="30"/>
        <v>1.1408450704227135E-2</v>
      </c>
      <c r="AU30" s="4">
        <f t="shared" si="31"/>
        <v>-1.4366197183097285E-2</v>
      </c>
      <c r="AV30" s="4">
        <f t="shared" si="32"/>
        <v>3.8028169014090452E-3</v>
      </c>
      <c r="AW30" s="4">
        <f t="shared" si="33"/>
        <v>-3.1830985915494381E-2</v>
      </c>
      <c r="AX30" s="4">
        <f t="shared" si="34"/>
        <v>-1.5211267605632628E-2</v>
      </c>
      <c r="AY30" s="4">
        <f t="shared" si="35"/>
        <v>-9.8591549295754533E-3</v>
      </c>
      <c r="AZ30" s="4">
        <f t="shared" si="36"/>
        <v>-1.2676056338030151E-3</v>
      </c>
      <c r="BA30" s="4">
        <f t="shared" si="37"/>
        <v>0.2118309859154941</v>
      </c>
    </row>
    <row r="31" spans="1:53" x14ac:dyDescent="0.25">
      <c r="A31" s="11">
        <v>28</v>
      </c>
      <c r="B31" s="12">
        <v>43551</v>
      </c>
      <c r="C31" s="13">
        <v>0.67789351851851853</v>
      </c>
      <c r="D31" s="11">
        <v>23.81</v>
      </c>
      <c r="E31" s="11">
        <v>23.75</v>
      </c>
      <c r="F31" s="11">
        <v>23.75</v>
      </c>
      <c r="G31" s="11">
        <v>23.81</v>
      </c>
      <c r="H31" s="11">
        <v>23.75</v>
      </c>
      <c r="I31" s="11">
        <v>23.81</v>
      </c>
      <c r="J31" s="11">
        <v>23.94</v>
      </c>
      <c r="K31" s="11">
        <v>23.88</v>
      </c>
      <c r="L31" s="11">
        <v>23.63</v>
      </c>
      <c r="M31" s="11">
        <v>26.7</v>
      </c>
      <c r="N31" s="11">
        <v>18</v>
      </c>
      <c r="P31" s="4">
        <v>23.84</v>
      </c>
      <c r="Q31" s="4">
        <f>P31-'Sonde étalon'!$C$14</f>
        <v>24.01</v>
      </c>
      <c r="T31" s="4">
        <f t="shared" si="7"/>
        <v>-0.20000000000000284</v>
      </c>
      <c r="U31" s="4">
        <f t="shared" si="8"/>
        <v>-0.26000000000000156</v>
      </c>
      <c r="V31" s="4">
        <f t="shared" si="9"/>
        <v>-0.26000000000000156</v>
      </c>
      <c r="W31" s="4">
        <f t="shared" si="10"/>
        <v>-0.20000000000000284</v>
      </c>
      <c r="X31" s="4">
        <f t="shared" si="11"/>
        <v>-0.26000000000000156</v>
      </c>
      <c r="Y31" s="4">
        <f t="shared" si="12"/>
        <v>-0.20000000000000284</v>
      </c>
      <c r="Z31" s="4">
        <f t="shared" si="13"/>
        <v>-7.0000000000000284E-2</v>
      </c>
      <c r="AA31" s="4">
        <f t="shared" si="14"/>
        <v>-0.13000000000000256</v>
      </c>
      <c r="AB31" s="4">
        <f t="shared" si="15"/>
        <v>-0.38000000000000256</v>
      </c>
      <c r="AC31" s="4">
        <f t="shared" si="17"/>
        <v>2.6899999999999977</v>
      </c>
      <c r="AF31" s="4">
        <f t="shared" si="18"/>
        <v>23.961830985915494</v>
      </c>
      <c r="AG31" s="4">
        <f t="shared" si="19"/>
        <v>23.970563380281693</v>
      </c>
      <c r="AH31" s="4">
        <f t="shared" si="20"/>
        <v>23.991408450704228</v>
      </c>
      <c r="AI31" s="4">
        <f t="shared" si="21"/>
        <v>24.025633802816902</v>
      </c>
      <c r="AJ31" s="4">
        <f t="shared" si="22"/>
        <v>23.983802816901409</v>
      </c>
      <c r="AK31" s="4">
        <f t="shared" si="23"/>
        <v>23.948169014084506</v>
      </c>
      <c r="AL31" s="4">
        <f t="shared" si="24"/>
        <v>23.964788732394368</v>
      </c>
      <c r="AM31" s="4">
        <f t="shared" si="25"/>
        <v>23.970140845070425</v>
      </c>
      <c r="AN31" s="4">
        <f t="shared" si="26"/>
        <v>23.978732394366197</v>
      </c>
      <c r="AO31" s="4">
        <f t="shared" si="27"/>
        <v>24.091830985915493</v>
      </c>
      <c r="AQ31"/>
      <c r="AR31" s="4">
        <f t="shared" si="28"/>
        <v>-4.8169014084507467E-2</v>
      </c>
      <c r="AS31" s="4">
        <f t="shared" si="29"/>
        <v>-3.9436619718308918E-2</v>
      </c>
      <c r="AT31" s="4">
        <f t="shared" si="30"/>
        <v>-1.8591549295774001E-2</v>
      </c>
      <c r="AU31" s="4">
        <f t="shared" si="31"/>
        <v>1.56338028169003E-2</v>
      </c>
      <c r="AV31" s="4">
        <f t="shared" si="32"/>
        <v>-2.6197183098592092E-2</v>
      </c>
      <c r="AW31" s="4">
        <f t="shared" si="33"/>
        <v>-6.1830985915495518E-2</v>
      </c>
      <c r="AX31" s="4">
        <f t="shared" si="34"/>
        <v>-4.5211267605633765E-2</v>
      </c>
      <c r="AY31" s="4">
        <f t="shared" si="35"/>
        <v>-3.985915492957659E-2</v>
      </c>
      <c r="AZ31" s="4">
        <f t="shared" si="36"/>
        <v>-3.1267605633804152E-2</v>
      </c>
      <c r="BA31" s="4">
        <f t="shared" si="37"/>
        <v>8.1830985915491539E-2</v>
      </c>
    </row>
    <row r="32" spans="1:53" x14ac:dyDescent="0.25">
      <c r="A32" s="11">
        <v>29</v>
      </c>
      <c r="B32" s="12">
        <v>43551</v>
      </c>
      <c r="C32" s="13">
        <v>0.67858796296296298</v>
      </c>
      <c r="D32" s="11">
        <v>23.81</v>
      </c>
      <c r="E32" s="11">
        <v>23.75</v>
      </c>
      <c r="F32" s="11">
        <v>23.81</v>
      </c>
      <c r="G32" s="11">
        <v>23.81</v>
      </c>
      <c r="H32" s="11">
        <v>23.75</v>
      </c>
      <c r="I32" s="11">
        <v>23.81</v>
      </c>
      <c r="J32" s="11">
        <v>23.94</v>
      </c>
      <c r="K32" s="11">
        <v>23.88</v>
      </c>
      <c r="L32" s="11">
        <v>23.63</v>
      </c>
      <c r="M32" s="11">
        <v>26.7</v>
      </c>
      <c r="N32" s="11">
        <v>17</v>
      </c>
      <c r="P32" s="4">
        <v>23.83</v>
      </c>
      <c r="Q32" s="4">
        <f>P32-'Sonde étalon'!$C$14</f>
        <v>24</v>
      </c>
      <c r="T32" s="4">
        <f t="shared" si="7"/>
        <v>-0.19000000000000128</v>
      </c>
      <c r="U32" s="4">
        <f t="shared" si="8"/>
        <v>-0.25</v>
      </c>
      <c r="V32" s="4">
        <f t="shared" si="9"/>
        <v>-0.19000000000000128</v>
      </c>
      <c r="W32" s="4">
        <f t="shared" si="10"/>
        <v>-0.19000000000000128</v>
      </c>
      <c r="X32" s="4">
        <f t="shared" si="11"/>
        <v>-0.25</v>
      </c>
      <c r="Y32" s="4">
        <f t="shared" si="12"/>
        <v>-0.19000000000000128</v>
      </c>
      <c r="Z32" s="4">
        <f t="shared" si="13"/>
        <v>-5.9999999999998721E-2</v>
      </c>
      <c r="AA32" s="4">
        <f t="shared" si="14"/>
        <v>-0.12000000000000099</v>
      </c>
      <c r="AB32" s="4">
        <f t="shared" si="15"/>
        <v>-0.37000000000000099</v>
      </c>
      <c r="AC32" s="4">
        <f t="shared" si="17"/>
        <v>2.6999999999999993</v>
      </c>
      <c r="AF32" s="4">
        <f t="shared" si="18"/>
        <v>23.961830985915494</v>
      </c>
      <c r="AG32" s="4">
        <f t="shared" si="19"/>
        <v>23.970563380281693</v>
      </c>
      <c r="AH32" s="4">
        <f t="shared" si="20"/>
        <v>24.051408450704226</v>
      </c>
      <c r="AI32" s="4">
        <f t="shared" si="21"/>
        <v>24.025633802816902</v>
      </c>
      <c r="AJ32" s="4">
        <f t="shared" si="22"/>
        <v>23.983802816901409</v>
      </c>
      <c r="AK32" s="4">
        <f t="shared" si="23"/>
        <v>23.948169014084506</v>
      </c>
      <c r="AL32" s="4">
        <f t="shared" si="24"/>
        <v>23.964788732394368</v>
      </c>
      <c r="AM32" s="4">
        <f t="shared" si="25"/>
        <v>23.970140845070425</v>
      </c>
      <c r="AN32" s="4">
        <f t="shared" si="26"/>
        <v>23.978732394366197</v>
      </c>
      <c r="AO32" s="4">
        <f t="shared" si="27"/>
        <v>24.091830985915493</v>
      </c>
      <c r="AQ32"/>
      <c r="AR32" s="4">
        <f t="shared" si="28"/>
        <v>-3.8169014084505903E-2</v>
      </c>
      <c r="AS32" s="4">
        <f t="shared" si="29"/>
        <v>-2.9436619718307355E-2</v>
      </c>
      <c r="AT32" s="4">
        <f t="shared" si="30"/>
        <v>5.1408450704226283E-2</v>
      </c>
      <c r="AU32" s="4">
        <f t="shared" si="31"/>
        <v>2.5633802816901863E-2</v>
      </c>
      <c r="AV32" s="4">
        <f t="shared" si="32"/>
        <v>-1.6197183098590529E-2</v>
      </c>
      <c r="AW32" s="4">
        <f t="shared" si="33"/>
        <v>-5.1830985915493955E-2</v>
      </c>
      <c r="AX32" s="4">
        <f t="shared" si="34"/>
        <v>-3.5211267605632202E-2</v>
      </c>
      <c r="AY32" s="4">
        <f t="shared" si="35"/>
        <v>-2.9859154929575027E-2</v>
      </c>
      <c r="AZ32" s="4">
        <f t="shared" si="36"/>
        <v>-2.1267605633802589E-2</v>
      </c>
      <c r="BA32" s="4">
        <f t="shared" si="37"/>
        <v>9.1830985915493102E-2</v>
      </c>
    </row>
    <row r="33" spans="1:53" x14ac:dyDescent="0.25">
      <c r="A33" s="11">
        <v>30</v>
      </c>
      <c r="B33" s="12">
        <v>43551</v>
      </c>
      <c r="C33" s="13">
        <v>0.67928240740740742</v>
      </c>
      <c r="D33" s="11">
        <v>23.81</v>
      </c>
      <c r="E33" s="11">
        <v>23.75</v>
      </c>
      <c r="F33" s="11">
        <v>23.75</v>
      </c>
      <c r="G33" s="11">
        <v>23.75</v>
      </c>
      <c r="H33" s="11">
        <v>23.75</v>
      </c>
      <c r="I33" s="11">
        <v>23.81</v>
      </c>
      <c r="J33" s="11">
        <v>23.94</v>
      </c>
      <c r="K33" s="11">
        <v>23.88</v>
      </c>
      <c r="L33" s="11">
        <v>23.63</v>
      </c>
      <c r="M33" s="11">
        <v>26.6</v>
      </c>
      <c r="N33" s="11">
        <v>17</v>
      </c>
      <c r="P33" s="4">
        <v>23.86</v>
      </c>
      <c r="Q33" s="4">
        <f>P33-'Sonde étalon'!$C$14</f>
        <v>24.03</v>
      </c>
      <c r="T33" s="4">
        <f t="shared" si="7"/>
        <v>-0.22000000000000242</v>
      </c>
      <c r="U33" s="4">
        <f t="shared" si="8"/>
        <v>-0.28000000000000114</v>
      </c>
      <c r="V33" s="4">
        <f t="shared" si="9"/>
        <v>-0.28000000000000114</v>
      </c>
      <c r="W33" s="4">
        <f t="shared" si="10"/>
        <v>-0.28000000000000114</v>
      </c>
      <c r="X33" s="4">
        <f t="shared" si="11"/>
        <v>-0.28000000000000114</v>
      </c>
      <c r="Y33" s="4">
        <f t="shared" si="12"/>
        <v>-0.22000000000000242</v>
      </c>
      <c r="Z33" s="4">
        <f t="shared" si="13"/>
        <v>-8.9999999999999858E-2</v>
      </c>
      <c r="AA33" s="4">
        <f t="shared" si="14"/>
        <v>-0.15000000000000213</v>
      </c>
      <c r="AB33" s="4">
        <f t="shared" si="15"/>
        <v>-0.40000000000000213</v>
      </c>
      <c r="AC33" s="4">
        <f t="shared" si="17"/>
        <v>2.5700000000000003</v>
      </c>
      <c r="AF33" s="4">
        <f t="shared" si="18"/>
        <v>23.961830985915494</v>
      </c>
      <c r="AG33" s="4">
        <f t="shared" si="19"/>
        <v>23.970563380281693</v>
      </c>
      <c r="AH33" s="4">
        <f t="shared" si="20"/>
        <v>23.991408450704228</v>
      </c>
      <c r="AI33" s="4">
        <f t="shared" si="21"/>
        <v>23.965633802816903</v>
      </c>
      <c r="AJ33" s="4">
        <f t="shared" si="22"/>
        <v>23.983802816901409</v>
      </c>
      <c r="AK33" s="4">
        <f t="shared" si="23"/>
        <v>23.948169014084506</v>
      </c>
      <c r="AL33" s="4">
        <f t="shared" si="24"/>
        <v>23.964788732394368</v>
      </c>
      <c r="AM33" s="4">
        <f t="shared" si="25"/>
        <v>23.970140845070425</v>
      </c>
      <c r="AN33" s="4">
        <f t="shared" si="26"/>
        <v>23.978732394366197</v>
      </c>
      <c r="AO33" s="4">
        <f t="shared" si="27"/>
        <v>23.991830985915495</v>
      </c>
      <c r="AQ33"/>
      <c r="AR33" s="4">
        <f t="shared" si="28"/>
        <v>-6.816901408450704E-2</v>
      </c>
      <c r="AS33" s="4">
        <f t="shared" si="29"/>
        <v>-5.9436619718308492E-2</v>
      </c>
      <c r="AT33" s="4">
        <f t="shared" si="30"/>
        <v>-3.8591549295773575E-2</v>
      </c>
      <c r="AU33" s="4">
        <f t="shared" si="31"/>
        <v>-6.4366197183097995E-2</v>
      </c>
      <c r="AV33" s="4">
        <f t="shared" si="32"/>
        <v>-4.6197183098591665E-2</v>
      </c>
      <c r="AW33" s="4">
        <f t="shared" si="33"/>
        <v>-8.1830985915495091E-2</v>
      </c>
      <c r="AX33" s="4">
        <f t="shared" si="34"/>
        <v>-6.5211267605633338E-2</v>
      </c>
      <c r="AY33" s="4">
        <f t="shared" si="35"/>
        <v>-5.9859154929576164E-2</v>
      </c>
      <c r="AZ33" s="4">
        <f t="shared" si="36"/>
        <v>-5.1267605633803726E-2</v>
      </c>
      <c r="BA33" s="4">
        <f t="shared" si="37"/>
        <v>-3.8169014084505903E-2</v>
      </c>
    </row>
    <row r="34" spans="1:53" x14ac:dyDescent="0.25">
      <c r="A34" s="11">
        <v>31</v>
      </c>
      <c r="B34" s="12">
        <v>43551</v>
      </c>
      <c r="C34" s="13">
        <v>0.67997685185185175</v>
      </c>
      <c r="D34" s="11">
        <v>23.81</v>
      </c>
      <c r="E34" s="11">
        <v>23.75</v>
      </c>
      <c r="F34" s="11">
        <v>23.81</v>
      </c>
      <c r="G34" s="11">
        <v>23.75</v>
      </c>
      <c r="H34" s="11">
        <v>23.75</v>
      </c>
      <c r="I34" s="11">
        <v>23.81</v>
      </c>
      <c r="J34" s="11">
        <v>23.94</v>
      </c>
      <c r="K34" s="11">
        <v>23.88</v>
      </c>
      <c r="L34" s="11">
        <v>23.63</v>
      </c>
      <c r="M34" s="11">
        <v>26.6</v>
      </c>
      <c r="N34" s="11">
        <v>17</v>
      </c>
      <c r="P34" s="4">
        <v>23.84</v>
      </c>
      <c r="Q34" s="4">
        <f>P34-'Sonde étalon'!$C$14</f>
        <v>24.01</v>
      </c>
      <c r="T34" s="4">
        <f t="shared" si="7"/>
        <v>-0.20000000000000284</v>
      </c>
      <c r="U34" s="4">
        <f t="shared" si="8"/>
        <v>-0.26000000000000156</v>
      </c>
      <c r="V34" s="4">
        <f t="shared" si="9"/>
        <v>-0.20000000000000284</v>
      </c>
      <c r="W34" s="4">
        <f t="shared" si="10"/>
        <v>-0.26000000000000156</v>
      </c>
      <c r="X34" s="4">
        <f t="shared" si="11"/>
        <v>-0.26000000000000156</v>
      </c>
      <c r="Y34" s="4">
        <f t="shared" si="12"/>
        <v>-0.20000000000000284</v>
      </c>
      <c r="Z34" s="4">
        <f t="shared" si="13"/>
        <v>-7.0000000000000284E-2</v>
      </c>
      <c r="AA34" s="4">
        <f t="shared" si="14"/>
        <v>-0.13000000000000256</v>
      </c>
      <c r="AB34" s="4">
        <f t="shared" si="15"/>
        <v>-0.38000000000000256</v>
      </c>
      <c r="AC34" s="4">
        <f t="shared" si="17"/>
        <v>2.59</v>
      </c>
      <c r="AF34" s="4">
        <f t="shared" si="18"/>
        <v>23.961830985915494</v>
      </c>
      <c r="AG34" s="4">
        <f t="shared" si="19"/>
        <v>23.970563380281693</v>
      </c>
      <c r="AH34" s="4">
        <f t="shared" si="20"/>
        <v>24.051408450704226</v>
      </c>
      <c r="AI34" s="4">
        <f t="shared" si="21"/>
        <v>23.965633802816903</v>
      </c>
      <c r="AJ34" s="4">
        <f t="shared" si="22"/>
        <v>23.983802816901409</v>
      </c>
      <c r="AK34" s="4">
        <f t="shared" si="23"/>
        <v>23.948169014084506</v>
      </c>
      <c r="AL34" s="4">
        <f t="shared" si="24"/>
        <v>23.964788732394368</v>
      </c>
      <c r="AM34" s="4">
        <f t="shared" si="25"/>
        <v>23.970140845070425</v>
      </c>
      <c r="AN34" s="4">
        <f t="shared" si="26"/>
        <v>23.978732394366197</v>
      </c>
      <c r="AO34" s="4">
        <f t="shared" si="27"/>
        <v>23.991830985915495</v>
      </c>
      <c r="AQ34"/>
      <c r="AR34" s="4">
        <f t="shared" si="28"/>
        <v>-4.8169014084507467E-2</v>
      </c>
      <c r="AS34" s="4">
        <f t="shared" si="29"/>
        <v>-3.9436619718308918E-2</v>
      </c>
      <c r="AT34" s="4">
        <f t="shared" si="30"/>
        <v>4.140845070422472E-2</v>
      </c>
      <c r="AU34" s="4">
        <f t="shared" si="31"/>
        <v>-4.4366197183098421E-2</v>
      </c>
      <c r="AV34" s="4">
        <f t="shared" si="32"/>
        <v>-2.6197183098592092E-2</v>
      </c>
      <c r="AW34" s="4">
        <f t="shared" si="33"/>
        <v>-6.1830985915495518E-2</v>
      </c>
      <c r="AX34" s="4">
        <f t="shared" si="34"/>
        <v>-4.5211267605633765E-2</v>
      </c>
      <c r="AY34" s="4">
        <f t="shared" si="35"/>
        <v>-3.985915492957659E-2</v>
      </c>
      <c r="AZ34" s="4">
        <f t="shared" si="36"/>
        <v>-3.1267605633804152E-2</v>
      </c>
      <c r="BA34" s="4">
        <f t="shared" si="37"/>
        <v>-1.816901408450633E-2</v>
      </c>
    </row>
    <row r="35" spans="1:53" x14ac:dyDescent="0.25">
      <c r="A35" s="11">
        <v>32</v>
      </c>
      <c r="B35" s="12">
        <v>43551</v>
      </c>
      <c r="C35" s="13">
        <v>0.6806712962962963</v>
      </c>
      <c r="D35" s="11">
        <v>23.88</v>
      </c>
      <c r="E35" s="11">
        <v>23.81</v>
      </c>
      <c r="F35" s="11">
        <v>23.88</v>
      </c>
      <c r="G35" s="11">
        <v>23.88</v>
      </c>
      <c r="H35" s="11">
        <v>23.81</v>
      </c>
      <c r="I35" s="11">
        <v>23.94</v>
      </c>
      <c r="J35" s="11">
        <v>24</v>
      </c>
      <c r="K35" s="11">
        <v>23.94</v>
      </c>
      <c r="L35" s="11">
        <v>23.69</v>
      </c>
      <c r="M35" s="11">
        <v>26.6</v>
      </c>
      <c r="N35" s="11">
        <v>17</v>
      </c>
      <c r="P35" s="4">
        <v>23.88</v>
      </c>
      <c r="Q35" s="4">
        <f>P35-'Sonde étalon'!$C$14</f>
        <v>24.05</v>
      </c>
      <c r="T35" s="4">
        <f t="shared" si="7"/>
        <v>-0.17000000000000171</v>
      </c>
      <c r="U35" s="4">
        <f t="shared" si="8"/>
        <v>-0.24000000000000199</v>
      </c>
      <c r="V35" s="4">
        <f t="shared" si="9"/>
        <v>-0.17000000000000171</v>
      </c>
      <c r="W35" s="4">
        <f t="shared" si="10"/>
        <v>-0.17000000000000171</v>
      </c>
      <c r="X35" s="4">
        <f t="shared" si="11"/>
        <v>-0.24000000000000199</v>
      </c>
      <c r="Y35" s="4">
        <f t="shared" si="12"/>
        <v>-0.10999999999999943</v>
      </c>
      <c r="Z35" s="4">
        <f t="shared" si="13"/>
        <v>-5.0000000000000711E-2</v>
      </c>
      <c r="AA35" s="4">
        <f t="shared" si="14"/>
        <v>-0.10999999999999943</v>
      </c>
      <c r="AB35" s="4">
        <f t="shared" si="15"/>
        <v>-0.35999999999999943</v>
      </c>
      <c r="AC35" s="4">
        <f t="shared" si="17"/>
        <v>2.5500000000000007</v>
      </c>
      <c r="AF35" s="4">
        <f t="shared" si="18"/>
        <v>24.031830985915494</v>
      </c>
      <c r="AG35" s="4">
        <f t="shared" si="19"/>
        <v>24.030563380281691</v>
      </c>
      <c r="AH35" s="4">
        <f t="shared" si="20"/>
        <v>24.121408450704227</v>
      </c>
      <c r="AI35" s="4">
        <f t="shared" si="21"/>
        <v>24.095633802816902</v>
      </c>
      <c r="AJ35" s="4">
        <f t="shared" si="22"/>
        <v>24.043802816901408</v>
      </c>
      <c r="AK35" s="4">
        <f t="shared" si="23"/>
        <v>24.078169014084509</v>
      </c>
      <c r="AL35" s="4">
        <f t="shared" si="24"/>
        <v>24.024788732394367</v>
      </c>
      <c r="AM35" s="4">
        <f t="shared" si="25"/>
        <v>24.030140845070427</v>
      </c>
      <c r="AN35" s="4">
        <f t="shared" si="26"/>
        <v>24.0387323943662</v>
      </c>
      <c r="AO35" s="4">
        <f t="shared" si="27"/>
        <v>23.991830985915495</v>
      </c>
      <c r="AQ35"/>
      <c r="AR35" s="4">
        <f t="shared" si="28"/>
        <v>-1.816901408450633E-2</v>
      </c>
      <c r="AS35" s="4">
        <f t="shared" si="29"/>
        <v>-1.9436619718309345E-2</v>
      </c>
      <c r="AT35" s="4">
        <f t="shared" si="30"/>
        <v>7.1408450704225856E-2</v>
      </c>
      <c r="AU35" s="4">
        <f t="shared" si="31"/>
        <v>4.5633802816901436E-2</v>
      </c>
      <c r="AV35" s="4">
        <f t="shared" si="32"/>
        <v>-6.197183098592518E-3</v>
      </c>
      <c r="AW35" s="4">
        <f t="shared" si="33"/>
        <v>2.8169014084507893E-2</v>
      </c>
      <c r="AX35" s="4">
        <f t="shared" si="34"/>
        <v>-2.5211267605634191E-2</v>
      </c>
      <c r="AY35" s="4">
        <f t="shared" si="35"/>
        <v>-1.9859154929573464E-2</v>
      </c>
      <c r="AZ35" s="4">
        <f t="shared" si="36"/>
        <v>-1.1267605633801026E-2</v>
      </c>
      <c r="BA35" s="4">
        <f t="shared" si="37"/>
        <v>-5.8169014084505477E-2</v>
      </c>
    </row>
    <row r="36" spans="1:53" x14ac:dyDescent="0.25">
      <c r="A36" s="11">
        <v>33</v>
      </c>
      <c r="B36" s="12">
        <v>43551</v>
      </c>
      <c r="C36" s="13">
        <v>0.68136574074074074</v>
      </c>
      <c r="D36" s="11">
        <v>23.94</v>
      </c>
      <c r="E36" s="11">
        <v>23.88</v>
      </c>
      <c r="F36" s="11">
        <v>23.88</v>
      </c>
      <c r="G36" s="11">
        <v>23.88</v>
      </c>
      <c r="H36" s="11">
        <v>23.88</v>
      </c>
      <c r="I36" s="11">
        <v>24</v>
      </c>
      <c r="J36" s="11">
        <v>24.06</v>
      </c>
      <c r="K36" s="11">
        <v>24</v>
      </c>
      <c r="L36" s="11">
        <v>23.75</v>
      </c>
      <c r="M36" s="11">
        <v>26.6</v>
      </c>
      <c r="N36" s="11">
        <v>17</v>
      </c>
      <c r="P36" s="4">
        <v>23.94</v>
      </c>
      <c r="Q36" s="4">
        <f>P36-'Sonde étalon'!$C$14</f>
        <v>24.110000000000003</v>
      </c>
      <c r="T36" s="4">
        <f t="shared" si="7"/>
        <v>-0.17000000000000171</v>
      </c>
      <c r="U36" s="4">
        <f t="shared" si="8"/>
        <v>-0.23000000000000398</v>
      </c>
      <c r="V36" s="4">
        <f t="shared" si="9"/>
        <v>-0.23000000000000398</v>
      </c>
      <c r="W36" s="4">
        <f t="shared" si="10"/>
        <v>-0.23000000000000398</v>
      </c>
      <c r="X36" s="4">
        <f t="shared" si="11"/>
        <v>-0.23000000000000398</v>
      </c>
      <c r="Y36" s="4">
        <f t="shared" si="12"/>
        <v>-0.11000000000000298</v>
      </c>
      <c r="Z36" s="4">
        <f t="shared" si="13"/>
        <v>-5.0000000000004263E-2</v>
      </c>
      <c r="AA36" s="4">
        <f t="shared" si="14"/>
        <v>-0.11000000000000298</v>
      </c>
      <c r="AB36" s="4">
        <f t="shared" si="15"/>
        <v>-0.36000000000000298</v>
      </c>
      <c r="AC36" s="4">
        <f t="shared" si="17"/>
        <v>2.4899999999999984</v>
      </c>
      <c r="AF36" s="4">
        <f t="shared" si="18"/>
        <v>24.091830985915497</v>
      </c>
      <c r="AG36" s="4">
        <f t="shared" si="19"/>
        <v>24.100563380281692</v>
      </c>
      <c r="AH36" s="4">
        <f t="shared" si="20"/>
        <v>24.121408450704227</v>
      </c>
      <c r="AI36" s="4">
        <f t="shared" si="21"/>
        <v>24.095633802816902</v>
      </c>
      <c r="AJ36" s="4">
        <f t="shared" si="22"/>
        <v>24.113802816901408</v>
      </c>
      <c r="AK36" s="4">
        <f t="shared" si="23"/>
        <v>24.138169014084507</v>
      </c>
      <c r="AL36" s="4">
        <f t="shared" si="24"/>
        <v>24.084788732394365</v>
      </c>
      <c r="AM36" s="4">
        <f t="shared" si="25"/>
        <v>24.090140845070426</v>
      </c>
      <c r="AN36" s="4">
        <f t="shared" si="26"/>
        <v>24.098732394366198</v>
      </c>
      <c r="AO36" s="4">
        <f t="shared" si="27"/>
        <v>23.991830985915495</v>
      </c>
      <c r="AQ36"/>
      <c r="AR36" s="4">
        <f t="shared" si="28"/>
        <v>-1.816901408450633E-2</v>
      </c>
      <c r="AS36" s="4">
        <f t="shared" si="29"/>
        <v>-9.4366197183113343E-3</v>
      </c>
      <c r="AT36" s="4">
        <f t="shared" si="30"/>
        <v>1.1408450704223583E-2</v>
      </c>
      <c r="AU36" s="4">
        <f t="shared" si="31"/>
        <v>-1.4366197183100837E-2</v>
      </c>
      <c r="AV36" s="4">
        <f t="shared" si="32"/>
        <v>3.8028169014054924E-3</v>
      </c>
      <c r="AW36" s="4">
        <f t="shared" si="33"/>
        <v>2.816901408450434E-2</v>
      </c>
      <c r="AX36" s="4">
        <f t="shared" si="34"/>
        <v>-2.5211267605637744E-2</v>
      </c>
      <c r="AY36" s="4">
        <f t="shared" si="35"/>
        <v>-1.9859154929577016E-2</v>
      </c>
      <c r="AZ36" s="4">
        <f t="shared" si="36"/>
        <v>-1.1267605633804578E-2</v>
      </c>
      <c r="BA36" s="4">
        <f t="shared" si="37"/>
        <v>-0.11816901408450775</v>
      </c>
    </row>
    <row r="37" spans="1:53" x14ac:dyDescent="0.25">
      <c r="A37" s="11">
        <v>34</v>
      </c>
      <c r="B37" s="12">
        <v>43551</v>
      </c>
      <c r="C37" s="13">
        <v>0.68206018518518519</v>
      </c>
      <c r="D37" s="11">
        <v>24</v>
      </c>
      <c r="E37" s="11">
        <v>23.94</v>
      </c>
      <c r="F37" s="11">
        <v>23.94</v>
      </c>
      <c r="G37" s="11">
        <v>23.94</v>
      </c>
      <c r="H37" s="11">
        <v>23.94</v>
      </c>
      <c r="I37" s="11">
        <v>24</v>
      </c>
      <c r="J37" s="11">
        <v>24.06</v>
      </c>
      <c r="K37" s="11">
        <v>24.06</v>
      </c>
      <c r="L37" s="11">
        <v>23.81</v>
      </c>
      <c r="M37" s="11">
        <v>26.7</v>
      </c>
      <c r="N37" s="11">
        <v>17</v>
      </c>
      <c r="P37" s="4">
        <v>23.97</v>
      </c>
      <c r="Q37" s="4">
        <f>P37-'Sonde étalon'!$C$14</f>
        <v>24.14</v>
      </c>
      <c r="T37" s="4">
        <f t="shared" si="7"/>
        <v>-0.14000000000000057</v>
      </c>
      <c r="U37" s="4">
        <f t="shared" si="8"/>
        <v>-0.19999999999999929</v>
      </c>
      <c r="V37" s="4">
        <f t="shared" si="9"/>
        <v>-0.19999999999999929</v>
      </c>
      <c r="W37" s="4">
        <f t="shared" si="10"/>
        <v>-0.19999999999999929</v>
      </c>
      <c r="X37" s="4">
        <f t="shared" si="11"/>
        <v>-0.19999999999999929</v>
      </c>
      <c r="Y37" s="4">
        <f t="shared" si="12"/>
        <v>-0.14000000000000057</v>
      </c>
      <c r="Z37" s="4">
        <f t="shared" si="13"/>
        <v>-8.0000000000001847E-2</v>
      </c>
      <c r="AA37" s="4">
        <f t="shared" si="14"/>
        <v>-8.0000000000001847E-2</v>
      </c>
      <c r="AB37" s="4">
        <f t="shared" si="15"/>
        <v>-0.33000000000000185</v>
      </c>
      <c r="AC37" s="4">
        <f t="shared" si="17"/>
        <v>2.5599999999999987</v>
      </c>
      <c r="AF37" s="4">
        <f t="shared" si="18"/>
        <v>24.151830985915495</v>
      </c>
      <c r="AG37" s="4">
        <f t="shared" si="19"/>
        <v>24.160563380281694</v>
      </c>
      <c r="AH37" s="4">
        <f t="shared" si="20"/>
        <v>24.181408450704229</v>
      </c>
      <c r="AI37" s="4">
        <f t="shared" si="21"/>
        <v>24.155633802816904</v>
      </c>
      <c r="AJ37" s="4">
        <f t="shared" si="22"/>
        <v>24.173802816901411</v>
      </c>
      <c r="AK37" s="4">
        <f t="shared" si="23"/>
        <v>24.138169014084507</v>
      </c>
      <c r="AL37" s="4">
        <f t="shared" si="24"/>
        <v>24.084788732394365</v>
      </c>
      <c r="AM37" s="4">
        <f t="shared" si="25"/>
        <v>24.150140845070425</v>
      </c>
      <c r="AN37" s="4">
        <f t="shared" si="26"/>
        <v>24.158732394366197</v>
      </c>
      <c r="AO37" s="4">
        <f t="shared" si="27"/>
        <v>24.091830985915493</v>
      </c>
      <c r="AQ37"/>
      <c r="AR37" s="4">
        <f t="shared" si="28"/>
        <v>1.1830985915494807E-2</v>
      </c>
      <c r="AS37" s="4">
        <f t="shared" si="29"/>
        <v>2.0563380281693355E-2</v>
      </c>
      <c r="AT37" s="4">
        <f t="shared" si="30"/>
        <v>4.1408450704228272E-2</v>
      </c>
      <c r="AU37" s="4">
        <f t="shared" si="31"/>
        <v>1.5633802816903852E-2</v>
      </c>
      <c r="AV37" s="4">
        <f t="shared" si="32"/>
        <v>3.3802816901410182E-2</v>
      </c>
      <c r="AW37" s="4">
        <f t="shared" si="33"/>
        <v>-1.830985915493244E-3</v>
      </c>
      <c r="AX37" s="4">
        <f t="shared" si="34"/>
        <v>-5.5211267605635328E-2</v>
      </c>
      <c r="AY37" s="4">
        <f t="shared" si="35"/>
        <v>1.014084507042412E-2</v>
      </c>
      <c r="AZ37" s="4">
        <f t="shared" si="36"/>
        <v>1.8732394366196559E-2</v>
      </c>
      <c r="BA37" s="4">
        <f t="shared" si="37"/>
        <v>-4.8169014084507467E-2</v>
      </c>
    </row>
    <row r="38" spans="1:53" x14ac:dyDescent="0.25">
      <c r="A38" s="11">
        <v>35</v>
      </c>
      <c r="B38" s="12">
        <v>43551</v>
      </c>
      <c r="C38" s="13">
        <v>0.68275462962962974</v>
      </c>
      <c r="D38" s="11">
        <v>24</v>
      </c>
      <c r="E38" s="11">
        <v>23.94</v>
      </c>
      <c r="F38" s="11">
        <v>24</v>
      </c>
      <c r="G38" s="11">
        <v>24</v>
      </c>
      <c r="H38" s="11">
        <v>23.94</v>
      </c>
      <c r="I38" s="11">
        <v>24.06</v>
      </c>
      <c r="J38" s="11">
        <v>24.13</v>
      </c>
      <c r="K38" s="11">
        <v>24.06</v>
      </c>
      <c r="L38" s="11">
        <v>23.81</v>
      </c>
      <c r="M38" s="11">
        <v>26.7</v>
      </c>
      <c r="N38" s="11">
        <v>17</v>
      </c>
      <c r="P38" s="4">
        <v>23.98</v>
      </c>
      <c r="Q38" s="4">
        <f>P38-'Sonde étalon'!$C$14</f>
        <v>24.150000000000002</v>
      </c>
      <c r="T38" s="4">
        <f t="shared" si="7"/>
        <v>-0.15000000000000213</v>
      </c>
      <c r="U38" s="4">
        <f t="shared" si="8"/>
        <v>-0.21000000000000085</v>
      </c>
      <c r="V38" s="4">
        <f t="shared" si="9"/>
        <v>-0.15000000000000213</v>
      </c>
      <c r="W38" s="4">
        <f t="shared" si="10"/>
        <v>-0.15000000000000213</v>
      </c>
      <c r="X38" s="4">
        <f t="shared" si="11"/>
        <v>-0.21000000000000085</v>
      </c>
      <c r="Y38" s="4">
        <f t="shared" si="12"/>
        <v>-9.0000000000003411E-2</v>
      </c>
      <c r="Z38" s="4">
        <f t="shared" si="13"/>
        <v>-2.0000000000003126E-2</v>
      </c>
      <c r="AA38" s="4">
        <f t="shared" si="14"/>
        <v>-9.0000000000003411E-2</v>
      </c>
      <c r="AB38" s="4">
        <f t="shared" si="15"/>
        <v>-0.34000000000000341</v>
      </c>
      <c r="AC38" s="4">
        <f t="shared" si="17"/>
        <v>2.5499999999999972</v>
      </c>
      <c r="AF38" s="4">
        <f t="shared" si="18"/>
        <v>24.151830985915495</v>
      </c>
      <c r="AG38" s="4">
        <f t="shared" si="19"/>
        <v>24.160563380281694</v>
      </c>
      <c r="AH38" s="4">
        <f t="shared" si="20"/>
        <v>24.241408450704228</v>
      </c>
      <c r="AI38" s="4">
        <f t="shared" si="21"/>
        <v>24.215633802816903</v>
      </c>
      <c r="AJ38" s="4">
        <f t="shared" si="22"/>
        <v>24.173802816901411</v>
      </c>
      <c r="AK38" s="4">
        <f t="shared" si="23"/>
        <v>24.198169014084506</v>
      </c>
      <c r="AL38" s="4">
        <f t="shared" si="24"/>
        <v>24.154788732394366</v>
      </c>
      <c r="AM38" s="4">
        <f t="shared" si="25"/>
        <v>24.150140845070425</v>
      </c>
      <c r="AN38" s="4">
        <f t="shared" si="26"/>
        <v>24.158732394366197</v>
      </c>
      <c r="AO38" s="4">
        <f t="shared" si="27"/>
        <v>24.091830985915493</v>
      </c>
      <c r="AQ38"/>
      <c r="AR38" s="4">
        <f t="shared" si="28"/>
        <v>1.830985915493244E-3</v>
      </c>
      <c r="AS38" s="4">
        <f t="shared" si="29"/>
        <v>1.0563380281691792E-2</v>
      </c>
      <c r="AT38" s="4">
        <f t="shared" si="30"/>
        <v>9.140845070422543E-2</v>
      </c>
      <c r="AU38" s="4">
        <f t="shared" si="31"/>
        <v>6.563380281690101E-2</v>
      </c>
      <c r="AV38" s="4">
        <f t="shared" si="32"/>
        <v>2.3802816901408619E-2</v>
      </c>
      <c r="AW38" s="4">
        <f t="shared" si="33"/>
        <v>4.8169014084503914E-2</v>
      </c>
      <c r="AX38" s="4">
        <f t="shared" si="34"/>
        <v>4.788732394363393E-3</v>
      </c>
      <c r="AY38" s="4">
        <f t="shared" si="35"/>
        <v>1.4084507042255723E-4</v>
      </c>
      <c r="AZ38" s="4">
        <f t="shared" si="36"/>
        <v>8.7323943661949954E-3</v>
      </c>
      <c r="BA38" s="4">
        <f t="shared" si="37"/>
        <v>-5.816901408450903E-2</v>
      </c>
    </row>
    <row r="39" spans="1:53" x14ac:dyDescent="0.25">
      <c r="A39" s="11">
        <v>36</v>
      </c>
      <c r="B39" s="12">
        <v>43551</v>
      </c>
      <c r="C39" s="13">
        <v>0.68344907407407407</v>
      </c>
      <c r="D39" s="11">
        <v>24.06</v>
      </c>
      <c r="E39" s="11">
        <v>23.94</v>
      </c>
      <c r="F39" s="11">
        <v>24</v>
      </c>
      <c r="G39" s="11">
        <v>24</v>
      </c>
      <c r="H39" s="11">
        <v>24</v>
      </c>
      <c r="I39" s="11">
        <v>24.06</v>
      </c>
      <c r="J39" s="11">
        <v>24.19</v>
      </c>
      <c r="K39" s="11">
        <v>24.13</v>
      </c>
      <c r="L39" s="11">
        <v>23.88</v>
      </c>
      <c r="M39" s="11">
        <v>26.7</v>
      </c>
      <c r="N39" s="11">
        <v>17</v>
      </c>
      <c r="P39" s="4">
        <v>24.02</v>
      </c>
      <c r="Q39" s="4">
        <f>P39-'Sonde étalon'!$C$14</f>
        <v>24.19</v>
      </c>
      <c r="T39" s="4">
        <f t="shared" si="7"/>
        <v>-0.13000000000000256</v>
      </c>
      <c r="U39" s="4">
        <f t="shared" si="8"/>
        <v>-0.25</v>
      </c>
      <c r="V39" s="4">
        <f t="shared" si="9"/>
        <v>-0.19000000000000128</v>
      </c>
      <c r="W39" s="4">
        <f t="shared" si="10"/>
        <v>-0.19000000000000128</v>
      </c>
      <c r="X39" s="4">
        <f t="shared" si="11"/>
        <v>-0.19000000000000128</v>
      </c>
      <c r="Y39" s="4">
        <f t="shared" si="12"/>
        <v>-0.13000000000000256</v>
      </c>
      <c r="Z39" s="4">
        <f t="shared" si="13"/>
        <v>0</v>
      </c>
      <c r="AA39" s="4">
        <f t="shared" si="14"/>
        <v>-6.0000000000002274E-2</v>
      </c>
      <c r="AB39" s="4">
        <f t="shared" si="15"/>
        <v>-0.31000000000000227</v>
      </c>
      <c r="AC39" s="4">
        <f t="shared" si="17"/>
        <v>2.509999999999998</v>
      </c>
      <c r="AF39" s="4">
        <f t="shared" si="18"/>
        <v>24.211830985915494</v>
      </c>
      <c r="AG39" s="4">
        <f t="shared" si="19"/>
        <v>24.160563380281694</v>
      </c>
      <c r="AH39" s="4">
        <f t="shared" si="20"/>
        <v>24.241408450704228</v>
      </c>
      <c r="AI39" s="4">
        <f t="shared" si="21"/>
        <v>24.215633802816903</v>
      </c>
      <c r="AJ39" s="4">
        <f t="shared" si="22"/>
        <v>24.233802816901409</v>
      </c>
      <c r="AK39" s="4">
        <f t="shared" si="23"/>
        <v>24.198169014084506</v>
      </c>
      <c r="AL39" s="4">
        <f t="shared" si="24"/>
        <v>24.214788732394368</v>
      </c>
      <c r="AM39" s="4">
        <f t="shared" si="25"/>
        <v>24.220140845070425</v>
      </c>
      <c r="AN39" s="4">
        <f t="shared" si="26"/>
        <v>24.228732394366197</v>
      </c>
      <c r="AO39" s="4">
        <f t="shared" si="27"/>
        <v>24.091830985915493</v>
      </c>
      <c r="AQ39"/>
      <c r="AR39" s="4">
        <f t="shared" si="28"/>
        <v>2.1830985915492818E-2</v>
      </c>
      <c r="AS39" s="4">
        <f t="shared" si="29"/>
        <v>-2.9436619718307355E-2</v>
      </c>
      <c r="AT39" s="4">
        <f t="shared" si="30"/>
        <v>5.1408450704226283E-2</v>
      </c>
      <c r="AU39" s="4">
        <f t="shared" si="31"/>
        <v>2.5633802816901863E-2</v>
      </c>
      <c r="AV39" s="4">
        <f t="shared" si="32"/>
        <v>4.3802816901408193E-2</v>
      </c>
      <c r="AW39" s="4">
        <f t="shared" si="33"/>
        <v>8.1690140845047665E-3</v>
      </c>
      <c r="AX39" s="4">
        <f t="shared" si="34"/>
        <v>2.4788732394366519E-2</v>
      </c>
      <c r="AY39" s="4">
        <f t="shared" si="35"/>
        <v>3.0140845070423694E-2</v>
      </c>
      <c r="AZ39" s="4">
        <f t="shared" si="36"/>
        <v>3.8732394366196132E-2</v>
      </c>
      <c r="BA39" s="4">
        <f t="shared" si="37"/>
        <v>-9.8169014084508177E-2</v>
      </c>
    </row>
    <row r="40" spans="1:53" x14ac:dyDescent="0.25">
      <c r="A40" s="11">
        <v>37</v>
      </c>
      <c r="B40" s="12">
        <v>43551</v>
      </c>
      <c r="C40" s="13">
        <v>0.68414351851851851</v>
      </c>
      <c r="D40" s="11">
        <v>24.13</v>
      </c>
      <c r="E40" s="11">
        <v>24</v>
      </c>
      <c r="F40" s="11">
        <v>24</v>
      </c>
      <c r="G40" s="11">
        <v>24</v>
      </c>
      <c r="H40" s="11">
        <v>24</v>
      </c>
      <c r="I40" s="11">
        <v>24.13</v>
      </c>
      <c r="J40" s="11">
        <v>24.19</v>
      </c>
      <c r="K40" s="11">
        <v>24.19</v>
      </c>
      <c r="L40" s="11">
        <v>23.88</v>
      </c>
      <c r="M40" s="11">
        <v>26.7</v>
      </c>
      <c r="N40" s="11">
        <v>17</v>
      </c>
      <c r="P40" s="4">
        <v>24.06</v>
      </c>
      <c r="Q40" s="4">
        <f>P40-'Sonde étalon'!$C$14</f>
        <v>24.23</v>
      </c>
      <c r="T40" s="4">
        <f t="shared" si="7"/>
        <v>-0.10000000000000142</v>
      </c>
      <c r="U40" s="4">
        <f t="shared" si="8"/>
        <v>-0.23000000000000043</v>
      </c>
      <c r="V40" s="4">
        <f t="shared" si="9"/>
        <v>-0.23000000000000043</v>
      </c>
      <c r="W40" s="4">
        <f t="shared" si="10"/>
        <v>-0.23000000000000043</v>
      </c>
      <c r="X40" s="4">
        <f t="shared" si="11"/>
        <v>-0.23000000000000043</v>
      </c>
      <c r="Y40" s="4">
        <f t="shared" si="12"/>
        <v>-0.10000000000000142</v>
      </c>
      <c r="Z40" s="4">
        <f t="shared" si="13"/>
        <v>-3.9999999999999147E-2</v>
      </c>
      <c r="AA40" s="4">
        <f t="shared" si="14"/>
        <v>-3.9999999999999147E-2</v>
      </c>
      <c r="AB40" s="4">
        <f t="shared" si="15"/>
        <v>-0.35000000000000142</v>
      </c>
      <c r="AC40" s="4">
        <f t="shared" si="17"/>
        <v>2.4699999999999989</v>
      </c>
      <c r="AF40" s="4">
        <f t="shared" si="18"/>
        <v>24.281830985915494</v>
      </c>
      <c r="AG40" s="4">
        <f t="shared" si="19"/>
        <v>24.220563380281693</v>
      </c>
      <c r="AH40" s="4">
        <f t="shared" si="20"/>
        <v>24.241408450704228</v>
      </c>
      <c r="AI40" s="4">
        <f t="shared" si="21"/>
        <v>24.215633802816903</v>
      </c>
      <c r="AJ40" s="4">
        <f t="shared" si="22"/>
        <v>24.233802816901409</v>
      </c>
      <c r="AK40" s="4">
        <f t="shared" si="23"/>
        <v>24.268169014084506</v>
      </c>
      <c r="AL40" s="4">
        <f t="shared" si="24"/>
        <v>24.214788732394368</v>
      </c>
      <c r="AM40" s="4">
        <f t="shared" si="25"/>
        <v>24.280140845070427</v>
      </c>
      <c r="AN40" s="4">
        <f t="shared" si="26"/>
        <v>24.228732394366197</v>
      </c>
      <c r="AO40" s="4">
        <f t="shared" si="27"/>
        <v>24.091830985915493</v>
      </c>
      <c r="AQ40"/>
      <c r="AR40" s="4">
        <f t="shared" si="28"/>
        <v>5.1830985915493955E-2</v>
      </c>
      <c r="AS40" s="4">
        <f t="shared" si="29"/>
        <v>-9.4366197183077816E-3</v>
      </c>
      <c r="AT40" s="4">
        <f t="shared" si="30"/>
        <v>1.1408450704227135E-2</v>
      </c>
      <c r="AU40" s="4">
        <f t="shared" si="31"/>
        <v>-1.4366197183097285E-2</v>
      </c>
      <c r="AV40" s="4">
        <f t="shared" si="32"/>
        <v>3.8028169014090452E-3</v>
      </c>
      <c r="AW40" s="4">
        <f t="shared" si="33"/>
        <v>3.8169014084505903E-2</v>
      </c>
      <c r="AX40" s="4">
        <f t="shared" si="34"/>
        <v>-1.5211267605632628E-2</v>
      </c>
      <c r="AY40" s="4">
        <f t="shared" si="35"/>
        <v>5.014084507042682E-2</v>
      </c>
      <c r="AZ40" s="4">
        <f t="shared" si="36"/>
        <v>-1.2676056338030151E-3</v>
      </c>
      <c r="BA40" s="4">
        <f t="shared" si="37"/>
        <v>-0.13816901408450732</v>
      </c>
    </row>
    <row r="41" spans="1:53" x14ac:dyDescent="0.25">
      <c r="A41" s="11">
        <v>38</v>
      </c>
      <c r="B41" s="12">
        <v>43551</v>
      </c>
      <c r="C41" s="13">
        <v>0.68483796296296295</v>
      </c>
      <c r="D41" s="11">
        <v>24.19</v>
      </c>
      <c r="E41" s="11">
        <v>24</v>
      </c>
      <c r="F41" s="11">
        <v>24.13</v>
      </c>
      <c r="G41" s="11">
        <v>24.06</v>
      </c>
      <c r="H41" s="11">
        <v>24.06</v>
      </c>
      <c r="I41" s="11">
        <v>24.19</v>
      </c>
      <c r="J41" s="11">
        <v>24.25</v>
      </c>
      <c r="K41" s="11">
        <v>24.19</v>
      </c>
      <c r="L41" s="11">
        <v>23.94</v>
      </c>
      <c r="M41" s="11">
        <v>26.8</v>
      </c>
      <c r="N41" s="11">
        <v>17</v>
      </c>
      <c r="P41" s="4">
        <v>24.12</v>
      </c>
      <c r="Q41" s="4">
        <f>P41-'Sonde étalon'!$C$14</f>
        <v>24.290000000000003</v>
      </c>
      <c r="T41" s="4">
        <f t="shared" si="7"/>
        <v>-0.10000000000000142</v>
      </c>
      <c r="U41" s="4">
        <f t="shared" si="8"/>
        <v>-0.2900000000000027</v>
      </c>
      <c r="V41" s="4">
        <f t="shared" si="9"/>
        <v>-0.16000000000000369</v>
      </c>
      <c r="W41" s="4">
        <f t="shared" si="10"/>
        <v>-0.23000000000000398</v>
      </c>
      <c r="X41" s="4">
        <f t="shared" si="11"/>
        <v>-0.23000000000000398</v>
      </c>
      <c r="Y41" s="4">
        <f t="shared" si="12"/>
        <v>-0.10000000000000142</v>
      </c>
      <c r="Z41" s="4">
        <f t="shared" si="13"/>
        <v>-4.00000000000027E-2</v>
      </c>
      <c r="AA41" s="4">
        <f t="shared" si="14"/>
        <v>-0.10000000000000142</v>
      </c>
      <c r="AB41" s="4">
        <f t="shared" si="15"/>
        <v>-0.35000000000000142</v>
      </c>
      <c r="AC41" s="4">
        <f t="shared" si="17"/>
        <v>2.509999999999998</v>
      </c>
      <c r="AF41" s="4">
        <f t="shared" si="18"/>
        <v>24.341830985915497</v>
      </c>
      <c r="AG41" s="4">
        <f t="shared" si="19"/>
        <v>24.220563380281693</v>
      </c>
      <c r="AH41" s="4">
        <f t="shared" si="20"/>
        <v>24.371408450704227</v>
      </c>
      <c r="AI41" s="4">
        <f t="shared" si="21"/>
        <v>24.275633802816902</v>
      </c>
      <c r="AJ41" s="4">
        <f t="shared" si="22"/>
        <v>24.293802816901408</v>
      </c>
      <c r="AK41" s="4">
        <f t="shared" si="23"/>
        <v>24.328169014084509</v>
      </c>
      <c r="AL41" s="4">
        <f t="shared" si="24"/>
        <v>24.274788732394367</v>
      </c>
      <c r="AM41" s="4">
        <f t="shared" si="25"/>
        <v>24.280140845070427</v>
      </c>
      <c r="AN41" s="4">
        <f t="shared" si="26"/>
        <v>24.2887323943662</v>
      </c>
      <c r="AO41" s="4">
        <f t="shared" si="27"/>
        <v>24.191830985915495</v>
      </c>
      <c r="AQ41"/>
      <c r="AR41" s="4">
        <f t="shared" si="28"/>
        <v>5.1830985915493955E-2</v>
      </c>
      <c r="AS41" s="4">
        <f t="shared" si="29"/>
        <v>-6.9436619718310055E-2</v>
      </c>
      <c r="AT41" s="4">
        <f t="shared" si="30"/>
        <v>8.1408450704223867E-2</v>
      </c>
      <c r="AU41" s="4">
        <f t="shared" si="31"/>
        <v>-1.4366197183100837E-2</v>
      </c>
      <c r="AV41" s="4">
        <f t="shared" si="32"/>
        <v>3.8028169014054924E-3</v>
      </c>
      <c r="AW41" s="4">
        <f t="shared" si="33"/>
        <v>3.8169014084505903E-2</v>
      </c>
      <c r="AX41" s="4">
        <f t="shared" si="34"/>
        <v>-1.5211267605636181E-2</v>
      </c>
      <c r="AY41" s="4">
        <f t="shared" si="35"/>
        <v>-9.8591549295754533E-3</v>
      </c>
      <c r="AZ41" s="4">
        <f t="shared" si="36"/>
        <v>-1.2676056338030151E-3</v>
      </c>
      <c r="BA41" s="4">
        <f t="shared" si="37"/>
        <v>-9.8169014084508177E-2</v>
      </c>
    </row>
    <row r="42" spans="1:53" x14ac:dyDescent="0.25">
      <c r="A42" s="11">
        <v>39</v>
      </c>
      <c r="B42" s="12">
        <v>43551</v>
      </c>
      <c r="C42" s="13">
        <v>0.68553240740740751</v>
      </c>
      <c r="D42" s="11">
        <v>24.19</v>
      </c>
      <c r="E42" s="11">
        <v>24.13</v>
      </c>
      <c r="F42" s="11">
        <v>24.13</v>
      </c>
      <c r="G42" s="11">
        <v>24.13</v>
      </c>
      <c r="H42" s="11">
        <v>24.13</v>
      </c>
      <c r="I42" s="11">
        <v>24.25</v>
      </c>
      <c r="J42" s="11">
        <v>24.31</v>
      </c>
      <c r="K42" s="11">
        <v>24.25</v>
      </c>
      <c r="L42" s="11">
        <v>24</v>
      </c>
      <c r="M42" s="11">
        <v>26.8</v>
      </c>
      <c r="N42" s="11">
        <v>17</v>
      </c>
      <c r="P42" s="4">
        <v>24.16</v>
      </c>
      <c r="Q42" s="4">
        <f>P42-'Sonde étalon'!$C$14</f>
        <v>24.330000000000002</v>
      </c>
      <c r="T42" s="4">
        <f t="shared" si="7"/>
        <v>-0.14000000000000057</v>
      </c>
      <c r="U42" s="4">
        <f t="shared" si="8"/>
        <v>-0.20000000000000284</v>
      </c>
      <c r="V42" s="4">
        <f t="shared" si="9"/>
        <v>-0.20000000000000284</v>
      </c>
      <c r="W42" s="4">
        <f t="shared" si="10"/>
        <v>-0.20000000000000284</v>
      </c>
      <c r="X42" s="4">
        <f t="shared" si="11"/>
        <v>-0.20000000000000284</v>
      </c>
      <c r="Y42" s="4">
        <f t="shared" si="12"/>
        <v>-8.0000000000001847E-2</v>
      </c>
      <c r="Z42" s="4">
        <f t="shared" si="13"/>
        <v>-2.0000000000003126E-2</v>
      </c>
      <c r="AA42" s="4">
        <f t="shared" si="14"/>
        <v>-8.0000000000001847E-2</v>
      </c>
      <c r="AB42" s="4">
        <f t="shared" si="15"/>
        <v>-0.33000000000000185</v>
      </c>
      <c r="AC42" s="4">
        <f t="shared" si="17"/>
        <v>2.4699999999999989</v>
      </c>
      <c r="AF42" s="4">
        <f t="shared" si="18"/>
        <v>24.341830985915497</v>
      </c>
      <c r="AG42" s="4">
        <f t="shared" si="19"/>
        <v>24.350563380281692</v>
      </c>
      <c r="AH42" s="4">
        <f t="shared" si="20"/>
        <v>24.371408450704227</v>
      </c>
      <c r="AI42" s="4">
        <f t="shared" si="21"/>
        <v>24.345633802816902</v>
      </c>
      <c r="AJ42" s="4">
        <f t="shared" si="22"/>
        <v>24.363802816901408</v>
      </c>
      <c r="AK42" s="4">
        <f t="shared" si="23"/>
        <v>24.388169014084507</v>
      </c>
      <c r="AL42" s="4">
        <f t="shared" si="24"/>
        <v>24.334788732394365</v>
      </c>
      <c r="AM42" s="4">
        <f t="shared" si="25"/>
        <v>24.340140845070426</v>
      </c>
      <c r="AN42" s="4">
        <f t="shared" si="26"/>
        <v>24.348732394366198</v>
      </c>
      <c r="AO42" s="4">
        <f t="shared" si="27"/>
        <v>24.191830985915495</v>
      </c>
      <c r="AQ42"/>
      <c r="AR42" s="4">
        <f t="shared" si="28"/>
        <v>1.1830985915494807E-2</v>
      </c>
      <c r="AS42" s="4">
        <f t="shared" si="29"/>
        <v>2.0563380281689803E-2</v>
      </c>
      <c r="AT42" s="4">
        <f t="shared" si="30"/>
        <v>4.140845070422472E-2</v>
      </c>
      <c r="AU42" s="4">
        <f t="shared" si="31"/>
        <v>1.56338028169003E-2</v>
      </c>
      <c r="AV42" s="4">
        <f t="shared" si="32"/>
        <v>3.3802816901406629E-2</v>
      </c>
      <c r="AW42" s="4">
        <f t="shared" si="33"/>
        <v>5.8169014084505477E-2</v>
      </c>
      <c r="AX42" s="4">
        <f t="shared" si="34"/>
        <v>4.788732394363393E-3</v>
      </c>
      <c r="AY42" s="4">
        <f t="shared" si="35"/>
        <v>1.014084507042412E-2</v>
      </c>
      <c r="AZ42" s="4">
        <f t="shared" si="36"/>
        <v>1.8732394366196559E-2</v>
      </c>
      <c r="BA42" s="4">
        <f t="shared" si="37"/>
        <v>-0.13816901408450732</v>
      </c>
    </row>
    <row r="43" spans="1:53" x14ac:dyDescent="0.25">
      <c r="A43" s="11">
        <v>40</v>
      </c>
      <c r="B43" s="12">
        <v>43551</v>
      </c>
      <c r="C43" s="13">
        <v>0.68622685185185184</v>
      </c>
      <c r="D43" s="11">
        <v>24.25</v>
      </c>
      <c r="E43" s="11">
        <v>24.13</v>
      </c>
      <c r="F43" s="11">
        <v>24.13</v>
      </c>
      <c r="G43" s="11">
        <v>24.13</v>
      </c>
      <c r="H43" s="11">
        <v>24.13</v>
      </c>
      <c r="I43" s="11">
        <v>24.25</v>
      </c>
      <c r="J43" s="11">
        <v>24.38</v>
      </c>
      <c r="K43" s="11">
        <v>24.31</v>
      </c>
      <c r="L43" s="11">
        <v>24.06</v>
      </c>
      <c r="M43" s="11">
        <v>26.9</v>
      </c>
      <c r="N43" s="11">
        <v>17</v>
      </c>
      <c r="P43" s="4">
        <v>24.19</v>
      </c>
      <c r="Q43" s="4">
        <f>P43-'Sonde étalon'!$C$14</f>
        <v>24.360000000000003</v>
      </c>
      <c r="T43" s="4">
        <f t="shared" si="7"/>
        <v>-0.11000000000000298</v>
      </c>
      <c r="U43" s="4">
        <f t="shared" si="8"/>
        <v>-0.23000000000000398</v>
      </c>
      <c r="V43" s="4">
        <f t="shared" si="9"/>
        <v>-0.23000000000000398</v>
      </c>
      <c r="W43" s="4">
        <f t="shared" si="10"/>
        <v>-0.23000000000000398</v>
      </c>
      <c r="X43" s="4">
        <f t="shared" si="11"/>
        <v>-0.23000000000000398</v>
      </c>
      <c r="Y43" s="4">
        <f t="shared" si="12"/>
        <v>-0.11000000000000298</v>
      </c>
      <c r="Z43" s="4">
        <f t="shared" si="13"/>
        <v>1.9999999999996021E-2</v>
      </c>
      <c r="AA43" s="4">
        <f t="shared" si="14"/>
        <v>-5.0000000000004263E-2</v>
      </c>
      <c r="AB43" s="4">
        <f t="shared" si="15"/>
        <v>-0.30000000000000426</v>
      </c>
      <c r="AC43" s="4">
        <f t="shared" si="17"/>
        <v>2.5399999999999956</v>
      </c>
      <c r="AF43" s="4">
        <f t="shared" si="18"/>
        <v>24.401830985915495</v>
      </c>
      <c r="AG43" s="4">
        <f t="shared" si="19"/>
        <v>24.350563380281692</v>
      </c>
      <c r="AH43" s="4">
        <f t="shared" si="20"/>
        <v>24.371408450704227</v>
      </c>
      <c r="AI43" s="4">
        <f t="shared" si="21"/>
        <v>24.345633802816902</v>
      </c>
      <c r="AJ43" s="4">
        <f t="shared" si="22"/>
        <v>24.363802816901408</v>
      </c>
      <c r="AK43" s="4">
        <f t="shared" si="23"/>
        <v>24.388169014084507</v>
      </c>
      <c r="AL43" s="4">
        <f t="shared" si="24"/>
        <v>24.404788732394366</v>
      </c>
      <c r="AM43" s="4">
        <f t="shared" si="25"/>
        <v>24.400140845070425</v>
      </c>
      <c r="AN43" s="4">
        <f t="shared" si="26"/>
        <v>24.408732394366197</v>
      </c>
      <c r="AO43" s="4">
        <f t="shared" si="27"/>
        <v>24.291830985915492</v>
      </c>
      <c r="AQ43"/>
      <c r="AR43" s="4">
        <f t="shared" si="28"/>
        <v>4.1830985915492391E-2</v>
      </c>
      <c r="AS43" s="4">
        <f t="shared" si="29"/>
        <v>-9.4366197183113343E-3</v>
      </c>
      <c r="AT43" s="4">
        <f t="shared" si="30"/>
        <v>1.1408450704223583E-2</v>
      </c>
      <c r="AU43" s="4">
        <f t="shared" si="31"/>
        <v>-1.4366197183100837E-2</v>
      </c>
      <c r="AV43" s="4">
        <f t="shared" si="32"/>
        <v>3.8028169014054924E-3</v>
      </c>
      <c r="AW43" s="4">
        <f t="shared" si="33"/>
        <v>2.816901408450434E-2</v>
      </c>
      <c r="AX43" s="4">
        <f t="shared" si="34"/>
        <v>4.478873239436254E-2</v>
      </c>
      <c r="AY43" s="4">
        <f t="shared" si="35"/>
        <v>4.0140845070421705E-2</v>
      </c>
      <c r="AZ43" s="4">
        <f t="shared" si="36"/>
        <v>4.8732394366194143E-2</v>
      </c>
      <c r="BA43" s="4">
        <f t="shared" si="37"/>
        <v>-6.8169014084510593E-2</v>
      </c>
    </row>
    <row r="44" spans="1:53" x14ac:dyDescent="0.25">
      <c r="A44" s="11">
        <v>41</v>
      </c>
      <c r="B44" s="12">
        <v>43551</v>
      </c>
      <c r="C44" s="13">
        <v>0.68692129629629628</v>
      </c>
      <c r="D44" s="11">
        <v>24.19</v>
      </c>
      <c r="E44" s="11">
        <v>24.13</v>
      </c>
      <c r="F44" s="11">
        <v>24.13</v>
      </c>
      <c r="G44" s="11">
        <v>24.13</v>
      </c>
      <c r="H44" s="11">
        <v>24.13</v>
      </c>
      <c r="I44" s="11">
        <v>24.25</v>
      </c>
      <c r="J44" s="11">
        <v>24.31</v>
      </c>
      <c r="K44" s="11">
        <v>24.25</v>
      </c>
      <c r="L44" s="11">
        <v>24</v>
      </c>
      <c r="M44" s="11">
        <v>26.9</v>
      </c>
      <c r="N44" s="11">
        <v>17</v>
      </c>
      <c r="P44" s="4">
        <v>24.24</v>
      </c>
      <c r="Q44" s="4">
        <f>P44-'Sonde étalon'!$C$14</f>
        <v>24.41</v>
      </c>
      <c r="T44" s="4">
        <f t="shared" si="7"/>
        <v>-0.21999999999999886</v>
      </c>
      <c r="U44" s="4">
        <f t="shared" si="8"/>
        <v>-0.28000000000000114</v>
      </c>
      <c r="V44" s="4">
        <f t="shared" si="9"/>
        <v>-0.28000000000000114</v>
      </c>
      <c r="W44" s="4">
        <f t="shared" si="10"/>
        <v>-0.28000000000000114</v>
      </c>
      <c r="X44" s="4">
        <f t="shared" si="11"/>
        <v>-0.28000000000000114</v>
      </c>
      <c r="Y44" s="4">
        <f t="shared" si="12"/>
        <v>-0.16000000000000014</v>
      </c>
      <c r="Z44" s="4">
        <f t="shared" si="13"/>
        <v>-0.10000000000000142</v>
      </c>
      <c r="AA44" s="4">
        <f t="shared" si="14"/>
        <v>-0.16000000000000014</v>
      </c>
      <c r="AB44" s="4">
        <f t="shared" si="15"/>
        <v>-0.41000000000000014</v>
      </c>
      <c r="AC44" s="4">
        <f t="shared" si="17"/>
        <v>2.4899999999999984</v>
      </c>
      <c r="AF44" s="4">
        <f t="shared" si="18"/>
        <v>24.341830985915497</v>
      </c>
      <c r="AG44" s="4">
        <f t="shared" si="19"/>
        <v>24.350563380281692</v>
      </c>
      <c r="AH44" s="4">
        <f t="shared" si="20"/>
        <v>24.371408450704227</v>
      </c>
      <c r="AI44" s="4">
        <f t="shared" si="21"/>
        <v>24.345633802816902</v>
      </c>
      <c r="AJ44" s="4">
        <f t="shared" si="22"/>
        <v>24.363802816901408</v>
      </c>
      <c r="AK44" s="4">
        <f t="shared" si="23"/>
        <v>24.388169014084507</v>
      </c>
      <c r="AL44" s="4">
        <f t="shared" si="24"/>
        <v>24.334788732394365</v>
      </c>
      <c r="AM44" s="4">
        <f t="shared" si="25"/>
        <v>24.340140845070426</v>
      </c>
      <c r="AN44" s="4">
        <f t="shared" si="26"/>
        <v>24.348732394366198</v>
      </c>
      <c r="AO44" s="4">
        <f t="shared" si="27"/>
        <v>24.291830985915492</v>
      </c>
      <c r="AQ44"/>
      <c r="AR44" s="4">
        <f t="shared" si="28"/>
        <v>-6.8169014084503488E-2</v>
      </c>
      <c r="AS44" s="4">
        <f t="shared" si="29"/>
        <v>-5.9436619718308492E-2</v>
      </c>
      <c r="AT44" s="4">
        <f t="shared" si="30"/>
        <v>-3.8591549295773575E-2</v>
      </c>
      <c r="AU44" s="4">
        <f t="shared" si="31"/>
        <v>-6.4366197183097995E-2</v>
      </c>
      <c r="AV44" s="4">
        <f t="shared" si="32"/>
        <v>-4.6197183098591665E-2</v>
      </c>
      <c r="AW44" s="4">
        <f t="shared" si="33"/>
        <v>-2.1830985915492818E-2</v>
      </c>
      <c r="AX44" s="4">
        <f t="shared" si="34"/>
        <v>-7.5211267605634902E-2</v>
      </c>
      <c r="AY44" s="4">
        <f t="shared" si="35"/>
        <v>-6.9859154929574174E-2</v>
      </c>
      <c r="AZ44" s="4">
        <f t="shared" si="36"/>
        <v>-6.1267605633801736E-2</v>
      </c>
      <c r="BA44" s="4">
        <f t="shared" si="37"/>
        <v>-0.11816901408450775</v>
      </c>
    </row>
    <row r="45" spans="1:53" x14ac:dyDescent="0.25">
      <c r="A45" s="11">
        <v>42</v>
      </c>
      <c r="B45" s="12">
        <v>43551</v>
      </c>
      <c r="C45" s="13">
        <v>0.68761574074074072</v>
      </c>
      <c r="D45" s="11">
        <v>24.19</v>
      </c>
      <c r="E45" s="11">
        <v>24.13</v>
      </c>
      <c r="F45" s="11">
        <v>24.19</v>
      </c>
      <c r="G45" s="11">
        <v>24.13</v>
      </c>
      <c r="H45" s="11">
        <v>24.13</v>
      </c>
      <c r="I45" s="11">
        <v>24.25</v>
      </c>
      <c r="J45" s="11">
        <v>24.31</v>
      </c>
      <c r="K45" s="11">
        <v>24.31</v>
      </c>
      <c r="L45" s="11">
        <v>24</v>
      </c>
      <c r="M45" s="11">
        <v>26.8</v>
      </c>
      <c r="N45" s="11">
        <v>16</v>
      </c>
      <c r="P45" s="4">
        <v>24.21</v>
      </c>
      <c r="Q45" s="4">
        <f>P45-'Sonde étalon'!$C$14</f>
        <v>24.380000000000003</v>
      </c>
      <c r="T45" s="4">
        <f t="shared" si="7"/>
        <v>-0.19000000000000128</v>
      </c>
      <c r="U45" s="4">
        <f t="shared" si="8"/>
        <v>-0.25000000000000355</v>
      </c>
      <c r="V45" s="4">
        <f t="shared" si="9"/>
        <v>-0.19000000000000128</v>
      </c>
      <c r="W45" s="4">
        <f t="shared" si="10"/>
        <v>-0.25000000000000355</v>
      </c>
      <c r="X45" s="4">
        <f t="shared" si="11"/>
        <v>-0.25000000000000355</v>
      </c>
      <c r="Y45" s="4">
        <f t="shared" si="12"/>
        <v>-0.13000000000000256</v>
      </c>
      <c r="Z45" s="4">
        <f t="shared" si="13"/>
        <v>-7.0000000000003837E-2</v>
      </c>
      <c r="AA45" s="4">
        <f t="shared" si="14"/>
        <v>-7.0000000000003837E-2</v>
      </c>
      <c r="AB45" s="4">
        <f t="shared" si="15"/>
        <v>-0.38000000000000256</v>
      </c>
      <c r="AC45" s="4">
        <f t="shared" si="17"/>
        <v>2.4199999999999982</v>
      </c>
      <c r="AF45" s="4">
        <f t="shared" si="18"/>
        <v>24.341830985915497</v>
      </c>
      <c r="AG45" s="4">
        <f t="shared" si="19"/>
        <v>24.350563380281692</v>
      </c>
      <c r="AH45" s="4">
        <f t="shared" si="20"/>
        <v>24.431408450704229</v>
      </c>
      <c r="AI45" s="4">
        <f t="shared" si="21"/>
        <v>24.345633802816902</v>
      </c>
      <c r="AJ45" s="4">
        <f t="shared" si="22"/>
        <v>24.363802816901408</v>
      </c>
      <c r="AK45" s="4">
        <f t="shared" si="23"/>
        <v>24.388169014084507</v>
      </c>
      <c r="AL45" s="4">
        <f t="shared" si="24"/>
        <v>24.334788732394365</v>
      </c>
      <c r="AM45" s="4">
        <f t="shared" si="25"/>
        <v>24.400140845070425</v>
      </c>
      <c r="AN45" s="4">
        <f t="shared" si="26"/>
        <v>24.348732394366198</v>
      </c>
      <c r="AO45" s="4">
        <f t="shared" si="27"/>
        <v>24.191830985915495</v>
      </c>
      <c r="AQ45"/>
      <c r="AR45" s="4">
        <f t="shared" si="28"/>
        <v>-3.8169014084505903E-2</v>
      </c>
      <c r="AS45" s="4">
        <f t="shared" si="29"/>
        <v>-2.9436619718310908E-2</v>
      </c>
      <c r="AT45" s="4">
        <f t="shared" si="30"/>
        <v>5.1408450704226283E-2</v>
      </c>
      <c r="AU45" s="4">
        <f t="shared" si="31"/>
        <v>-3.4366197183100411E-2</v>
      </c>
      <c r="AV45" s="4">
        <f t="shared" si="32"/>
        <v>-1.6197183098594081E-2</v>
      </c>
      <c r="AW45" s="4">
        <f t="shared" si="33"/>
        <v>8.1690140845047665E-3</v>
      </c>
      <c r="AX45" s="4">
        <f t="shared" si="34"/>
        <v>-4.5211267605637318E-2</v>
      </c>
      <c r="AY45" s="4">
        <f t="shared" si="35"/>
        <v>2.0140845070422131E-2</v>
      </c>
      <c r="AZ45" s="4">
        <f t="shared" si="36"/>
        <v>-3.1267605633804152E-2</v>
      </c>
      <c r="BA45" s="4">
        <f t="shared" si="37"/>
        <v>-0.18816901408450804</v>
      </c>
    </row>
    <row r="46" spans="1:53" x14ac:dyDescent="0.25">
      <c r="A46" s="11">
        <v>43</v>
      </c>
      <c r="B46" s="12">
        <v>43551</v>
      </c>
      <c r="C46" s="13">
        <v>0.68831018518518527</v>
      </c>
      <c r="D46" s="11">
        <v>24.25</v>
      </c>
      <c r="E46" s="11">
        <v>24.13</v>
      </c>
      <c r="F46" s="11">
        <v>24.19</v>
      </c>
      <c r="G46" s="11">
        <v>24.19</v>
      </c>
      <c r="H46" s="11">
        <v>24.19</v>
      </c>
      <c r="I46" s="11">
        <v>24.31</v>
      </c>
      <c r="J46" s="11">
        <v>24.38</v>
      </c>
      <c r="K46" s="11">
        <v>24.31</v>
      </c>
      <c r="L46" s="11">
        <v>24.06</v>
      </c>
      <c r="M46" s="11">
        <v>26.9</v>
      </c>
      <c r="N46" s="11">
        <v>16</v>
      </c>
      <c r="P46" s="4">
        <v>24.24</v>
      </c>
      <c r="Q46" s="4">
        <f>P46-'Sonde étalon'!$C$14</f>
        <v>24.41</v>
      </c>
      <c r="T46" s="4">
        <f t="shared" si="7"/>
        <v>-0.16000000000000014</v>
      </c>
      <c r="U46" s="4">
        <f t="shared" si="8"/>
        <v>-0.28000000000000114</v>
      </c>
      <c r="V46" s="4">
        <f t="shared" si="9"/>
        <v>-0.21999999999999886</v>
      </c>
      <c r="W46" s="4">
        <f t="shared" si="10"/>
        <v>-0.21999999999999886</v>
      </c>
      <c r="X46" s="4">
        <f t="shared" si="11"/>
        <v>-0.21999999999999886</v>
      </c>
      <c r="Y46" s="4">
        <f t="shared" si="12"/>
        <v>-0.10000000000000142</v>
      </c>
      <c r="Z46" s="4">
        <f t="shared" si="13"/>
        <v>-3.0000000000001137E-2</v>
      </c>
      <c r="AA46" s="4">
        <f t="shared" si="14"/>
        <v>-0.10000000000000142</v>
      </c>
      <c r="AB46" s="4">
        <f t="shared" si="15"/>
        <v>-0.35000000000000142</v>
      </c>
      <c r="AC46" s="4">
        <f t="shared" si="17"/>
        <v>2.4899999999999984</v>
      </c>
      <c r="AF46" s="4">
        <f t="shared" si="18"/>
        <v>24.401830985915495</v>
      </c>
      <c r="AG46" s="4">
        <f t="shared" si="19"/>
        <v>24.350563380281692</v>
      </c>
      <c r="AH46" s="4">
        <f t="shared" si="20"/>
        <v>24.431408450704229</v>
      </c>
      <c r="AI46" s="4">
        <f t="shared" si="21"/>
        <v>24.405633802816904</v>
      </c>
      <c r="AJ46" s="4">
        <f t="shared" si="22"/>
        <v>24.423802816901411</v>
      </c>
      <c r="AK46" s="4">
        <f t="shared" si="23"/>
        <v>24.448169014084506</v>
      </c>
      <c r="AL46" s="4">
        <f t="shared" si="24"/>
        <v>24.404788732394366</v>
      </c>
      <c r="AM46" s="4">
        <f t="shared" si="25"/>
        <v>24.400140845070425</v>
      </c>
      <c r="AN46" s="4">
        <f t="shared" si="26"/>
        <v>24.408732394366197</v>
      </c>
      <c r="AO46" s="4">
        <f t="shared" si="27"/>
        <v>24.291830985915492</v>
      </c>
      <c r="AQ46"/>
      <c r="AR46" s="4">
        <f t="shared" si="28"/>
        <v>-8.1690140845047665E-3</v>
      </c>
      <c r="AS46" s="4">
        <f t="shared" si="29"/>
        <v>-5.9436619718308492E-2</v>
      </c>
      <c r="AT46" s="4">
        <f t="shared" si="30"/>
        <v>2.1408450704228699E-2</v>
      </c>
      <c r="AU46" s="4">
        <f t="shared" si="31"/>
        <v>-4.3661971830957214E-3</v>
      </c>
      <c r="AV46" s="4">
        <f t="shared" si="32"/>
        <v>1.3802816901410608E-2</v>
      </c>
      <c r="AW46" s="4">
        <f t="shared" si="33"/>
        <v>3.8169014084505903E-2</v>
      </c>
      <c r="AX46" s="4">
        <f t="shared" si="34"/>
        <v>-5.2112676056346174E-3</v>
      </c>
      <c r="AY46" s="4">
        <f t="shared" si="35"/>
        <v>-9.8591549295754533E-3</v>
      </c>
      <c r="AZ46" s="4">
        <f t="shared" si="36"/>
        <v>-1.2676056338030151E-3</v>
      </c>
      <c r="BA46" s="4">
        <f t="shared" si="37"/>
        <v>-0.11816901408450775</v>
      </c>
    </row>
    <row r="47" spans="1:53" x14ac:dyDescent="0.25">
      <c r="A47" s="11">
        <v>44</v>
      </c>
      <c r="B47" s="12">
        <v>43551</v>
      </c>
      <c r="C47" s="13">
        <v>0.68900462962962961</v>
      </c>
      <c r="D47" s="11">
        <v>24.31</v>
      </c>
      <c r="E47" s="11">
        <v>24.19</v>
      </c>
      <c r="F47" s="11">
        <v>24.19</v>
      </c>
      <c r="G47" s="11">
        <v>24.19</v>
      </c>
      <c r="H47" s="11">
        <v>24.25</v>
      </c>
      <c r="I47" s="11">
        <v>24.38</v>
      </c>
      <c r="J47" s="11">
        <v>24.44</v>
      </c>
      <c r="K47" s="11">
        <v>24.38</v>
      </c>
      <c r="L47" s="11">
        <v>24.13</v>
      </c>
      <c r="M47" s="11">
        <v>26.9</v>
      </c>
      <c r="N47" s="11">
        <v>16</v>
      </c>
      <c r="P47" s="4">
        <v>24.26</v>
      </c>
      <c r="Q47" s="4">
        <f>P47-'Sonde étalon'!$C$14</f>
        <v>24.430000000000003</v>
      </c>
      <c r="T47" s="4">
        <f t="shared" si="7"/>
        <v>-0.12000000000000455</v>
      </c>
      <c r="U47" s="4">
        <f t="shared" si="8"/>
        <v>-0.24000000000000199</v>
      </c>
      <c r="V47" s="4">
        <f t="shared" si="9"/>
        <v>-0.24000000000000199</v>
      </c>
      <c r="W47" s="4">
        <f t="shared" si="10"/>
        <v>-0.24000000000000199</v>
      </c>
      <c r="X47" s="4">
        <f t="shared" si="11"/>
        <v>-0.18000000000000327</v>
      </c>
      <c r="Y47" s="4">
        <f t="shared" si="12"/>
        <v>-5.0000000000004263E-2</v>
      </c>
      <c r="Z47" s="4">
        <f t="shared" si="13"/>
        <v>9.9999999999980105E-3</v>
      </c>
      <c r="AA47" s="4">
        <f t="shared" si="14"/>
        <v>-5.0000000000004263E-2</v>
      </c>
      <c r="AB47" s="4">
        <f t="shared" si="15"/>
        <v>-0.30000000000000426</v>
      </c>
      <c r="AC47" s="4">
        <f t="shared" si="17"/>
        <v>2.4699999999999953</v>
      </c>
      <c r="AF47" s="4">
        <f t="shared" si="18"/>
        <v>24.461830985915494</v>
      </c>
      <c r="AG47" s="4">
        <f t="shared" si="19"/>
        <v>24.410563380281694</v>
      </c>
      <c r="AH47" s="4">
        <f t="shared" si="20"/>
        <v>24.431408450704229</v>
      </c>
      <c r="AI47" s="4">
        <f t="shared" si="21"/>
        <v>24.405633802816904</v>
      </c>
      <c r="AJ47" s="4">
        <f t="shared" si="22"/>
        <v>24.483802816901409</v>
      </c>
      <c r="AK47" s="4">
        <f t="shared" si="23"/>
        <v>24.518169014084506</v>
      </c>
      <c r="AL47" s="4">
        <f t="shared" si="24"/>
        <v>24.464788732394368</v>
      </c>
      <c r="AM47" s="4">
        <f t="shared" si="25"/>
        <v>24.470140845070425</v>
      </c>
      <c r="AN47" s="4">
        <f t="shared" si="26"/>
        <v>24.478732394366197</v>
      </c>
      <c r="AO47" s="4">
        <f t="shared" si="27"/>
        <v>24.291830985915492</v>
      </c>
      <c r="AQ47"/>
      <c r="AR47" s="4">
        <f t="shared" si="28"/>
        <v>3.1830985915490828E-2</v>
      </c>
      <c r="AS47" s="4">
        <f t="shared" si="29"/>
        <v>-1.9436619718309345E-2</v>
      </c>
      <c r="AT47" s="4">
        <f t="shared" si="30"/>
        <v>1.4084507042255723E-3</v>
      </c>
      <c r="AU47" s="4">
        <f t="shared" si="31"/>
        <v>-2.4366197183098848E-2</v>
      </c>
      <c r="AV47" s="4">
        <f t="shared" si="32"/>
        <v>5.3802816901406203E-2</v>
      </c>
      <c r="AW47" s="4">
        <f t="shared" si="33"/>
        <v>8.8169014084503061E-2</v>
      </c>
      <c r="AX47" s="4">
        <f t="shared" si="34"/>
        <v>3.478873239436453E-2</v>
      </c>
      <c r="AY47" s="4">
        <f t="shared" si="35"/>
        <v>4.0140845070421705E-2</v>
      </c>
      <c r="AZ47" s="4">
        <f t="shared" si="36"/>
        <v>4.8732394366194143E-2</v>
      </c>
      <c r="BA47" s="4">
        <f t="shared" si="37"/>
        <v>-0.13816901408451088</v>
      </c>
    </row>
    <row r="48" spans="1:53" x14ac:dyDescent="0.25">
      <c r="A48" s="11">
        <v>45</v>
      </c>
      <c r="B48" s="12">
        <v>43551</v>
      </c>
      <c r="C48" s="13">
        <v>0.68969907407407405</v>
      </c>
      <c r="D48" s="11">
        <v>24.31</v>
      </c>
      <c r="E48" s="11">
        <v>24.25</v>
      </c>
      <c r="F48" s="11">
        <v>24.25</v>
      </c>
      <c r="G48" s="11">
        <v>24.25</v>
      </c>
      <c r="H48" s="11">
        <v>24.25</v>
      </c>
      <c r="I48" s="11">
        <v>24.38</v>
      </c>
      <c r="J48" s="11">
        <v>24.44</v>
      </c>
      <c r="K48" s="11">
        <v>24.44</v>
      </c>
      <c r="L48" s="11">
        <v>24.13</v>
      </c>
      <c r="M48" s="11">
        <v>27</v>
      </c>
      <c r="N48" s="11">
        <v>16</v>
      </c>
      <c r="P48" s="4">
        <v>24.31</v>
      </c>
      <c r="Q48" s="4">
        <f>P48-'Sonde étalon'!$C$14</f>
        <v>24.48</v>
      </c>
      <c r="T48" s="4">
        <f t="shared" si="7"/>
        <v>-0.17000000000000171</v>
      </c>
      <c r="U48" s="4">
        <f t="shared" si="8"/>
        <v>-0.23000000000000043</v>
      </c>
      <c r="V48" s="4">
        <f t="shared" si="9"/>
        <v>-0.23000000000000043</v>
      </c>
      <c r="W48" s="4">
        <f t="shared" si="10"/>
        <v>-0.23000000000000043</v>
      </c>
      <c r="X48" s="4">
        <f t="shared" si="11"/>
        <v>-0.23000000000000043</v>
      </c>
      <c r="Y48" s="4">
        <f t="shared" si="12"/>
        <v>-0.10000000000000142</v>
      </c>
      <c r="Z48" s="4">
        <f t="shared" si="13"/>
        <v>-3.9999999999999147E-2</v>
      </c>
      <c r="AA48" s="4">
        <f t="shared" si="14"/>
        <v>-3.9999999999999147E-2</v>
      </c>
      <c r="AB48" s="4">
        <f t="shared" si="15"/>
        <v>-0.35000000000000142</v>
      </c>
      <c r="AC48" s="4">
        <f t="shared" si="17"/>
        <v>2.5199999999999996</v>
      </c>
      <c r="AF48" s="4">
        <f t="shared" si="18"/>
        <v>24.461830985915494</v>
      </c>
      <c r="AG48" s="4">
        <f t="shared" si="19"/>
        <v>24.470563380281693</v>
      </c>
      <c r="AH48" s="4">
        <f t="shared" si="20"/>
        <v>24.491408450704228</v>
      </c>
      <c r="AI48" s="4">
        <f t="shared" si="21"/>
        <v>24.465633802816903</v>
      </c>
      <c r="AJ48" s="4">
        <f t="shared" si="22"/>
        <v>24.483802816901409</v>
      </c>
      <c r="AK48" s="4">
        <f t="shared" si="23"/>
        <v>24.518169014084506</v>
      </c>
      <c r="AL48" s="4">
        <f t="shared" si="24"/>
        <v>24.464788732394368</v>
      </c>
      <c r="AM48" s="4">
        <f t="shared" si="25"/>
        <v>24.530140845070427</v>
      </c>
      <c r="AN48" s="4">
        <f t="shared" si="26"/>
        <v>24.478732394366197</v>
      </c>
      <c r="AO48" s="4">
        <f t="shared" si="27"/>
        <v>24.391830985915494</v>
      </c>
      <c r="AQ48"/>
      <c r="AR48" s="4">
        <f t="shared" si="28"/>
        <v>-1.816901408450633E-2</v>
      </c>
      <c r="AS48" s="4">
        <f t="shared" si="29"/>
        <v>-9.4366197183077816E-3</v>
      </c>
      <c r="AT48" s="4">
        <f t="shared" si="30"/>
        <v>1.1408450704227135E-2</v>
      </c>
      <c r="AU48" s="4">
        <f t="shared" si="31"/>
        <v>-1.4366197183097285E-2</v>
      </c>
      <c r="AV48" s="4">
        <f t="shared" si="32"/>
        <v>3.8028169014090452E-3</v>
      </c>
      <c r="AW48" s="4">
        <f t="shared" si="33"/>
        <v>3.8169014084505903E-2</v>
      </c>
      <c r="AX48" s="4">
        <f t="shared" si="34"/>
        <v>-1.5211267605632628E-2</v>
      </c>
      <c r="AY48" s="4">
        <f t="shared" si="35"/>
        <v>5.014084507042682E-2</v>
      </c>
      <c r="AZ48" s="4">
        <f t="shared" si="36"/>
        <v>-1.2676056338030151E-3</v>
      </c>
      <c r="BA48" s="4">
        <f t="shared" si="37"/>
        <v>-8.8169014084506614E-2</v>
      </c>
    </row>
    <row r="49" spans="1:53" x14ac:dyDescent="0.25">
      <c r="A49" s="11">
        <v>46</v>
      </c>
      <c r="B49" s="12">
        <v>43551</v>
      </c>
      <c r="C49" s="13">
        <v>0.69039351851851849</v>
      </c>
      <c r="D49" s="11">
        <v>24.38</v>
      </c>
      <c r="E49" s="11">
        <v>24.25</v>
      </c>
      <c r="F49" s="11">
        <v>24.25</v>
      </c>
      <c r="G49" s="11">
        <v>24.31</v>
      </c>
      <c r="H49" s="11">
        <v>24.31</v>
      </c>
      <c r="I49" s="11">
        <v>24.38</v>
      </c>
      <c r="J49" s="11">
        <v>24.5</v>
      </c>
      <c r="K49" s="11">
        <v>24.44</v>
      </c>
      <c r="L49" s="11">
        <v>24.19</v>
      </c>
      <c r="M49" s="11">
        <v>27.1</v>
      </c>
      <c r="N49" s="11">
        <v>16</v>
      </c>
      <c r="P49" s="4">
        <v>24.34</v>
      </c>
      <c r="Q49" s="4">
        <f>P49-'Sonde étalon'!$C$14</f>
        <v>24.51</v>
      </c>
      <c r="T49" s="4">
        <f t="shared" si="7"/>
        <v>-0.13000000000000256</v>
      </c>
      <c r="U49" s="4">
        <f t="shared" si="8"/>
        <v>-0.26000000000000156</v>
      </c>
      <c r="V49" s="4">
        <f t="shared" si="9"/>
        <v>-0.26000000000000156</v>
      </c>
      <c r="W49" s="4">
        <f t="shared" si="10"/>
        <v>-0.20000000000000284</v>
      </c>
      <c r="X49" s="4">
        <f t="shared" si="11"/>
        <v>-0.20000000000000284</v>
      </c>
      <c r="Y49" s="4">
        <f t="shared" si="12"/>
        <v>-0.13000000000000256</v>
      </c>
      <c r="Z49" s="4">
        <f t="shared" si="13"/>
        <v>-1.0000000000001563E-2</v>
      </c>
      <c r="AA49" s="4">
        <f t="shared" si="14"/>
        <v>-7.0000000000000284E-2</v>
      </c>
      <c r="AB49" s="4">
        <f t="shared" si="15"/>
        <v>-0.32000000000000028</v>
      </c>
      <c r="AC49" s="4">
        <f t="shared" si="17"/>
        <v>2.59</v>
      </c>
      <c r="AF49" s="4">
        <f t="shared" si="18"/>
        <v>24.531830985915494</v>
      </c>
      <c r="AG49" s="4">
        <f t="shared" si="19"/>
        <v>24.470563380281693</v>
      </c>
      <c r="AH49" s="4">
        <f t="shared" si="20"/>
        <v>24.491408450704228</v>
      </c>
      <c r="AI49" s="4">
        <f t="shared" si="21"/>
        <v>24.525633802816902</v>
      </c>
      <c r="AJ49" s="4">
        <f t="shared" si="22"/>
        <v>24.543802816901408</v>
      </c>
      <c r="AK49" s="4">
        <f t="shared" si="23"/>
        <v>24.518169014084506</v>
      </c>
      <c r="AL49" s="4">
        <f t="shared" si="24"/>
        <v>24.524788732394367</v>
      </c>
      <c r="AM49" s="4">
        <f t="shared" si="25"/>
        <v>24.530140845070427</v>
      </c>
      <c r="AN49" s="4">
        <f t="shared" si="26"/>
        <v>24.5387323943662</v>
      </c>
      <c r="AO49" s="4">
        <f t="shared" si="27"/>
        <v>24.491830985915495</v>
      </c>
      <c r="AQ49"/>
      <c r="AR49" s="4">
        <f t="shared" si="28"/>
        <v>2.1830985915492818E-2</v>
      </c>
      <c r="AS49" s="4">
        <f t="shared" si="29"/>
        <v>-3.9436619718308918E-2</v>
      </c>
      <c r="AT49" s="4">
        <f t="shared" si="30"/>
        <v>-1.8591549295774001E-2</v>
      </c>
      <c r="AU49" s="4">
        <f t="shared" si="31"/>
        <v>1.56338028169003E-2</v>
      </c>
      <c r="AV49" s="4">
        <f t="shared" si="32"/>
        <v>3.3802816901406629E-2</v>
      </c>
      <c r="AW49" s="4">
        <f t="shared" si="33"/>
        <v>8.1690140845047665E-3</v>
      </c>
      <c r="AX49" s="4">
        <f t="shared" si="34"/>
        <v>1.4788732394364956E-2</v>
      </c>
      <c r="AY49" s="4">
        <f t="shared" si="35"/>
        <v>2.0140845070425684E-2</v>
      </c>
      <c r="AZ49" s="4">
        <f t="shared" si="36"/>
        <v>2.8732394366198122E-2</v>
      </c>
      <c r="BA49" s="4">
        <f t="shared" si="37"/>
        <v>-1.816901408450633E-2</v>
      </c>
    </row>
    <row r="50" spans="1:53" x14ac:dyDescent="0.25">
      <c r="A50" s="11">
        <v>47</v>
      </c>
      <c r="B50" s="12">
        <v>43551</v>
      </c>
      <c r="C50" s="13">
        <v>0.69108796296296304</v>
      </c>
      <c r="D50" s="11">
        <v>24.44</v>
      </c>
      <c r="E50" s="11">
        <v>24.31</v>
      </c>
      <c r="F50" s="11">
        <v>24.31</v>
      </c>
      <c r="G50" s="11">
        <v>24.31</v>
      </c>
      <c r="H50" s="11">
        <v>24.31</v>
      </c>
      <c r="I50" s="11">
        <v>24.44</v>
      </c>
      <c r="J50" s="11">
        <v>24.5</v>
      </c>
      <c r="K50" s="11">
        <v>24.5</v>
      </c>
      <c r="L50" s="11">
        <v>24.19</v>
      </c>
      <c r="M50" s="11">
        <v>27</v>
      </c>
      <c r="N50" s="11">
        <v>16</v>
      </c>
      <c r="P50" s="4">
        <v>24.37</v>
      </c>
      <c r="Q50" s="4">
        <f>P50-'Sonde étalon'!$C$14</f>
        <v>24.540000000000003</v>
      </c>
      <c r="T50" s="4">
        <f t="shared" si="7"/>
        <v>-0.10000000000000142</v>
      </c>
      <c r="U50" s="4">
        <f t="shared" si="8"/>
        <v>-0.23000000000000398</v>
      </c>
      <c r="V50" s="4">
        <f t="shared" si="9"/>
        <v>-0.23000000000000398</v>
      </c>
      <c r="W50" s="4">
        <f t="shared" si="10"/>
        <v>-0.23000000000000398</v>
      </c>
      <c r="X50" s="4">
        <f t="shared" si="11"/>
        <v>-0.23000000000000398</v>
      </c>
      <c r="Y50" s="4">
        <f t="shared" si="12"/>
        <v>-0.10000000000000142</v>
      </c>
      <c r="Z50" s="4">
        <f t="shared" si="13"/>
        <v>-4.00000000000027E-2</v>
      </c>
      <c r="AA50" s="4">
        <f t="shared" si="14"/>
        <v>-4.00000000000027E-2</v>
      </c>
      <c r="AB50" s="4">
        <f t="shared" si="15"/>
        <v>-0.35000000000000142</v>
      </c>
      <c r="AC50" s="4">
        <f t="shared" si="17"/>
        <v>2.4599999999999973</v>
      </c>
      <c r="AF50" s="4">
        <f t="shared" si="18"/>
        <v>24.591830985915497</v>
      </c>
      <c r="AG50" s="4">
        <f t="shared" si="19"/>
        <v>24.530563380281691</v>
      </c>
      <c r="AH50" s="4">
        <f t="shared" si="20"/>
        <v>24.551408450704226</v>
      </c>
      <c r="AI50" s="4">
        <f t="shared" si="21"/>
        <v>24.525633802816902</v>
      </c>
      <c r="AJ50" s="4">
        <f t="shared" si="22"/>
        <v>24.543802816901408</v>
      </c>
      <c r="AK50" s="4">
        <f t="shared" si="23"/>
        <v>24.578169014084509</v>
      </c>
      <c r="AL50" s="4">
        <f t="shared" si="24"/>
        <v>24.524788732394367</v>
      </c>
      <c r="AM50" s="4">
        <f t="shared" si="25"/>
        <v>24.590140845070426</v>
      </c>
      <c r="AN50" s="4">
        <f t="shared" si="26"/>
        <v>24.5387323943662</v>
      </c>
      <c r="AO50" s="4">
        <f t="shared" si="27"/>
        <v>24.391830985915494</v>
      </c>
      <c r="AQ50"/>
      <c r="AR50" s="4">
        <f t="shared" si="28"/>
        <v>5.1830985915493955E-2</v>
      </c>
      <c r="AS50" s="4">
        <f t="shared" si="29"/>
        <v>-9.4366197183113343E-3</v>
      </c>
      <c r="AT50" s="4">
        <f t="shared" si="30"/>
        <v>1.1408450704223583E-2</v>
      </c>
      <c r="AU50" s="4">
        <f t="shared" si="31"/>
        <v>-1.4366197183100837E-2</v>
      </c>
      <c r="AV50" s="4">
        <f t="shared" si="32"/>
        <v>3.8028169014054924E-3</v>
      </c>
      <c r="AW50" s="4">
        <f t="shared" si="33"/>
        <v>3.8169014084505903E-2</v>
      </c>
      <c r="AX50" s="4">
        <f t="shared" si="34"/>
        <v>-1.5211267605636181E-2</v>
      </c>
      <c r="AY50" s="4">
        <f t="shared" si="35"/>
        <v>5.0140845070423268E-2</v>
      </c>
      <c r="AZ50" s="4">
        <f t="shared" si="36"/>
        <v>-1.2676056338030151E-3</v>
      </c>
      <c r="BA50" s="4">
        <f t="shared" si="37"/>
        <v>-0.14816901408450889</v>
      </c>
    </row>
    <row r="51" spans="1:53" x14ac:dyDescent="0.25">
      <c r="A51" s="11">
        <v>48</v>
      </c>
      <c r="B51" s="12">
        <v>43551</v>
      </c>
      <c r="C51" s="13">
        <v>0.69178240740740737</v>
      </c>
      <c r="D51" s="11">
        <v>24.44</v>
      </c>
      <c r="E51" s="11">
        <v>24.31</v>
      </c>
      <c r="F51" s="11">
        <v>24.31</v>
      </c>
      <c r="G51" s="11">
        <v>24.31</v>
      </c>
      <c r="H51" s="11">
        <v>24.31</v>
      </c>
      <c r="I51" s="11">
        <v>24.5</v>
      </c>
      <c r="J51" s="11">
        <v>24.56</v>
      </c>
      <c r="K51" s="11">
        <v>24.5</v>
      </c>
      <c r="L51" s="11">
        <v>24.25</v>
      </c>
      <c r="M51" s="11">
        <v>27.1</v>
      </c>
      <c r="N51" s="11">
        <v>16</v>
      </c>
      <c r="P51" s="4">
        <v>24.37</v>
      </c>
      <c r="Q51" s="4">
        <f>P51-'Sonde étalon'!$C$14</f>
        <v>24.540000000000003</v>
      </c>
      <c r="T51" s="4">
        <f t="shared" si="7"/>
        <v>-0.10000000000000142</v>
      </c>
      <c r="U51" s="4">
        <f t="shared" si="8"/>
        <v>-0.23000000000000398</v>
      </c>
      <c r="V51" s="4">
        <f t="shared" si="9"/>
        <v>-0.23000000000000398</v>
      </c>
      <c r="W51" s="4">
        <f t="shared" si="10"/>
        <v>-0.23000000000000398</v>
      </c>
      <c r="X51" s="4">
        <f t="shared" si="11"/>
        <v>-0.23000000000000398</v>
      </c>
      <c r="Y51" s="4">
        <f t="shared" si="12"/>
        <v>-4.00000000000027E-2</v>
      </c>
      <c r="Z51" s="4">
        <f t="shared" si="13"/>
        <v>1.9999999999996021E-2</v>
      </c>
      <c r="AA51" s="4">
        <f t="shared" si="14"/>
        <v>-4.00000000000027E-2</v>
      </c>
      <c r="AB51" s="4">
        <f t="shared" si="15"/>
        <v>-0.2900000000000027</v>
      </c>
      <c r="AC51" s="4">
        <f t="shared" si="17"/>
        <v>2.5599999999999987</v>
      </c>
      <c r="AF51" s="4">
        <f t="shared" si="18"/>
        <v>24.591830985915497</v>
      </c>
      <c r="AG51" s="4">
        <f t="shared" si="19"/>
        <v>24.530563380281691</v>
      </c>
      <c r="AH51" s="4">
        <f t="shared" si="20"/>
        <v>24.551408450704226</v>
      </c>
      <c r="AI51" s="4">
        <f t="shared" si="21"/>
        <v>24.525633802816902</v>
      </c>
      <c r="AJ51" s="4">
        <f t="shared" si="22"/>
        <v>24.543802816901408</v>
      </c>
      <c r="AK51" s="4">
        <f t="shared" si="23"/>
        <v>24.638169014084507</v>
      </c>
      <c r="AL51" s="4">
        <f t="shared" si="24"/>
        <v>24.584788732394365</v>
      </c>
      <c r="AM51" s="4">
        <f t="shared" si="25"/>
        <v>24.590140845070426</v>
      </c>
      <c r="AN51" s="4">
        <f t="shared" si="26"/>
        <v>24.598732394366198</v>
      </c>
      <c r="AO51" s="4">
        <f t="shared" si="27"/>
        <v>24.491830985915495</v>
      </c>
      <c r="AQ51"/>
      <c r="AR51" s="4">
        <f t="shared" si="28"/>
        <v>5.1830985915493955E-2</v>
      </c>
      <c r="AS51" s="4">
        <f t="shared" si="29"/>
        <v>-9.4366197183113343E-3</v>
      </c>
      <c r="AT51" s="4">
        <f t="shared" si="30"/>
        <v>1.1408450704223583E-2</v>
      </c>
      <c r="AU51" s="4">
        <f t="shared" si="31"/>
        <v>-1.4366197183100837E-2</v>
      </c>
      <c r="AV51" s="4">
        <f t="shared" si="32"/>
        <v>3.8028169014054924E-3</v>
      </c>
      <c r="AW51" s="4">
        <f t="shared" si="33"/>
        <v>9.8169014084504624E-2</v>
      </c>
      <c r="AX51" s="4">
        <f t="shared" si="34"/>
        <v>4.478873239436254E-2</v>
      </c>
      <c r="AY51" s="4">
        <f t="shared" si="35"/>
        <v>5.0140845070423268E-2</v>
      </c>
      <c r="AZ51" s="4">
        <f t="shared" si="36"/>
        <v>5.8732394366195706E-2</v>
      </c>
      <c r="BA51" s="4">
        <f t="shared" si="37"/>
        <v>-4.8169014084507467E-2</v>
      </c>
    </row>
    <row r="52" spans="1:53" x14ac:dyDescent="0.25">
      <c r="A52" s="11">
        <v>49</v>
      </c>
      <c r="B52" s="12">
        <v>43551</v>
      </c>
      <c r="C52" s="13">
        <v>0.69247685185185182</v>
      </c>
      <c r="D52" s="11">
        <v>24.5</v>
      </c>
      <c r="E52" s="11">
        <v>24.38</v>
      </c>
      <c r="F52" s="11">
        <v>24.38</v>
      </c>
      <c r="G52" s="11">
        <v>24.38</v>
      </c>
      <c r="H52" s="11">
        <v>24.38</v>
      </c>
      <c r="I52" s="11">
        <v>24.5</v>
      </c>
      <c r="J52" s="11">
        <v>24.56</v>
      </c>
      <c r="K52" s="11">
        <v>24.5</v>
      </c>
      <c r="L52" s="11">
        <v>24.25</v>
      </c>
      <c r="M52" s="11">
        <v>27.1</v>
      </c>
      <c r="N52" s="11">
        <v>16</v>
      </c>
      <c r="P52" s="4">
        <v>24.42</v>
      </c>
      <c r="Q52" s="4">
        <f>P52-'Sonde étalon'!$C$14</f>
        <v>24.590000000000003</v>
      </c>
      <c r="T52" s="4">
        <f t="shared" si="7"/>
        <v>-9.0000000000003411E-2</v>
      </c>
      <c r="U52" s="4">
        <f t="shared" si="8"/>
        <v>-0.21000000000000441</v>
      </c>
      <c r="V52" s="4">
        <f t="shared" si="9"/>
        <v>-0.21000000000000441</v>
      </c>
      <c r="W52" s="4">
        <f t="shared" si="10"/>
        <v>-0.21000000000000441</v>
      </c>
      <c r="X52" s="4">
        <f t="shared" si="11"/>
        <v>-0.21000000000000441</v>
      </c>
      <c r="Y52" s="4">
        <f t="shared" si="12"/>
        <v>-9.0000000000003411E-2</v>
      </c>
      <c r="Z52" s="4">
        <f t="shared" si="13"/>
        <v>-3.000000000000469E-2</v>
      </c>
      <c r="AA52" s="4">
        <f t="shared" si="14"/>
        <v>-9.0000000000003411E-2</v>
      </c>
      <c r="AB52" s="4">
        <f t="shared" si="15"/>
        <v>-0.34000000000000341</v>
      </c>
      <c r="AC52" s="4">
        <f t="shared" si="17"/>
        <v>2.509999999999998</v>
      </c>
      <c r="AF52" s="4">
        <f t="shared" si="18"/>
        <v>24.651830985915495</v>
      </c>
      <c r="AG52" s="4">
        <f t="shared" si="19"/>
        <v>24.600563380281692</v>
      </c>
      <c r="AH52" s="4">
        <f t="shared" si="20"/>
        <v>24.621408450704227</v>
      </c>
      <c r="AI52" s="4">
        <f t="shared" si="21"/>
        <v>24.595633802816902</v>
      </c>
      <c r="AJ52" s="4">
        <f t="shared" si="22"/>
        <v>24.613802816901408</v>
      </c>
      <c r="AK52" s="4">
        <f t="shared" si="23"/>
        <v>24.638169014084507</v>
      </c>
      <c r="AL52" s="4">
        <f t="shared" si="24"/>
        <v>24.584788732394365</v>
      </c>
      <c r="AM52" s="4">
        <f t="shared" si="25"/>
        <v>24.590140845070426</v>
      </c>
      <c r="AN52" s="4">
        <f t="shared" si="26"/>
        <v>24.598732394366198</v>
      </c>
      <c r="AO52" s="4">
        <f t="shared" si="27"/>
        <v>24.491830985915495</v>
      </c>
      <c r="AQ52"/>
      <c r="AR52" s="4">
        <f t="shared" si="28"/>
        <v>6.1830985915491965E-2</v>
      </c>
      <c r="AS52" s="4">
        <f t="shared" si="29"/>
        <v>1.0563380281688239E-2</v>
      </c>
      <c r="AT52" s="4">
        <f t="shared" si="30"/>
        <v>3.1408450704223156E-2</v>
      </c>
      <c r="AU52" s="4">
        <f t="shared" si="31"/>
        <v>5.6338028168987364E-3</v>
      </c>
      <c r="AV52" s="4">
        <f t="shared" si="32"/>
        <v>2.3802816901405066E-2</v>
      </c>
      <c r="AW52" s="4">
        <f t="shared" si="33"/>
        <v>4.8169014084503914E-2</v>
      </c>
      <c r="AX52" s="4">
        <f t="shared" si="34"/>
        <v>-5.2112676056381702E-3</v>
      </c>
      <c r="AY52" s="4">
        <f t="shared" si="35"/>
        <v>1.4084507042255723E-4</v>
      </c>
      <c r="AZ52" s="4">
        <f t="shared" si="36"/>
        <v>8.7323943661949954E-3</v>
      </c>
      <c r="BA52" s="4">
        <f t="shared" si="37"/>
        <v>-9.8169014084508177E-2</v>
      </c>
    </row>
    <row r="53" spans="1:53" x14ac:dyDescent="0.25">
      <c r="A53" s="11">
        <v>50</v>
      </c>
      <c r="B53" s="12">
        <v>43551</v>
      </c>
      <c r="C53" s="13">
        <v>0.69317129629629637</v>
      </c>
      <c r="D53" s="11">
        <v>24.44</v>
      </c>
      <c r="E53" s="11">
        <v>24.31</v>
      </c>
      <c r="F53" s="11">
        <v>24.38</v>
      </c>
      <c r="G53" s="11">
        <v>24.38</v>
      </c>
      <c r="H53" s="11">
        <v>24.38</v>
      </c>
      <c r="I53" s="11">
        <v>24.44</v>
      </c>
      <c r="J53" s="11">
        <v>24.56</v>
      </c>
      <c r="K53" s="11">
        <v>24.5</v>
      </c>
      <c r="L53" s="11">
        <v>24.25</v>
      </c>
      <c r="M53" s="11">
        <v>27.1</v>
      </c>
      <c r="N53" s="11">
        <v>17</v>
      </c>
      <c r="P53" s="4">
        <v>24.45</v>
      </c>
      <c r="Q53" s="4">
        <f>P53-'Sonde étalon'!$C$14</f>
        <v>24.62</v>
      </c>
      <c r="T53" s="4">
        <f t="shared" si="7"/>
        <v>-0.17999999999999972</v>
      </c>
      <c r="U53" s="4">
        <f t="shared" si="8"/>
        <v>-0.31000000000000227</v>
      </c>
      <c r="V53" s="4">
        <f t="shared" si="9"/>
        <v>-0.24000000000000199</v>
      </c>
      <c r="W53" s="4">
        <f t="shared" si="10"/>
        <v>-0.24000000000000199</v>
      </c>
      <c r="X53" s="4">
        <f t="shared" si="11"/>
        <v>-0.24000000000000199</v>
      </c>
      <c r="Y53" s="4">
        <f t="shared" si="12"/>
        <v>-0.17999999999999972</v>
      </c>
      <c r="Z53" s="4">
        <f t="shared" si="13"/>
        <v>-6.0000000000002274E-2</v>
      </c>
      <c r="AA53" s="4">
        <f t="shared" si="14"/>
        <v>-0.12000000000000099</v>
      </c>
      <c r="AB53" s="4">
        <f t="shared" si="15"/>
        <v>-0.37000000000000099</v>
      </c>
      <c r="AC53" s="4">
        <f t="shared" si="17"/>
        <v>2.4800000000000004</v>
      </c>
      <c r="AF53" s="4">
        <f t="shared" si="18"/>
        <v>24.591830985915497</v>
      </c>
      <c r="AG53" s="4">
        <f t="shared" si="19"/>
        <v>24.530563380281691</v>
      </c>
      <c r="AH53" s="4">
        <f t="shared" si="20"/>
        <v>24.621408450704227</v>
      </c>
      <c r="AI53" s="4">
        <f t="shared" si="21"/>
        <v>24.595633802816902</v>
      </c>
      <c r="AJ53" s="4">
        <f t="shared" si="22"/>
        <v>24.613802816901408</v>
      </c>
      <c r="AK53" s="4">
        <f t="shared" si="23"/>
        <v>24.578169014084509</v>
      </c>
      <c r="AL53" s="4">
        <f t="shared" si="24"/>
        <v>24.584788732394365</v>
      </c>
      <c r="AM53" s="4">
        <f t="shared" si="25"/>
        <v>24.590140845070426</v>
      </c>
      <c r="AN53" s="4">
        <f t="shared" si="26"/>
        <v>24.598732394366198</v>
      </c>
      <c r="AO53" s="4">
        <f t="shared" si="27"/>
        <v>24.491830985915495</v>
      </c>
      <c r="AQ53"/>
      <c r="AR53" s="4">
        <f t="shared" si="28"/>
        <v>-2.816901408450434E-2</v>
      </c>
      <c r="AS53" s="4">
        <f t="shared" si="29"/>
        <v>-8.9436619718309629E-2</v>
      </c>
      <c r="AT53" s="4">
        <f t="shared" si="30"/>
        <v>1.4084507042255723E-3</v>
      </c>
      <c r="AU53" s="4">
        <f t="shared" si="31"/>
        <v>-2.4366197183098848E-2</v>
      </c>
      <c r="AV53" s="4">
        <f t="shared" si="32"/>
        <v>-6.197183098592518E-3</v>
      </c>
      <c r="AW53" s="4">
        <f t="shared" si="33"/>
        <v>-4.1830985915492391E-2</v>
      </c>
      <c r="AX53" s="4">
        <f t="shared" si="34"/>
        <v>-3.5211267605635754E-2</v>
      </c>
      <c r="AY53" s="4">
        <f t="shared" si="35"/>
        <v>-2.9859154929575027E-2</v>
      </c>
      <c r="AZ53" s="4">
        <f t="shared" si="36"/>
        <v>-2.1267605633802589E-2</v>
      </c>
      <c r="BA53" s="4">
        <f t="shared" si="37"/>
        <v>-0.12816901408450576</v>
      </c>
    </row>
    <row r="54" spans="1:53" x14ac:dyDescent="0.25">
      <c r="A54" s="11">
        <v>51</v>
      </c>
      <c r="B54" s="12">
        <v>43551</v>
      </c>
      <c r="C54" s="13">
        <v>0.69386574074074081</v>
      </c>
      <c r="D54" s="11">
        <v>24.44</v>
      </c>
      <c r="E54" s="11">
        <v>24.31</v>
      </c>
      <c r="F54" s="11">
        <v>24.31</v>
      </c>
      <c r="G54" s="11">
        <v>24.31</v>
      </c>
      <c r="H54" s="11">
        <v>24.38</v>
      </c>
      <c r="I54" s="11">
        <v>24.44</v>
      </c>
      <c r="J54" s="11">
        <v>24.56</v>
      </c>
      <c r="K54" s="11">
        <v>24.5</v>
      </c>
      <c r="L54" s="11">
        <v>24.25</v>
      </c>
      <c r="M54" s="11">
        <v>27.1</v>
      </c>
      <c r="N54" s="11">
        <v>17</v>
      </c>
      <c r="P54" s="4">
        <v>24.4</v>
      </c>
      <c r="Q54" s="4">
        <f>P54-'Sonde étalon'!$C$14</f>
        <v>24.57</v>
      </c>
      <c r="T54" s="4">
        <f t="shared" si="7"/>
        <v>-0.12999999999999901</v>
      </c>
      <c r="U54" s="4">
        <f t="shared" si="8"/>
        <v>-0.26000000000000156</v>
      </c>
      <c r="V54" s="4">
        <f t="shared" si="9"/>
        <v>-0.26000000000000156</v>
      </c>
      <c r="W54" s="4">
        <f t="shared" si="10"/>
        <v>-0.26000000000000156</v>
      </c>
      <c r="X54" s="4">
        <f t="shared" si="11"/>
        <v>-0.19000000000000128</v>
      </c>
      <c r="Y54" s="4">
        <f t="shared" si="12"/>
        <v>-0.12999999999999901</v>
      </c>
      <c r="Z54" s="4">
        <f t="shared" si="13"/>
        <v>-1.0000000000001563E-2</v>
      </c>
      <c r="AA54" s="4">
        <f t="shared" si="14"/>
        <v>-7.0000000000000284E-2</v>
      </c>
      <c r="AB54" s="4">
        <f t="shared" si="15"/>
        <v>-0.32000000000000028</v>
      </c>
      <c r="AC54" s="4">
        <f t="shared" si="17"/>
        <v>2.5300000000000011</v>
      </c>
      <c r="AF54" s="4">
        <f t="shared" si="18"/>
        <v>24.591830985915497</v>
      </c>
      <c r="AG54" s="4">
        <f t="shared" si="19"/>
        <v>24.530563380281691</v>
      </c>
      <c r="AH54" s="4">
        <f t="shared" si="20"/>
        <v>24.551408450704226</v>
      </c>
      <c r="AI54" s="4">
        <f t="shared" si="21"/>
        <v>24.525633802816902</v>
      </c>
      <c r="AJ54" s="4">
        <f t="shared" si="22"/>
        <v>24.613802816901408</v>
      </c>
      <c r="AK54" s="4">
        <f t="shared" si="23"/>
        <v>24.578169014084509</v>
      </c>
      <c r="AL54" s="4">
        <f t="shared" si="24"/>
        <v>24.584788732394365</v>
      </c>
      <c r="AM54" s="4">
        <f t="shared" si="25"/>
        <v>24.590140845070426</v>
      </c>
      <c r="AN54" s="4">
        <f t="shared" si="26"/>
        <v>24.598732394366198</v>
      </c>
      <c r="AO54" s="4">
        <f t="shared" si="27"/>
        <v>24.491830985915495</v>
      </c>
      <c r="AQ54"/>
      <c r="AR54" s="4">
        <f t="shared" si="28"/>
        <v>2.183098591549637E-2</v>
      </c>
      <c r="AS54" s="4">
        <f t="shared" si="29"/>
        <v>-3.9436619718308918E-2</v>
      </c>
      <c r="AT54" s="4">
        <f t="shared" si="30"/>
        <v>-1.8591549295774001E-2</v>
      </c>
      <c r="AU54" s="4">
        <f t="shared" si="31"/>
        <v>-4.4366197183098421E-2</v>
      </c>
      <c r="AV54" s="4">
        <f t="shared" si="32"/>
        <v>4.3802816901408193E-2</v>
      </c>
      <c r="AW54" s="4">
        <f t="shared" si="33"/>
        <v>8.1690140845083192E-3</v>
      </c>
      <c r="AX54" s="4">
        <f t="shared" si="34"/>
        <v>1.4788732394364956E-2</v>
      </c>
      <c r="AY54" s="4">
        <f t="shared" si="35"/>
        <v>2.0140845070425684E-2</v>
      </c>
      <c r="AZ54" s="4">
        <f t="shared" si="36"/>
        <v>2.8732394366198122E-2</v>
      </c>
      <c r="BA54" s="4">
        <f t="shared" si="37"/>
        <v>-7.8169014084505051E-2</v>
      </c>
    </row>
    <row r="55" spans="1:53" x14ac:dyDescent="0.25">
      <c r="A55" s="11">
        <v>52</v>
      </c>
      <c r="B55" s="12">
        <v>43551</v>
      </c>
      <c r="C55" s="13">
        <v>0.69456018518518514</v>
      </c>
      <c r="D55" s="11">
        <v>24.38</v>
      </c>
      <c r="E55" s="11">
        <v>24.25</v>
      </c>
      <c r="F55" s="11">
        <v>24.25</v>
      </c>
      <c r="G55" s="11">
        <v>24.31</v>
      </c>
      <c r="H55" s="11">
        <v>24.31</v>
      </c>
      <c r="I55" s="11">
        <v>24.44</v>
      </c>
      <c r="J55" s="11">
        <v>24.5</v>
      </c>
      <c r="K55" s="11">
        <v>24.44</v>
      </c>
      <c r="L55" s="11">
        <v>24.19</v>
      </c>
      <c r="M55" s="11">
        <v>27.1</v>
      </c>
      <c r="N55" s="11">
        <v>16</v>
      </c>
      <c r="P55" s="4">
        <v>24.39</v>
      </c>
      <c r="Q55" s="4">
        <f>P55-'Sonde étalon'!$C$14</f>
        <v>24.560000000000002</v>
      </c>
      <c r="T55" s="4">
        <f t="shared" si="7"/>
        <v>-0.18000000000000327</v>
      </c>
      <c r="U55" s="4">
        <f t="shared" si="8"/>
        <v>-0.31000000000000227</v>
      </c>
      <c r="V55" s="4">
        <f t="shared" si="9"/>
        <v>-0.31000000000000227</v>
      </c>
      <c r="W55" s="4">
        <f t="shared" si="10"/>
        <v>-0.25000000000000355</v>
      </c>
      <c r="X55" s="4">
        <f t="shared" si="11"/>
        <v>-0.25000000000000355</v>
      </c>
      <c r="Y55" s="4">
        <f t="shared" si="12"/>
        <v>-0.12000000000000099</v>
      </c>
      <c r="Z55" s="4">
        <f t="shared" si="13"/>
        <v>-6.0000000000002274E-2</v>
      </c>
      <c r="AA55" s="4">
        <f t="shared" si="14"/>
        <v>-0.12000000000000099</v>
      </c>
      <c r="AB55" s="4">
        <f t="shared" si="15"/>
        <v>-0.37000000000000099</v>
      </c>
      <c r="AC55" s="4">
        <f t="shared" si="17"/>
        <v>2.5399999999999991</v>
      </c>
      <c r="AF55" s="4">
        <f t="shared" si="18"/>
        <v>24.531830985915494</v>
      </c>
      <c r="AG55" s="4">
        <f t="shared" si="19"/>
        <v>24.470563380281693</v>
      </c>
      <c r="AH55" s="4">
        <f t="shared" si="20"/>
        <v>24.491408450704228</v>
      </c>
      <c r="AI55" s="4">
        <f t="shared" si="21"/>
        <v>24.525633802816902</v>
      </c>
      <c r="AJ55" s="4">
        <f t="shared" si="22"/>
        <v>24.543802816901408</v>
      </c>
      <c r="AK55" s="4">
        <f t="shared" si="23"/>
        <v>24.578169014084509</v>
      </c>
      <c r="AL55" s="4">
        <f t="shared" si="24"/>
        <v>24.524788732394367</v>
      </c>
      <c r="AM55" s="4">
        <f t="shared" si="25"/>
        <v>24.530140845070427</v>
      </c>
      <c r="AN55" s="4">
        <f t="shared" si="26"/>
        <v>24.5387323943662</v>
      </c>
      <c r="AO55" s="4">
        <f t="shared" si="27"/>
        <v>24.491830985915495</v>
      </c>
      <c r="AQ55"/>
      <c r="AR55" s="4">
        <f t="shared" si="28"/>
        <v>-2.8169014084507893E-2</v>
      </c>
      <c r="AS55" s="4">
        <f t="shared" si="29"/>
        <v>-8.9436619718309629E-2</v>
      </c>
      <c r="AT55" s="4">
        <f t="shared" si="30"/>
        <v>-6.8591549295774712E-2</v>
      </c>
      <c r="AU55" s="4">
        <f t="shared" si="31"/>
        <v>-3.4366197183100411E-2</v>
      </c>
      <c r="AV55" s="4">
        <f t="shared" si="32"/>
        <v>-1.6197183098594081E-2</v>
      </c>
      <c r="AW55" s="4">
        <f t="shared" si="33"/>
        <v>1.816901408450633E-2</v>
      </c>
      <c r="AX55" s="4">
        <f t="shared" si="34"/>
        <v>-3.5211267605635754E-2</v>
      </c>
      <c r="AY55" s="4">
        <f t="shared" si="35"/>
        <v>-2.9859154929575027E-2</v>
      </c>
      <c r="AZ55" s="4">
        <f t="shared" si="36"/>
        <v>-2.1267605633802589E-2</v>
      </c>
      <c r="BA55" s="4">
        <f t="shared" si="37"/>
        <v>-6.816901408450704E-2</v>
      </c>
    </row>
    <row r="56" spans="1:53" x14ac:dyDescent="0.25">
      <c r="A56" s="11">
        <v>53</v>
      </c>
      <c r="B56" s="12">
        <v>43551</v>
      </c>
      <c r="C56" s="13">
        <v>0.69525462962962958</v>
      </c>
      <c r="D56" s="11">
        <v>24.38</v>
      </c>
      <c r="E56" s="11">
        <v>24.25</v>
      </c>
      <c r="F56" s="11">
        <v>24.25</v>
      </c>
      <c r="G56" s="11">
        <v>24.25</v>
      </c>
      <c r="H56" s="11">
        <v>24.31</v>
      </c>
      <c r="I56" s="11">
        <v>24.44</v>
      </c>
      <c r="J56" s="11">
        <v>24.5</v>
      </c>
      <c r="K56" s="11">
        <v>24.44</v>
      </c>
      <c r="L56" s="11">
        <v>24.19</v>
      </c>
      <c r="M56" s="11">
        <v>27.1</v>
      </c>
      <c r="N56" s="11">
        <v>16</v>
      </c>
      <c r="P56" s="4">
        <v>24.38</v>
      </c>
      <c r="Q56" s="4">
        <f>P56-'Sonde étalon'!$C$14</f>
        <v>24.55</v>
      </c>
      <c r="T56" s="4">
        <f t="shared" si="7"/>
        <v>-0.17000000000000171</v>
      </c>
      <c r="U56" s="4">
        <f t="shared" si="8"/>
        <v>-0.30000000000000071</v>
      </c>
      <c r="V56" s="4">
        <f t="shared" si="9"/>
        <v>-0.30000000000000071</v>
      </c>
      <c r="W56" s="4">
        <f t="shared" si="10"/>
        <v>-0.30000000000000071</v>
      </c>
      <c r="X56" s="4">
        <f t="shared" si="11"/>
        <v>-0.24000000000000199</v>
      </c>
      <c r="Y56" s="4">
        <f t="shared" si="12"/>
        <v>-0.10999999999999943</v>
      </c>
      <c r="Z56" s="4">
        <f t="shared" si="13"/>
        <v>-5.0000000000000711E-2</v>
      </c>
      <c r="AA56" s="4">
        <f t="shared" si="14"/>
        <v>-0.10999999999999943</v>
      </c>
      <c r="AB56" s="4">
        <f t="shared" si="15"/>
        <v>-0.35999999999999943</v>
      </c>
      <c r="AC56" s="4">
        <f t="shared" si="17"/>
        <v>2.5500000000000007</v>
      </c>
      <c r="AF56" s="4">
        <f t="shared" si="18"/>
        <v>24.531830985915494</v>
      </c>
      <c r="AG56" s="4">
        <f t="shared" si="19"/>
        <v>24.470563380281693</v>
      </c>
      <c r="AH56" s="4">
        <f t="shared" si="20"/>
        <v>24.491408450704228</v>
      </c>
      <c r="AI56" s="4">
        <f t="shared" si="21"/>
        <v>24.465633802816903</v>
      </c>
      <c r="AJ56" s="4">
        <f t="shared" si="22"/>
        <v>24.543802816901408</v>
      </c>
      <c r="AK56" s="4">
        <f t="shared" si="23"/>
        <v>24.578169014084509</v>
      </c>
      <c r="AL56" s="4">
        <f t="shared" si="24"/>
        <v>24.524788732394367</v>
      </c>
      <c r="AM56" s="4">
        <f t="shared" si="25"/>
        <v>24.530140845070427</v>
      </c>
      <c r="AN56" s="4">
        <f t="shared" si="26"/>
        <v>24.5387323943662</v>
      </c>
      <c r="AO56" s="4">
        <f t="shared" si="27"/>
        <v>24.491830985915495</v>
      </c>
      <c r="AQ56"/>
      <c r="AR56" s="4">
        <f t="shared" si="28"/>
        <v>-1.816901408450633E-2</v>
      </c>
      <c r="AS56" s="4">
        <f t="shared" si="29"/>
        <v>-7.9436619718308066E-2</v>
      </c>
      <c r="AT56" s="4">
        <f t="shared" si="30"/>
        <v>-5.8591549295773149E-2</v>
      </c>
      <c r="AU56" s="4">
        <f t="shared" si="31"/>
        <v>-8.4366197183097569E-2</v>
      </c>
      <c r="AV56" s="4">
        <f t="shared" si="32"/>
        <v>-6.197183098592518E-3</v>
      </c>
      <c r="AW56" s="4">
        <f t="shared" si="33"/>
        <v>2.8169014084507893E-2</v>
      </c>
      <c r="AX56" s="4">
        <f t="shared" si="34"/>
        <v>-2.5211267605634191E-2</v>
      </c>
      <c r="AY56" s="4">
        <f t="shared" si="35"/>
        <v>-1.9859154929573464E-2</v>
      </c>
      <c r="AZ56" s="4">
        <f t="shared" si="36"/>
        <v>-1.1267605633801026E-2</v>
      </c>
      <c r="BA56" s="4">
        <f t="shared" si="37"/>
        <v>-5.8169014084505477E-2</v>
      </c>
    </row>
    <row r="57" spans="1:53" x14ac:dyDescent="0.25">
      <c r="A57" s="11">
        <v>54</v>
      </c>
      <c r="B57" s="12">
        <v>43551</v>
      </c>
      <c r="C57" s="13">
        <v>0.69594907407407414</v>
      </c>
      <c r="D57" s="11">
        <v>24.38</v>
      </c>
      <c r="E57" s="11">
        <v>24.25</v>
      </c>
      <c r="F57" s="11">
        <v>24.31</v>
      </c>
      <c r="G57" s="11">
        <v>24.31</v>
      </c>
      <c r="H57" s="11">
        <v>24.31</v>
      </c>
      <c r="I57" s="11">
        <v>24.44</v>
      </c>
      <c r="J57" s="11">
        <v>24.5</v>
      </c>
      <c r="K57" s="11">
        <v>24.44</v>
      </c>
      <c r="L57" s="11">
        <v>24.19</v>
      </c>
      <c r="M57" s="11">
        <v>27.1</v>
      </c>
      <c r="N57" s="11">
        <v>16</v>
      </c>
      <c r="P57" s="4">
        <v>24.35</v>
      </c>
      <c r="Q57" s="4">
        <f>P57-'Sonde étalon'!$C$14</f>
        <v>24.520000000000003</v>
      </c>
      <c r="T57" s="4">
        <f t="shared" si="7"/>
        <v>-0.14000000000000412</v>
      </c>
      <c r="U57" s="4">
        <f t="shared" si="8"/>
        <v>-0.27000000000000313</v>
      </c>
      <c r="V57" s="4">
        <f t="shared" si="9"/>
        <v>-0.21000000000000441</v>
      </c>
      <c r="W57" s="4">
        <f t="shared" si="10"/>
        <v>-0.21000000000000441</v>
      </c>
      <c r="X57" s="4">
        <f t="shared" si="11"/>
        <v>-0.21000000000000441</v>
      </c>
      <c r="Y57" s="4">
        <f t="shared" si="12"/>
        <v>-8.0000000000001847E-2</v>
      </c>
      <c r="Z57" s="4">
        <f t="shared" si="13"/>
        <v>-2.0000000000003126E-2</v>
      </c>
      <c r="AA57" s="4">
        <f t="shared" si="14"/>
        <v>-8.0000000000001847E-2</v>
      </c>
      <c r="AB57" s="4">
        <f t="shared" si="15"/>
        <v>-0.33000000000000185</v>
      </c>
      <c r="AC57" s="4">
        <f t="shared" si="17"/>
        <v>2.5799999999999983</v>
      </c>
      <c r="AF57" s="4">
        <f t="shared" si="18"/>
        <v>24.531830985915494</v>
      </c>
      <c r="AG57" s="4">
        <f t="shared" si="19"/>
        <v>24.470563380281693</v>
      </c>
      <c r="AH57" s="4">
        <f t="shared" si="20"/>
        <v>24.551408450704226</v>
      </c>
      <c r="AI57" s="4">
        <f t="shared" si="21"/>
        <v>24.525633802816902</v>
      </c>
      <c r="AJ57" s="4">
        <f t="shared" si="22"/>
        <v>24.543802816901408</v>
      </c>
      <c r="AK57" s="4">
        <f t="shared" si="23"/>
        <v>24.578169014084509</v>
      </c>
      <c r="AL57" s="4">
        <f t="shared" si="24"/>
        <v>24.524788732394367</v>
      </c>
      <c r="AM57" s="4">
        <f t="shared" si="25"/>
        <v>24.530140845070427</v>
      </c>
      <c r="AN57" s="4">
        <f t="shared" si="26"/>
        <v>24.5387323943662</v>
      </c>
      <c r="AO57" s="4">
        <f t="shared" si="27"/>
        <v>24.491830985915495</v>
      </c>
      <c r="AQ57"/>
      <c r="AR57" s="4">
        <f t="shared" si="28"/>
        <v>1.1830985915491254E-2</v>
      </c>
      <c r="AS57" s="4">
        <f t="shared" si="29"/>
        <v>-4.9436619718310482E-2</v>
      </c>
      <c r="AT57" s="4">
        <f t="shared" si="30"/>
        <v>3.1408450704223156E-2</v>
      </c>
      <c r="AU57" s="4">
        <f t="shared" si="31"/>
        <v>5.6338028168987364E-3</v>
      </c>
      <c r="AV57" s="4">
        <f t="shared" si="32"/>
        <v>2.3802816901405066E-2</v>
      </c>
      <c r="AW57" s="4">
        <f t="shared" si="33"/>
        <v>5.8169014084505477E-2</v>
      </c>
      <c r="AX57" s="4">
        <f t="shared" si="34"/>
        <v>4.788732394363393E-3</v>
      </c>
      <c r="AY57" s="4">
        <f t="shared" si="35"/>
        <v>1.014084507042412E-2</v>
      </c>
      <c r="AZ57" s="4">
        <f t="shared" si="36"/>
        <v>1.8732394366196559E-2</v>
      </c>
      <c r="BA57" s="4">
        <f t="shared" si="37"/>
        <v>-2.8169014084507893E-2</v>
      </c>
    </row>
    <row r="58" spans="1:53" x14ac:dyDescent="0.25">
      <c r="A58" s="11">
        <v>55</v>
      </c>
      <c r="B58" s="12">
        <v>43551</v>
      </c>
      <c r="C58" s="13">
        <v>0.69664351851851858</v>
      </c>
      <c r="D58" s="11">
        <v>24.38</v>
      </c>
      <c r="E58" s="11">
        <v>24.25</v>
      </c>
      <c r="F58" s="11">
        <v>24.25</v>
      </c>
      <c r="G58" s="11">
        <v>24.25</v>
      </c>
      <c r="H58" s="11">
        <v>24.31</v>
      </c>
      <c r="I58" s="11">
        <v>24.44</v>
      </c>
      <c r="J58" s="11">
        <v>24.5</v>
      </c>
      <c r="K58" s="11">
        <v>24.44</v>
      </c>
      <c r="L58" s="11">
        <v>24.19</v>
      </c>
      <c r="M58" s="11">
        <v>27.2</v>
      </c>
      <c r="N58" s="11">
        <v>16</v>
      </c>
      <c r="P58" s="4">
        <v>24.39</v>
      </c>
      <c r="Q58" s="4">
        <f>P58-'Sonde étalon'!$C$14</f>
        <v>24.560000000000002</v>
      </c>
      <c r="T58" s="4">
        <f t="shared" si="7"/>
        <v>-0.18000000000000327</v>
      </c>
      <c r="U58" s="4">
        <f t="shared" si="8"/>
        <v>-0.31000000000000227</v>
      </c>
      <c r="V58" s="4">
        <f t="shared" si="9"/>
        <v>-0.31000000000000227</v>
      </c>
      <c r="W58" s="4">
        <f t="shared" si="10"/>
        <v>-0.31000000000000227</v>
      </c>
      <c r="X58" s="4">
        <f t="shared" si="11"/>
        <v>-0.25000000000000355</v>
      </c>
      <c r="Y58" s="4">
        <f t="shared" si="12"/>
        <v>-0.12000000000000099</v>
      </c>
      <c r="Z58" s="4">
        <f t="shared" si="13"/>
        <v>-6.0000000000002274E-2</v>
      </c>
      <c r="AA58" s="4">
        <f t="shared" si="14"/>
        <v>-0.12000000000000099</v>
      </c>
      <c r="AB58" s="4">
        <f t="shared" si="15"/>
        <v>-0.37000000000000099</v>
      </c>
      <c r="AC58" s="4">
        <f t="shared" si="17"/>
        <v>2.639999999999997</v>
      </c>
      <c r="AF58" s="4">
        <f t="shared" si="18"/>
        <v>24.531830985915494</v>
      </c>
      <c r="AG58" s="4">
        <f t="shared" si="19"/>
        <v>24.470563380281693</v>
      </c>
      <c r="AH58" s="4">
        <f t="shared" si="20"/>
        <v>24.491408450704228</v>
      </c>
      <c r="AI58" s="4">
        <f t="shared" si="21"/>
        <v>24.465633802816903</v>
      </c>
      <c r="AJ58" s="4">
        <f t="shared" si="22"/>
        <v>24.543802816901408</v>
      </c>
      <c r="AK58" s="4">
        <f t="shared" si="23"/>
        <v>24.578169014084509</v>
      </c>
      <c r="AL58" s="4">
        <f t="shared" si="24"/>
        <v>24.524788732394367</v>
      </c>
      <c r="AM58" s="4">
        <f t="shared" si="25"/>
        <v>24.530140845070427</v>
      </c>
      <c r="AN58" s="4">
        <f t="shared" si="26"/>
        <v>24.5387323943662</v>
      </c>
      <c r="AO58" s="4">
        <f t="shared" si="27"/>
        <v>24.591830985915493</v>
      </c>
      <c r="AQ58"/>
      <c r="AR58" s="4">
        <f t="shared" si="28"/>
        <v>-2.8169014084507893E-2</v>
      </c>
      <c r="AS58" s="4">
        <f t="shared" si="29"/>
        <v>-8.9436619718309629E-2</v>
      </c>
      <c r="AT58" s="4">
        <f t="shared" si="30"/>
        <v>-6.8591549295774712E-2</v>
      </c>
      <c r="AU58" s="4">
        <f t="shared" si="31"/>
        <v>-9.4366197183099132E-2</v>
      </c>
      <c r="AV58" s="4">
        <f t="shared" si="32"/>
        <v>-1.6197183098594081E-2</v>
      </c>
      <c r="AW58" s="4">
        <f t="shared" si="33"/>
        <v>1.816901408450633E-2</v>
      </c>
      <c r="AX58" s="4">
        <f t="shared" si="34"/>
        <v>-3.5211267605635754E-2</v>
      </c>
      <c r="AY58" s="4">
        <f t="shared" si="35"/>
        <v>-2.9859154929575027E-2</v>
      </c>
      <c r="AZ58" s="4">
        <f t="shared" si="36"/>
        <v>-2.1267605633802589E-2</v>
      </c>
      <c r="BA58" s="4">
        <f t="shared" si="37"/>
        <v>3.1830985915490828E-2</v>
      </c>
    </row>
    <row r="59" spans="1:53" x14ac:dyDescent="0.25">
      <c r="A59" s="11">
        <v>56</v>
      </c>
      <c r="B59" s="12">
        <v>43551</v>
      </c>
      <c r="C59" s="13">
        <v>0.69733796296296291</v>
      </c>
      <c r="D59" s="11">
        <v>24.38</v>
      </c>
      <c r="E59" s="11">
        <v>24.25</v>
      </c>
      <c r="F59" s="11">
        <v>24.25</v>
      </c>
      <c r="G59" s="11">
        <v>24.25</v>
      </c>
      <c r="H59" s="11">
        <v>24.25</v>
      </c>
      <c r="I59" s="11">
        <v>24.38</v>
      </c>
      <c r="J59" s="11">
        <v>24.5</v>
      </c>
      <c r="K59" s="11">
        <v>24.44</v>
      </c>
      <c r="L59" s="11">
        <v>24.19</v>
      </c>
      <c r="M59" s="11">
        <v>27.1</v>
      </c>
      <c r="N59" s="11">
        <v>16</v>
      </c>
      <c r="P59" s="4">
        <v>24.37</v>
      </c>
      <c r="Q59" s="4">
        <f>P59-'Sonde étalon'!$C$14</f>
        <v>24.540000000000003</v>
      </c>
      <c r="T59" s="4">
        <f t="shared" si="7"/>
        <v>-0.16000000000000369</v>
      </c>
      <c r="U59" s="4">
        <f t="shared" si="8"/>
        <v>-0.2900000000000027</v>
      </c>
      <c r="V59" s="4">
        <f t="shared" si="9"/>
        <v>-0.2900000000000027</v>
      </c>
      <c r="W59" s="4">
        <f t="shared" si="10"/>
        <v>-0.2900000000000027</v>
      </c>
      <c r="X59" s="4">
        <f t="shared" si="11"/>
        <v>-0.2900000000000027</v>
      </c>
      <c r="Y59" s="4">
        <f t="shared" si="12"/>
        <v>-0.16000000000000369</v>
      </c>
      <c r="Z59" s="4">
        <f t="shared" si="13"/>
        <v>-4.00000000000027E-2</v>
      </c>
      <c r="AA59" s="4">
        <f t="shared" si="14"/>
        <v>-0.10000000000000142</v>
      </c>
      <c r="AB59" s="4">
        <f t="shared" si="15"/>
        <v>-0.35000000000000142</v>
      </c>
      <c r="AC59" s="4">
        <f t="shared" si="17"/>
        <v>2.5599999999999987</v>
      </c>
      <c r="AF59" s="4">
        <f t="shared" si="18"/>
        <v>24.531830985915494</v>
      </c>
      <c r="AG59" s="4">
        <f t="shared" si="19"/>
        <v>24.470563380281693</v>
      </c>
      <c r="AH59" s="4">
        <f t="shared" si="20"/>
        <v>24.491408450704228</v>
      </c>
      <c r="AI59" s="4">
        <f t="shared" si="21"/>
        <v>24.465633802816903</v>
      </c>
      <c r="AJ59" s="4">
        <f t="shared" si="22"/>
        <v>24.483802816901409</v>
      </c>
      <c r="AK59" s="4">
        <f t="shared" si="23"/>
        <v>24.518169014084506</v>
      </c>
      <c r="AL59" s="4">
        <f t="shared" si="24"/>
        <v>24.524788732394367</v>
      </c>
      <c r="AM59" s="4">
        <f t="shared" si="25"/>
        <v>24.530140845070427</v>
      </c>
      <c r="AN59" s="4">
        <f t="shared" si="26"/>
        <v>24.5387323943662</v>
      </c>
      <c r="AO59" s="4">
        <f t="shared" si="27"/>
        <v>24.491830985915495</v>
      </c>
      <c r="AQ59"/>
      <c r="AR59" s="4">
        <f t="shared" si="28"/>
        <v>-8.1690140845083192E-3</v>
      </c>
      <c r="AS59" s="4">
        <f t="shared" si="29"/>
        <v>-6.9436619718310055E-2</v>
      </c>
      <c r="AT59" s="4">
        <f t="shared" si="30"/>
        <v>-4.8591549295775138E-2</v>
      </c>
      <c r="AU59" s="4">
        <f t="shared" si="31"/>
        <v>-7.4366197183099558E-2</v>
      </c>
      <c r="AV59" s="4">
        <f t="shared" si="32"/>
        <v>-5.6197183098593229E-2</v>
      </c>
      <c r="AW59" s="4">
        <f t="shared" si="33"/>
        <v>-2.183098591549637E-2</v>
      </c>
      <c r="AX59" s="4">
        <f t="shared" si="34"/>
        <v>-1.5211267605636181E-2</v>
      </c>
      <c r="AY59" s="4">
        <f t="shared" si="35"/>
        <v>-9.8591549295754533E-3</v>
      </c>
      <c r="AZ59" s="4">
        <f t="shared" si="36"/>
        <v>-1.2676056338030151E-3</v>
      </c>
      <c r="BA59" s="4">
        <f t="shared" si="37"/>
        <v>-4.8169014084507467E-2</v>
      </c>
    </row>
    <row r="60" spans="1:53" x14ac:dyDescent="0.25">
      <c r="A60" s="11">
        <v>57</v>
      </c>
      <c r="B60" s="12">
        <v>43551</v>
      </c>
      <c r="C60" s="13">
        <v>0.69803240740740735</v>
      </c>
      <c r="D60" s="11">
        <v>24.38</v>
      </c>
      <c r="E60" s="11">
        <v>24.19</v>
      </c>
      <c r="F60" s="11">
        <v>24.25</v>
      </c>
      <c r="G60" s="11">
        <v>24.25</v>
      </c>
      <c r="H60" s="11">
        <v>24.25</v>
      </c>
      <c r="I60" s="11">
        <v>24.38</v>
      </c>
      <c r="J60" s="11">
        <v>24.5</v>
      </c>
      <c r="K60" s="11">
        <v>24.44</v>
      </c>
      <c r="L60" s="11">
        <v>24.13</v>
      </c>
      <c r="M60" s="11">
        <v>27.1</v>
      </c>
      <c r="N60" s="11">
        <v>16</v>
      </c>
      <c r="P60" s="4">
        <v>24.36</v>
      </c>
      <c r="Q60" s="4">
        <f>P60-'Sonde étalon'!$C$14</f>
        <v>24.53</v>
      </c>
      <c r="T60" s="4">
        <f t="shared" si="7"/>
        <v>-0.15000000000000213</v>
      </c>
      <c r="U60" s="4">
        <f t="shared" si="8"/>
        <v>-0.33999999999999986</v>
      </c>
      <c r="V60" s="4">
        <f t="shared" si="9"/>
        <v>-0.28000000000000114</v>
      </c>
      <c r="W60" s="4">
        <f t="shared" si="10"/>
        <v>-0.28000000000000114</v>
      </c>
      <c r="X60" s="4">
        <f t="shared" si="11"/>
        <v>-0.28000000000000114</v>
      </c>
      <c r="Y60" s="4">
        <f t="shared" si="12"/>
        <v>-0.15000000000000213</v>
      </c>
      <c r="Z60" s="4">
        <f t="shared" si="13"/>
        <v>-3.0000000000001137E-2</v>
      </c>
      <c r="AA60" s="4">
        <f t="shared" si="14"/>
        <v>-8.9999999999999858E-2</v>
      </c>
      <c r="AB60" s="4">
        <f t="shared" si="15"/>
        <v>-0.40000000000000213</v>
      </c>
      <c r="AC60" s="4">
        <f t="shared" si="17"/>
        <v>2.5700000000000003</v>
      </c>
      <c r="AF60" s="4">
        <f t="shared" si="18"/>
        <v>24.531830985915494</v>
      </c>
      <c r="AG60" s="4">
        <f t="shared" si="19"/>
        <v>24.410563380281694</v>
      </c>
      <c r="AH60" s="4">
        <f t="shared" si="20"/>
        <v>24.491408450704228</v>
      </c>
      <c r="AI60" s="4">
        <f t="shared" si="21"/>
        <v>24.465633802816903</v>
      </c>
      <c r="AJ60" s="4">
        <f t="shared" si="22"/>
        <v>24.483802816901409</v>
      </c>
      <c r="AK60" s="4">
        <f t="shared" si="23"/>
        <v>24.518169014084506</v>
      </c>
      <c r="AL60" s="4">
        <f t="shared" si="24"/>
        <v>24.524788732394367</v>
      </c>
      <c r="AM60" s="4">
        <f t="shared" si="25"/>
        <v>24.530140845070427</v>
      </c>
      <c r="AN60" s="4">
        <f t="shared" si="26"/>
        <v>24.478732394366197</v>
      </c>
      <c r="AO60" s="4">
        <f t="shared" si="27"/>
        <v>24.491830985915495</v>
      </c>
      <c r="AQ60"/>
      <c r="AR60" s="4">
        <f t="shared" si="28"/>
        <v>1.830985915493244E-3</v>
      </c>
      <c r="AS60" s="4">
        <f t="shared" si="29"/>
        <v>-0.11943661971830721</v>
      </c>
      <c r="AT60" s="4">
        <f t="shared" si="30"/>
        <v>-3.8591549295773575E-2</v>
      </c>
      <c r="AU60" s="4">
        <f t="shared" si="31"/>
        <v>-6.4366197183097995E-2</v>
      </c>
      <c r="AV60" s="4">
        <f t="shared" si="32"/>
        <v>-4.6197183098591665E-2</v>
      </c>
      <c r="AW60" s="4">
        <f t="shared" si="33"/>
        <v>-1.1830985915494807E-2</v>
      </c>
      <c r="AX60" s="4">
        <f t="shared" si="34"/>
        <v>-5.2112676056346174E-3</v>
      </c>
      <c r="AY60" s="4">
        <f t="shared" si="35"/>
        <v>1.4084507042610994E-4</v>
      </c>
      <c r="AZ60" s="4">
        <f t="shared" si="36"/>
        <v>-5.1267605633803726E-2</v>
      </c>
      <c r="BA60" s="4">
        <f t="shared" si="37"/>
        <v>-3.8169014084505903E-2</v>
      </c>
    </row>
    <row r="61" spans="1:53" x14ac:dyDescent="0.25">
      <c r="A61" s="11">
        <v>58</v>
      </c>
      <c r="B61" s="12">
        <v>43551</v>
      </c>
      <c r="C61" s="13">
        <v>0.6987268518518519</v>
      </c>
      <c r="D61" s="11">
        <v>24.31</v>
      </c>
      <c r="E61" s="11">
        <v>24.19</v>
      </c>
      <c r="F61" s="11">
        <v>24.25</v>
      </c>
      <c r="G61" s="11">
        <v>24.25</v>
      </c>
      <c r="H61" s="11">
        <v>24.25</v>
      </c>
      <c r="I61" s="11">
        <v>24.38</v>
      </c>
      <c r="J61" s="11">
        <v>24.44</v>
      </c>
      <c r="K61" s="11">
        <v>24.38</v>
      </c>
      <c r="L61" s="11">
        <v>24.13</v>
      </c>
      <c r="M61" s="11">
        <v>27.1</v>
      </c>
      <c r="N61" s="11">
        <v>16</v>
      </c>
      <c r="P61" s="4">
        <v>24.33</v>
      </c>
      <c r="Q61" s="4">
        <f>P61-'Sonde étalon'!$C$14</f>
        <v>24.5</v>
      </c>
      <c r="T61" s="4">
        <f t="shared" si="7"/>
        <v>-0.19000000000000128</v>
      </c>
      <c r="U61" s="4">
        <f t="shared" si="8"/>
        <v>-0.30999999999999872</v>
      </c>
      <c r="V61" s="4">
        <f t="shared" si="9"/>
        <v>-0.25</v>
      </c>
      <c r="W61" s="4">
        <f t="shared" si="10"/>
        <v>-0.25</v>
      </c>
      <c r="X61" s="4">
        <f t="shared" si="11"/>
        <v>-0.25</v>
      </c>
      <c r="Y61" s="4">
        <f t="shared" si="12"/>
        <v>-0.12000000000000099</v>
      </c>
      <c r="Z61" s="4">
        <f t="shared" si="13"/>
        <v>-5.9999999999998721E-2</v>
      </c>
      <c r="AA61" s="4">
        <f t="shared" si="14"/>
        <v>-0.12000000000000099</v>
      </c>
      <c r="AB61" s="4">
        <f t="shared" si="15"/>
        <v>-0.37000000000000099</v>
      </c>
      <c r="AC61" s="4">
        <f t="shared" si="17"/>
        <v>2.6000000000000014</v>
      </c>
      <c r="AF61" s="4">
        <f t="shared" si="18"/>
        <v>24.461830985915494</v>
      </c>
      <c r="AG61" s="4">
        <f t="shared" si="19"/>
        <v>24.410563380281694</v>
      </c>
      <c r="AH61" s="4">
        <f t="shared" si="20"/>
        <v>24.491408450704228</v>
      </c>
      <c r="AI61" s="4">
        <f t="shared" si="21"/>
        <v>24.465633802816903</v>
      </c>
      <c r="AJ61" s="4">
        <f t="shared" si="22"/>
        <v>24.483802816901409</v>
      </c>
      <c r="AK61" s="4">
        <f t="shared" si="23"/>
        <v>24.518169014084506</v>
      </c>
      <c r="AL61" s="4">
        <f t="shared" si="24"/>
        <v>24.464788732394368</v>
      </c>
      <c r="AM61" s="4">
        <f t="shared" si="25"/>
        <v>24.470140845070425</v>
      </c>
      <c r="AN61" s="4">
        <f t="shared" si="26"/>
        <v>24.478732394366197</v>
      </c>
      <c r="AO61" s="4">
        <f t="shared" si="27"/>
        <v>24.491830985915495</v>
      </c>
      <c r="AQ61"/>
      <c r="AR61" s="4">
        <f t="shared" si="28"/>
        <v>-3.8169014084505903E-2</v>
      </c>
      <c r="AS61" s="4">
        <f t="shared" si="29"/>
        <v>-8.9436619718306076E-2</v>
      </c>
      <c r="AT61" s="4">
        <f t="shared" si="30"/>
        <v>-8.5915492957724382E-3</v>
      </c>
      <c r="AU61" s="4">
        <f t="shared" si="31"/>
        <v>-3.4366197183096858E-2</v>
      </c>
      <c r="AV61" s="4">
        <f t="shared" si="32"/>
        <v>-1.6197183098590529E-2</v>
      </c>
      <c r="AW61" s="4">
        <f t="shared" si="33"/>
        <v>1.816901408450633E-2</v>
      </c>
      <c r="AX61" s="4">
        <f t="shared" si="34"/>
        <v>-3.5211267605632202E-2</v>
      </c>
      <c r="AY61" s="4">
        <f t="shared" si="35"/>
        <v>-2.9859154929575027E-2</v>
      </c>
      <c r="AZ61" s="4">
        <f t="shared" si="36"/>
        <v>-2.1267605633802589E-2</v>
      </c>
      <c r="BA61" s="4">
        <f t="shared" si="37"/>
        <v>-8.1690140845047665E-3</v>
      </c>
    </row>
    <row r="62" spans="1:53" x14ac:dyDescent="0.25">
      <c r="A62" s="11">
        <v>59</v>
      </c>
      <c r="B62" s="12">
        <v>43551</v>
      </c>
      <c r="C62" s="13">
        <v>0.69942129629629635</v>
      </c>
      <c r="D62" s="11">
        <v>24.31</v>
      </c>
      <c r="E62" s="11">
        <v>24.19</v>
      </c>
      <c r="F62" s="11">
        <v>24.25</v>
      </c>
      <c r="G62" s="11">
        <v>24.25</v>
      </c>
      <c r="H62" s="11">
        <v>24.25</v>
      </c>
      <c r="I62" s="11">
        <v>24.38</v>
      </c>
      <c r="J62" s="11">
        <v>24.44</v>
      </c>
      <c r="K62" s="11">
        <v>24.38</v>
      </c>
      <c r="L62" s="11">
        <v>24.13</v>
      </c>
      <c r="M62" s="11">
        <v>27.1</v>
      </c>
      <c r="N62" s="11">
        <v>16</v>
      </c>
      <c r="P62" s="4">
        <v>24.33</v>
      </c>
      <c r="Q62" s="4">
        <f>P62-'Sonde étalon'!$C$14</f>
        <v>24.5</v>
      </c>
      <c r="T62" s="4">
        <f t="shared" si="7"/>
        <v>-0.19000000000000128</v>
      </c>
      <c r="U62" s="4">
        <f t="shared" si="8"/>
        <v>-0.30999999999999872</v>
      </c>
      <c r="V62" s="4">
        <f t="shared" si="9"/>
        <v>-0.25</v>
      </c>
      <c r="W62" s="4">
        <f t="shared" si="10"/>
        <v>-0.25</v>
      </c>
      <c r="X62" s="4">
        <f t="shared" si="11"/>
        <v>-0.25</v>
      </c>
      <c r="Y62" s="4">
        <f t="shared" si="12"/>
        <v>-0.12000000000000099</v>
      </c>
      <c r="Z62" s="4">
        <f t="shared" si="13"/>
        <v>-5.9999999999998721E-2</v>
      </c>
      <c r="AA62" s="4">
        <f t="shared" si="14"/>
        <v>-0.12000000000000099</v>
      </c>
      <c r="AB62" s="4">
        <f t="shared" si="15"/>
        <v>-0.37000000000000099</v>
      </c>
      <c r="AC62" s="4">
        <f t="shared" si="17"/>
        <v>2.6000000000000014</v>
      </c>
      <c r="AF62" s="4">
        <f t="shared" si="18"/>
        <v>24.461830985915494</v>
      </c>
      <c r="AG62" s="4">
        <f t="shared" si="19"/>
        <v>24.410563380281694</v>
      </c>
      <c r="AH62" s="4">
        <f t="shared" si="20"/>
        <v>24.491408450704228</v>
      </c>
      <c r="AI62" s="4">
        <f t="shared" si="21"/>
        <v>24.465633802816903</v>
      </c>
      <c r="AJ62" s="4">
        <f t="shared" si="22"/>
        <v>24.483802816901409</v>
      </c>
      <c r="AK62" s="4">
        <f t="shared" si="23"/>
        <v>24.518169014084506</v>
      </c>
      <c r="AL62" s="4">
        <f t="shared" si="24"/>
        <v>24.464788732394368</v>
      </c>
      <c r="AM62" s="4">
        <f t="shared" si="25"/>
        <v>24.470140845070425</v>
      </c>
      <c r="AN62" s="4">
        <f t="shared" si="26"/>
        <v>24.478732394366197</v>
      </c>
      <c r="AO62" s="4">
        <f t="shared" si="27"/>
        <v>24.491830985915495</v>
      </c>
      <c r="AQ62"/>
      <c r="AR62" s="4">
        <f t="shared" si="28"/>
        <v>-3.8169014084505903E-2</v>
      </c>
      <c r="AS62" s="4">
        <f t="shared" si="29"/>
        <v>-8.9436619718306076E-2</v>
      </c>
      <c r="AT62" s="4">
        <f t="shared" si="30"/>
        <v>-8.5915492957724382E-3</v>
      </c>
      <c r="AU62" s="4">
        <f t="shared" si="31"/>
        <v>-3.4366197183096858E-2</v>
      </c>
      <c r="AV62" s="4">
        <f t="shared" si="32"/>
        <v>-1.6197183098590529E-2</v>
      </c>
      <c r="AW62" s="4">
        <f t="shared" si="33"/>
        <v>1.816901408450633E-2</v>
      </c>
      <c r="AX62" s="4">
        <f t="shared" si="34"/>
        <v>-3.5211267605632202E-2</v>
      </c>
      <c r="AY62" s="4">
        <f t="shared" si="35"/>
        <v>-2.9859154929575027E-2</v>
      </c>
      <c r="AZ62" s="4">
        <f t="shared" si="36"/>
        <v>-2.1267605633802589E-2</v>
      </c>
      <c r="BA62" s="4">
        <f t="shared" si="37"/>
        <v>-8.1690140845047665E-3</v>
      </c>
    </row>
    <row r="63" spans="1:53" x14ac:dyDescent="0.25">
      <c r="A63" s="11">
        <v>60</v>
      </c>
      <c r="B63" s="12">
        <v>43551</v>
      </c>
      <c r="C63" s="13">
        <v>0.70011574074074068</v>
      </c>
      <c r="D63" s="11">
        <v>24.31</v>
      </c>
      <c r="E63" s="11">
        <v>24.25</v>
      </c>
      <c r="F63" s="11">
        <v>24.25</v>
      </c>
      <c r="G63" s="11">
        <v>24.25</v>
      </c>
      <c r="H63" s="11">
        <v>24.25</v>
      </c>
      <c r="I63" s="11">
        <v>24.38</v>
      </c>
      <c r="J63" s="11">
        <v>24.44</v>
      </c>
      <c r="K63" s="11">
        <v>24.38</v>
      </c>
      <c r="L63" s="11">
        <v>24.13</v>
      </c>
      <c r="M63" s="11">
        <v>27.1</v>
      </c>
      <c r="N63" s="11">
        <v>16</v>
      </c>
      <c r="P63" s="4">
        <v>24.32</v>
      </c>
      <c r="Q63" s="4">
        <f>P63-'Sonde étalon'!$C$14</f>
        <v>24.490000000000002</v>
      </c>
      <c r="T63" s="4">
        <f t="shared" si="7"/>
        <v>-0.18000000000000327</v>
      </c>
      <c r="U63" s="4">
        <f t="shared" si="8"/>
        <v>-0.24000000000000199</v>
      </c>
      <c r="V63" s="4">
        <f t="shared" si="9"/>
        <v>-0.24000000000000199</v>
      </c>
      <c r="W63" s="4">
        <f t="shared" si="10"/>
        <v>-0.24000000000000199</v>
      </c>
      <c r="X63" s="4">
        <f t="shared" si="11"/>
        <v>-0.24000000000000199</v>
      </c>
      <c r="Y63" s="4">
        <f t="shared" si="12"/>
        <v>-0.11000000000000298</v>
      </c>
      <c r="Z63" s="4">
        <f t="shared" si="13"/>
        <v>-5.0000000000000711E-2</v>
      </c>
      <c r="AA63" s="4">
        <f t="shared" si="14"/>
        <v>-0.11000000000000298</v>
      </c>
      <c r="AB63" s="4">
        <f t="shared" si="15"/>
        <v>-0.36000000000000298</v>
      </c>
      <c r="AC63" s="4">
        <f t="shared" si="17"/>
        <v>2.6099999999999994</v>
      </c>
      <c r="AF63" s="4">
        <f t="shared" si="18"/>
        <v>24.461830985915494</v>
      </c>
      <c r="AG63" s="4">
        <f t="shared" si="19"/>
        <v>24.470563380281693</v>
      </c>
      <c r="AH63" s="4">
        <f t="shared" si="20"/>
        <v>24.491408450704228</v>
      </c>
      <c r="AI63" s="4">
        <f t="shared" si="21"/>
        <v>24.465633802816903</v>
      </c>
      <c r="AJ63" s="4">
        <f t="shared" si="22"/>
        <v>24.483802816901409</v>
      </c>
      <c r="AK63" s="4">
        <f t="shared" si="23"/>
        <v>24.518169014084506</v>
      </c>
      <c r="AL63" s="4">
        <f t="shared" si="24"/>
        <v>24.464788732394368</v>
      </c>
      <c r="AM63" s="4">
        <f t="shared" si="25"/>
        <v>24.470140845070425</v>
      </c>
      <c r="AN63" s="4">
        <f t="shared" si="26"/>
        <v>24.478732394366197</v>
      </c>
      <c r="AO63" s="4">
        <f t="shared" si="27"/>
        <v>24.491830985915495</v>
      </c>
      <c r="AQ63"/>
      <c r="AR63" s="4">
        <f t="shared" si="28"/>
        <v>-2.8169014084507893E-2</v>
      </c>
      <c r="AS63" s="4">
        <f t="shared" si="29"/>
        <v>-1.9436619718309345E-2</v>
      </c>
      <c r="AT63" s="4">
        <f t="shared" si="30"/>
        <v>1.4084507042255723E-3</v>
      </c>
      <c r="AU63" s="4">
        <f t="shared" si="31"/>
        <v>-2.4366197183098848E-2</v>
      </c>
      <c r="AV63" s="4">
        <f t="shared" si="32"/>
        <v>-6.197183098592518E-3</v>
      </c>
      <c r="AW63" s="4">
        <f t="shared" si="33"/>
        <v>2.816901408450434E-2</v>
      </c>
      <c r="AX63" s="4">
        <f t="shared" si="34"/>
        <v>-2.5211267605634191E-2</v>
      </c>
      <c r="AY63" s="4">
        <f t="shared" si="35"/>
        <v>-1.9859154929577016E-2</v>
      </c>
      <c r="AZ63" s="4">
        <f t="shared" si="36"/>
        <v>-1.1267605633804578E-2</v>
      </c>
      <c r="BA63" s="4">
        <f t="shared" si="37"/>
        <v>1.830985915493244E-3</v>
      </c>
    </row>
    <row r="64" spans="1:53" x14ac:dyDescent="0.25">
      <c r="A64" s="11">
        <v>61</v>
      </c>
      <c r="B64" s="12">
        <v>43551</v>
      </c>
      <c r="C64" s="13">
        <v>0.70081018518518512</v>
      </c>
      <c r="D64" s="11">
        <v>24.38</v>
      </c>
      <c r="E64" s="11">
        <v>24.25</v>
      </c>
      <c r="F64" s="11">
        <v>24.25</v>
      </c>
      <c r="G64" s="11">
        <v>24.25</v>
      </c>
      <c r="H64" s="11">
        <v>24.25</v>
      </c>
      <c r="I64" s="11">
        <v>24.38</v>
      </c>
      <c r="J64" s="11">
        <v>24.5</v>
      </c>
      <c r="K64" s="11">
        <v>24.44</v>
      </c>
      <c r="L64" s="11">
        <v>24.13</v>
      </c>
      <c r="M64" s="11">
        <v>27.1</v>
      </c>
      <c r="N64" s="11">
        <v>16</v>
      </c>
      <c r="P64" s="4">
        <v>24.34</v>
      </c>
      <c r="Q64" s="4">
        <f>P64-'Sonde étalon'!$C$14</f>
        <v>24.51</v>
      </c>
      <c r="T64" s="4">
        <f t="shared" si="7"/>
        <v>-0.13000000000000256</v>
      </c>
      <c r="U64" s="4">
        <f t="shared" si="8"/>
        <v>-0.26000000000000156</v>
      </c>
      <c r="V64" s="4">
        <f t="shared" si="9"/>
        <v>-0.26000000000000156</v>
      </c>
      <c r="W64" s="4">
        <f t="shared" si="10"/>
        <v>-0.26000000000000156</v>
      </c>
      <c r="X64" s="4">
        <f t="shared" si="11"/>
        <v>-0.26000000000000156</v>
      </c>
      <c r="Y64" s="4">
        <f t="shared" si="12"/>
        <v>-0.13000000000000256</v>
      </c>
      <c r="Z64" s="4">
        <f t="shared" si="13"/>
        <v>-1.0000000000001563E-2</v>
      </c>
      <c r="AA64" s="4">
        <f t="shared" si="14"/>
        <v>-7.0000000000000284E-2</v>
      </c>
      <c r="AB64" s="4">
        <f t="shared" si="15"/>
        <v>-0.38000000000000256</v>
      </c>
      <c r="AC64" s="4">
        <f t="shared" si="17"/>
        <v>2.59</v>
      </c>
      <c r="AF64" s="4">
        <f t="shared" si="18"/>
        <v>24.531830985915494</v>
      </c>
      <c r="AG64" s="4">
        <f t="shared" si="19"/>
        <v>24.470563380281693</v>
      </c>
      <c r="AH64" s="4">
        <f t="shared" si="20"/>
        <v>24.491408450704228</v>
      </c>
      <c r="AI64" s="4">
        <f t="shared" si="21"/>
        <v>24.465633802816903</v>
      </c>
      <c r="AJ64" s="4">
        <f t="shared" si="22"/>
        <v>24.483802816901409</v>
      </c>
      <c r="AK64" s="4">
        <f t="shared" si="23"/>
        <v>24.518169014084506</v>
      </c>
      <c r="AL64" s="4">
        <f t="shared" si="24"/>
        <v>24.524788732394367</v>
      </c>
      <c r="AM64" s="4">
        <f t="shared" si="25"/>
        <v>24.530140845070427</v>
      </c>
      <c r="AN64" s="4">
        <f t="shared" si="26"/>
        <v>24.478732394366197</v>
      </c>
      <c r="AO64" s="4">
        <f t="shared" si="27"/>
        <v>24.491830985915495</v>
      </c>
      <c r="AQ64"/>
      <c r="AR64" s="4">
        <f t="shared" si="28"/>
        <v>2.1830985915492818E-2</v>
      </c>
      <c r="AS64" s="4">
        <f t="shared" si="29"/>
        <v>-3.9436619718308918E-2</v>
      </c>
      <c r="AT64" s="4">
        <f t="shared" si="30"/>
        <v>-1.8591549295774001E-2</v>
      </c>
      <c r="AU64" s="4">
        <f t="shared" si="31"/>
        <v>-4.4366197183098421E-2</v>
      </c>
      <c r="AV64" s="4">
        <f t="shared" si="32"/>
        <v>-2.6197183098592092E-2</v>
      </c>
      <c r="AW64" s="4">
        <f t="shared" si="33"/>
        <v>8.1690140845047665E-3</v>
      </c>
      <c r="AX64" s="4">
        <f t="shared" si="34"/>
        <v>1.4788732394364956E-2</v>
      </c>
      <c r="AY64" s="4">
        <f t="shared" si="35"/>
        <v>2.0140845070425684E-2</v>
      </c>
      <c r="AZ64" s="4">
        <f t="shared" si="36"/>
        <v>-3.1267605633804152E-2</v>
      </c>
      <c r="BA64" s="4">
        <f t="shared" si="37"/>
        <v>-1.816901408450633E-2</v>
      </c>
    </row>
    <row r="65" spans="1:53" x14ac:dyDescent="0.25">
      <c r="A65" s="11">
        <v>62</v>
      </c>
      <c r="B65" s="12">
        <v>43551</v>
      </c>
      <c r="C65" s="13">
        <v>0.70150462962962967</v>
      </c>
      <c r="D65" s="11">
        <v>24.31</v>
      </c>
      <c r="E65" s="11">
        <v>24.25</v>
      </c>
      <c r="F65" s="11">
        <v>24.25</v>
      </c>
      <c r="G65" s="11">
        <v>24.25</v>
      </c>
      <c r="H65" s="11">
        <v>24.25</v>
      </c>
      <c r="I65" s="11">
        <v>24.38</v>
      </c>
      <c r="J65" s="11">
        <v>24.44</v>
      </c>
      <c r="K65" s="11">
        <v>24.38</v>
      </c>
      <c r="L65" s="11">
        <v>24.13</v>
      </c>
      <c r="M65" s="11">
        <v>27.2</v>
      </c>
      <c r="N65" s="11">
        <v>16</v>
      </c>
      <c r="P65" s="4">
        <v>24.34</v>
      </c>
      <c r="Q65" s="4">
        <f>P65-'Sonde étalon'!$C$14</f>
        <v>24.51</v>
      </c>
      <c r="T65" s="4">
        <f t="shared" si="7"/>
        <v>-0.20000000000000284</v>
      </c>
      <c r="U65" s="4">
        <f t="shared" si="8"/>
        <v>-0.26000000000000156</v>
      </c>
      <c r="V65" s="4">
        <f t="shared" si="9"/>
        <v>-0.26000000000000156</v>
      </c>
      <c r="W65" s="4">
        <f t="shared" si="10"/>
        <v>-0.26000000000000156</v>
      </c>
      <c r="X65" s="4">
        <f t="shared" si="11"/>
        <v>-0.26000000000000156</v>
      </c>
      <c r="Y65" s="4">
        <f t="shared" si="12"/>
        <v>-0.13000000000000256</v>
      </c>
      <c r="Z65" s="4">
        <f t="shared" si="13"/>
        <v>-7.0000000000000284E-2</v>
      </c>
      <c r="AA65" s="4">
        <f t="shared" si="14"/>
        <v>-0.13000000000000256</v>
      </c>
      <c r="AB65" s="4">
        <f t="shared" si="15"/>
        <v>-0.38000000000000256</v>
      </c>
      <c r="AC65" s="4">
        <f t="shared" si="17"/>
        <v>2.6899999999999977</v>
      </c>
      <c r="AF65" s="4">
        <f t="shared" si="18"/>
        <v>24.461830985915494</v>
      </c>
      <c r="AG65" s="4">
        <f t="shared" si="19"/>
        <v>24.470563380281693</v>
      </c>
      <c r="AH65" s="4">
        <f t="shared" si="20"/>
        <v>24.491408450704228</v>
      </c>
      <c r="AI65" s="4">
        <f t="shared" si="21"/>
        <v>24.465633802816903</v>
      </c>
      <c r="AJ65" s="4">
        <f t="shared" si="22"/>
        <v>24.483802816901409</v>
      </c>
      <c r="AK65" s="4">
        <f t="shared" si="23"/>
        <v>24.518169014084506</v>
      </c>
      <c r="AL65" s="4">
        <f t="shared" si="24"/>
        <v>24.464788732394368</v>
      </c>
      <c r="AM65" s="4">
        <f t="shared" si="25"/>
        <v>24.470140845070425</v>
      </c>
      <c r="AN65" s="4">
        <f t="shared" si="26"/>
        <v>24.478732394366197</v>
      </c>
      <c r="AO65" s="4">
        <f t="shared" si="27"/>
        <v>24.591830985915493</v>
      </c>
      <c r="AQ65"/>
      <c r="AR65" s="4">
        <f t="shared" si="28"/>
        <v>-4.8169014084507467E-2</v>
      </c>
      <c r="AS65" s="4">
        <f t="shared" si="29"/>
        <v>-3.9436619718308918E-2</v>
      </c>
      <c r="AT65" s="4">
        <f t="shared" si="30"/>
        <v>-1.8591549295774001E-2</v>
      </c>
      <c r="AU65" s="4">
        <f t="shared" si="31"/>
        <v>-4.4366197183098421E-2</v>
      </c>
      <c r="AV65" s="4">
        <f t="shared" si="32"/>
        <v>-2.6197183098592092E-2</v>
      </c>
      <c r="AW65" s="4">
        <f t="shared" si="33"/>
        <v>8.1690140845047665E-3</v>
      </c>
      <c r="AX65" s="4">
        <f t="shared" si="34"/>
        <v>-4.5211267605633765E-2</v>
      </c>
      <c r="AY65" s="4">
        <f t="shared" si="35"/>
        <v>-3.985915492957659E-2</v>
      </c>
      <c r="AZ65" s="4">
        <f t="shared" si="36"/>
        <v>-3.1267605633804152E-2</v>
      </c>
      <c r="BA65" s="4">
        <f t="shared" si="37"/>
        <v>8.1830985915491539E-2</v>
      </c>
    </row>
    <row r="66" spans="1:53" x14ac:dyDescent="0.25">
      <c r="A66" s="11">
        <v>63</v>
      </c>
      <c r="B66" s="12">
        <v>43551</v>
      </c>
      <c r="C66" s="13">
        <v>0.70219907407407411</v>
      </c>
      <c r="D66" s="11">
        <v>24.31</v>
      </c>
      <c r="E66" s="11">
        <v>24.25</v>
      </c>
      <c r="F66" s="11">
        <v>24.25</v>
      </c>
      <c r="G66" s="11">
        <v>24.25</v>
      </c>
      <c r="H66" s="11">
        <v>24.25</v>
      </c>
      <c r="I66" s="11">
        <v>24.38</v>
      </c>
      <c r="J66" s="11">
        <v>24.44</v>
      </c>
      <c r="K66" s="11">
        <v>24.38</v>
      </c>
      <c r="L66" s="11">
        <v>24.13</v>
      </c>
      <c r="M66" s="11">
        <v>27.1</v>
      </c>
      <c r="N66" s="11">
        <v>16</v>
      </c>
      <c r="P66" s="4">
        <v>24.32</v>
      </c>
      <c r="Q66" s="4">
        <f>P66-'Sonde étalon'!$C$14</f>
        <v>24.490000000000002</v>
      </c>
      <c r="T66" s="4">
        <f t="shared" si="7"/>
        <v>-0.18000000000000327</v>
      </c>
      <c r="U66" s="4">
        <f t="shared" si="8"/>
        <v>-0.24000000000000199</v>
      </c>
      <c r="V66" s="4">
        <f t="shared" si="9"/>
        <v>-0.24000000000000199</v>
      </c>
      <c r="W66" s="4">
        <f t="shared" si="10"/>
        <v>-0.24000000000000199</v>
      </c>
      <c r="X66" s="4">
        <f t="shared" si="11"/>
        <v>-0.24000000000000199</v>
      </c>
      <c r="Y66" s="4">
        <f t="shared" si="12"/>
        <v>-0.11000000000000298</v>
      </c>
      <c r="Z66" s="4">
        <f t="shared" si="13"/>
        <v>-5.0000000000000711E-2</v>
      </c>
      <c r="AA66" s="4">
        <f t="shared" si="14"/>
        <v>-0.11000000000000298</v>
      </c>
      <c r="AB66" s="4">
        <f t="shared" si="15"/>
        <v>-0.36000000000000298</v>
      </c>
      <c r="AC66" s="4">
        <f t="shared" si="17"/>
        <v>2.6099999999999994</v>
      </c>
      <c r="AF66" s="4">
        <f t="shared" si="18"/>
        <v>24.461830985915494</v>
      </c>
      <c r="AG66" s="4">
        <f t="shared" si="19"/>
        <v>24.470563380281693</v>
      </c>
      <c r="AH66" s="4">
        <f t="shared" si="20"/>
        <v>24.491408450704228</v>
      </c>
      <c r="AI66" s="4">
        <f t="shared" si="21"/>
        <v>24.465633802816903</v>
      </c>
      <c r="AJ66" s="4">
        <f t="shared" si="22"/>
        <v>24.483802816901409</v>
      </c>
      <c r="AK66" s="4">
        <f t="shared" si="23"/>
        <v>24.518169014084506</v>
      </c>
      <c r="AL66" s="4">
        <f t="shared" si="24"/>
        <v>24.464788732394368</v>
      </c>
      <c r="AM66" s="4">
        <f t="shared" si="25"/>
        <v>24.470140845070425</v>
      </c>
      <c r="AN66" s="4">
        <f t="shared" si="26"/>
        <v>24.478732394366197</v>
      </c>
      <c r="AO66" s="4">
        <f t="shared" si="27"/>
        <v>24.491830985915495</v>
      </c>
      <c r="AQ66"/>
      <c r="AR66" s="4">
        <f t="shared" si="28"/>
        <v>-2.8169014084507893E-2</v>
      </c>
      <c r="AS66" s="4">
        <f t="shared" si="29"/>
        <v>-1.9436619718309345E-2</v>
      </c>
      <c r="AT66" s="4">
        <f t="shared" si="30"/>
        <v>1.4084507042255723E-3</v>
      </c>
      <c r="AU66" s="4">
        <f t="shared" si="31"/>
        <v>-2.4366197183098848E-2</v>
      </c>
      <c r="AV66" s="4">
        <f t="shared" si="32"/>
        <v>-6.197183098592518E-3</v>
      </c>
      <c r="AW66" s="4">
        <f t="shared" si="33"/>
        <v>2.816901408450434E-2</v>
      </c>
      <c r="AX66" s="4">
        <f t="shared" si="34"/>
        <v>-2.5211267605634191E-2</v>
      </c>
      <c r="AY66" s="4">
        <f t="shared" si="35"/>
        <v>-1.9859154929577016E-2</v>
      </c>
      <c r="AZ66" s="4">
        <f t="shared" si="36"/>
        <v>-1.1267605633804578E-2</v>
      </c>
      <c r="BA66" s="4">
        <f t="shared" si="37"/>
        <v>1.830985915493244E-3</v>
      </c>
    </row>
    <row r="67" spans="1:53" x14ac:dyDescent="0.25">
      <c r="A67" s="11">
        <v>64</v>
      </c>
      <c r="B67" s="12">
        <v>43551</v>
      </c>
      <c r="C67" s="13">
        <v>0.70289351851851845</v>
      </c>
      <c r="D67" s="11">
        <v>24.31</v>
      </c>
      <c r="E67" s="11">
        <v>24.19</v>
      </c>
      <c r="F67" s="11">
        <v>24.25</v>
      </c>
      <c r="G67" s="11">
        <v>24.25</v>
      </c>
      <c r="H67" s="11">
        <v>24.25</v>
      </c>
      <c r="I67" s="11">
        <v>24.38</v>
      </c>
      <c r="J67" s="11">
        <v>24.44</v>
      </c>
      <c r="K67" s="11">
        <v>24.38</v>
      </c>
      <c r="L67" s="11">
        <v>24.13</v>
      </c>
      <c r="M67" s="11">
        <v>27.1</v>
      </c>
      <c r="N67" s="11">
        <v>16</v>
      </c>
      <c r="P67" s="4">
        <v>24.33</v>
      </c>
      <c r="Q67" s="4">
        <f>P67-'Sonde étalon'!$C$14</f>
        <v>24.5</v>
      </c>
      <c r="T67" s="4">
        <f t="shared" si="7"/>
        <v>-0.19000000000000128</v>
      </c>
      <c r="U67" s="4">
        <f t="shared" si="8"/>
        <v>-0.30999999999999872</v>
      </c>
      <c r="V67" s="4">
        <f t="shared" si="9"/>
        <v>-0.25</v>
      </c>
      <c r="W67" s="4">
        <f t="shared" si="10"/>
        <v>-0.25</v>
      </c>
      <c r="X67" s="4">
        <f t="shared" si="11"/>
        <v>-0.25</v>
      </c>
      <c r="Y67" s="4">
        <f t="shared" si="12"/>
        <v>-0.12000000000000099</v>
      </c>
      <c r="Z67" s="4">
        <f t="shared" si="13"/>
        <v>-5.9999999999998721E-2</v>
      </c>
      <c r="AA67" s="4">
        <f t="shared" si="14"/>
        <v>-0.12000000000000099</v>
      </c>
      <c r="AB67" s="4">
        <f t="shared" si="15"/>
        <v>-0.37000000000000099</v>
      </c>
      <c r="AC67" s="4">
        <f t="shared" si="17"/>
        <v>2.6000000000000014</v>
      </c>
      <c r="AF67" s="4">
        <f t="shared" si="18"/>
        <v>24.461830985915494</v>
      </c>
      <c r="AG67" s="4">
        <f t="shared" si="19"/>
        <v>24.410563380281694</v>
      </c>
      <c r="AH67" s="4">
        <f t="shared" si="20"/>
        <v>24.491408450704228</v>
      </c>
      <c r="AI67" s="4">
        <f t="shared" si="21"/>
        <v>24.465633802816903</v>
      </c>
      <c r="AJ67" s="4">
        <f t="shared" si="22"/>
        <v>24.483802816901409</v>
      </c>
      <c r="AK67" s="4">
        <f t="shared" si="23"/>
        <v>24.518169014084506</v>
      </c>
      <c r="AL67" s="4">
        <f t="shared" si="24"/>
        <v>24.464788732394368</v>
      </c>
      <c r="AM67" s="4">
        <f t="shared" si="25"/>
        <v>24.470140845070425</v>
      </c>
      <c r="AN67" s="4">
        <f t="shared" si="26"/>
        <v>24.478732394366197</v>
      </c>
      <c r="AO67" s="4">
        <f t="shared" si="27"/>
        <v>24.491830985915495</v>
      </c>
      <c r="AQ67"/>
      <c r="AR67" s="4">
        <f t="shared" si="28"/>
        <v>-3.8169014084505903E-2</v>
      </c>
      <c r="AS67" s="4">
        <f t="shared" si="29"/>
        <v>-8.9436619718306076E-2</v>
      </c>
      <c r="AT67" s="4">
        <f t="shared" si="30"/>
        <v>-8.5915492957724382E-3</v>
      </c>
      <c r="AU67" s="4">
        <f t="shared" si="31"/>
        <v>-3.4366197183096858E-2</v>
      </c>
      <c r="AV67" s="4">
        <f t="shared" si="32"/>
        <v>-1.6197183098590529E-2</v>
      </c>
      <c r="AW67" s="4">
        <f t="shared" si="33"/>
        <v>1.816901408450633E-2</v>
      </c>
      <c r="AX67" s="4">
        <f t="shared" si="34"/>
        <v>-3.5211267605632202E-2</v>
      </c>
      <c r="AY67" s="4">
        <f t="shared" si="35"/>
        <v>-2.9859154929575027E-2</v>
      </c>
      <c r="AZ67" s="4">
        <f t="shared" si="36"/>
        <v>-2.1267605633802589E-2</v>
      </c>
      <c r="BA67" s="4">
        <f t="shared" si="37"/>
        <v>-8.1690140845047665E-3</v>
      </c>
    </row>
    <row r="68" spans="1:53" x14ac:dyDescent="0.25">
      <c r="A68" s="11">
        <v>65</v>
      </c>
      <c r="B68" s="12">
        <v>43551</v>
      </c>
      <c r="C68" s="13">
        <v>0.703587962962963</v>
      </c>
      <c r="D68" s="11">
        <v>24.38</v>
      </c>
      <c r="E68" s="11">
        <v>24.31</v>
      </c>
      <c r="F68" s="11">
        <v>24.31</v>
      </c>
      <c r="G68" s="11">
        <v>24.31</v>
      </c>
      <c r="H68" s="11">
        <v>24.31</v>
      </c>
      <c r="I68" s="11">
        <v>24.44</v>
      </c>
      <c r="J68" s="11">
        <v>24.5</v>
      </c>
      <c r="K68" s="11">
        <v>24.44</v>
      </c>
      <c r="L68" s="11">
        <v>24.19</v>
      </c>
      <c r="M68" s="11">
        <v>27.1</v>
      </c>
      <c r="N68" s="11">
        <v>16</v>
      </c>
      <c r="P68" s="4">
        <v>24.36</v>
      </c>
      <c r="Q68" s="4">
        <f>P68-'Sonde étalon'!$C$14</f>
        <v>24.53</v>
      </c>
      <c r="T68" s="4">
        <f t="shared" ref="T68:T76" si="38">D68-Q68</f>
        <v>-0.15000000000000213</v>
      </c>
      <c r="U68" s="4">
        <f t="shared" ref="U68:U76" si="39">E68-Q68</f>
        <v>-0.22000000000000242</v>
      </c>
      <c r="V68" s="4">
        <f t="shared" ref="V68:V76" si="40">F68-Q68</f>
        <v>-0.22000000000000242</v>
      </c>
      <c r="W68" s="4">
        <f t="shared" ref="W68:W76" si="41">G68-Q68</f>
        <v>-0.22000000000000242</v>
      </c>
      <c r="X68" s="4">
        <f t="shared" ref="X68:X76" si="42">H68-Q68</f>
        <v>-0.22000000000000242</v>
      </c>
      <c r="Y68" s="4">
        <f t="shared" ref="Y68:Y76" si="43">I68-Q68</f>
        <v>-8.9999999999999858E-2</v>
      </c>
      <c r="Z68" s="4">
        <f t="shared" ref="Z68:Z76" si="44">J68-Q68</f>
        <v>-3.0000000000001137E-2</v>
      </c>
      <c r="AA68" s="4">
        <f t="shared" ref="AA68:AA76" si="45">K68-Q68</f>
        <v>-8.9999999999999858E-2</v>
      </c>
      <c r="AB68" s="4">
        <f t="shared" ref="AB68:AB76" si="46">L68-Q68</f>
        <v>-0.33999999999999986</v>
      </c>
      <c r="AC68" s="4">
        <f t="shared" si="17"/>
        <v>2.5700000000000003</v>
      </c>
      <c r="AF68" s="4">
        <f t="shared" si="18"/>
        <v>24.531830985915494</v>
      </c>
      <c r="AG68" s="4">
        <f t="shared" si="19"/>
        <v>24.530563380281691</v>
      </c>
      <c r="AH68" s="4">
        <f t="shared" si="20"/>
        <v>24.551408450704226</v>
      </c>
      <c r="AI68" s="4">
        <f t="shared" si="21"/>
        <v>24.525633802816902</v>
      </c>
      <c r="AJ68" s="4">
        <f t="shared" si="22"/>
        <v>24.543802816901408</v>
      </c>
      <c r="AK68" s="4">
        <f t="shared" si="23"/>
        <v>24.578169014084509</v>
      </c>
      <c r="AL68" s="4">
        <f t="shared" si="24"/>
        <v>24.524788732394367</v>
      </c>
      <c r="AM68" s="4">
        <f t="shared" si="25"/>
        <v>24.530140845070427</v>
      </c>
      <c r="AN68" s="4">
        <f t="shared" si="26"/>
        <v>24.5387323943662</v>
      </c>
      <c r="AO68" s="4">
        <f t="shared" si="27"/>
        <v>24.491830985915495</v>
      </c>
      <c r="AQ68"/>
      <c r="AR68" s="4">
        <f t="shared" si="28"/>
        <v>1.830985915493244E-3</v>
      </c>
      <c r="AS68" s="4">
        <f t="shared" si="29"/>
        <v>5.6338028169022891E-4</v>
      </c>
      <c r="AT68" s="4">
        <f t="shared" si="30"/>
        <v>2.1408450704225146E-2</v>
      </c>
      <c r="AU68" s="4">
        <f t="shared" si="31"/>
        <v>-4.3661971830992741E-3</v>
      </c>
      <c r="AV68" s="4">
        <f t="shared" si="32"/>
        <v>1.3802816901407056E-2</v>
      </c>
      <c r="AW68" s="4">
        <f t="shared" si="33"/>
        <v>4.8169014084507467E-2</v>
      </c>
      <c r="AX68" s="4">
        <f t="shared" si="34"/>
        <v>-5.2112676056346174E-3</v>
      </c>
      <c r="AY68" s="4">
        <f t="shared" si="35"/>
        <v>1.4084507042610994E-4</v>
      </c>
      <c r="AZ68" s="4">
        <f t="shared" si="36"/>
        <v>8.7323943661985481E-3</v>
      </c>
      <c r="BA68" s="4">
        <f t="shared" si="37"/>
        <v>-3.8169014084505903E-2</v>
      </c>
    </row>
    <row r="69" spans="1:53" x14ac:dyDescent="0.25">
      <c r="A69" s="11">
        <v>66</v>
      </c>
      <c r="B69" s="12">
        <v>43551</v>
      </c>
      <c r="C69" s="13">
        <v>0.70428240740740744</v>
      </c>
      <c r="D69" s="11">
        <v>24.38</v>
      </c>
      <c r="E69" s="11">
        <v>24.25</v>
      </c>
      <c r="F69" s="11">
        <v>24.25</v>
      </c>
      <c r="G69" s="11">
        <v>24.31</v>
      </c>
      <c r="H69" s="11">
        <v>24.31</v>
      </c>
      <c r="I69" s="11">
        <v>24.38</v>
      </c>
      <c r="J69" s="11">
        <v>24.5</v>
      </c>
      <c r="K69" s="11">
        <v>24.44</v>
      </c>
      <c r="L69" s="11">
        <v>24.19</v>
      </c>
      <c r="M69" s="11">
        <v>27.2</v>
      </c>
      <c r="N69" s="11">
        <v>16</v>
      </c>
      <c r="P69" s="4">
        <v>24.37</v>
      </c>
      <c r="Q69" s="4">
        <f>P69-'Sonde étalon'!$C$14</f>
        <v>24.540000000000003</v>
      </c>
      <c r="T69" s="4">
        <f t="shared" si="38"/>
        <v>-0.16000000000000369</v>
      </c>
      <c r="U69" s="4">
        <f t="shared" si="39"/>
        <v>-0.2900000000000027</v>
      </c>
      <c r="V69" s="4">
        <f t="shared" si="40"/>
        <v>-0.2900000000000027</v>
      </c>
      <c r="W69" s="4">
        <f t="shared" si="41"/>
        <v>-0.23000000000000398</v>
      </c>
      <c r="X69" s="4">
        <f t="shared" si="42"/>
        <v>-0.23000000000000398</v>
      </c>
      <c r="Y69" s="4">
        <f t="shared" si="43"/>
        <v>-0.16000000000000369</v>
      </c>
      <c r="Z69" s="4">
        <f t="shared" si="44"/>
        <v>-4.00000000000027E-2</v>
      </c>
      <c r="AA69" s="4">
        <f t="shared" si="45"/>
        <v>-0.10000000000000142</v>
      </c>
      <c r="AB69" s="4">
        <f t="shared" si="46"/>
        <v>-0.35000000000000142</v>
      </c>
      <c r="AC69" s="4">
        <f t="shared" si="17"/>
        <v>2.6599999999999966</v>
      </c>
      <c r="AF69" s="4">
        <f t="shared" si="18"/>
        <v>24.531830985915494</v>
      </c>
      <c r="AG69" s="4">
        <f t="shared" si="19"/>
        <v>24.470563380281693</v>
      </c>
      <c r="AH69" s="4">
        <f t="shared" si="20"/>
        <v>24.491408450704228</v>
      </c>
      <c r="AI69" s="4">
        <f t="shared" si="21"/>
        <v>24.525633802816902</v>
      </c>
      <c r="AJ69" s="4">
        <f t="shared" si="22"/>
        <v>24.543802816901408</v>
      </c>
      <c r="AK69" s="4">
        <f t="shared" si="23"/>
        <v>24.518169014084506</v>
      </c>
      <c r="AL69" s="4">
        <f t="shared" si="24"/>
        <v>24.524788732394367</v>
      </c>
      <c r="AM69" s="4">
        <f t="shared" si="25"/>
        <v>24.530140845070427</v>
      </c>
      <c r="AN69" s="4">
        <f t="shared" si="26"/>
        <v>24.5387323943662</v>
      </c>
      <c r="AO69" s="4">
        <f t="shared" si="27"/>
        <v>24.591830985915493</v>
      </c>
      <c r="AQ69"/>
      <c r="AR69" s="4">
        <f t="shared" si="28"/>
        <v>-8.1690140845083192E-3</v>
      </c>
      <c r="AS69" s="4">
        <f t="shared" si="29"/>
        <v>-6.9436619718310055E-2</v>
      </c>
      <c r="AT69" s="4">
        <f t="shared" si="30"/>
        <v>-4.8591549295775138E-2</v>
      </c>
      <c r="AU69" s="4">
        <f t="shared" si="31"/>
        <v>-1.4366197183100837E-2</v>
      </c>
      <c r="AV69" s="4">
        <f t="shared" si="32"/>
        <v>3.8028169014054924E-3</v>
      </c>
      <c r="AW69" s="4">
        <f t="shared" si="33"/>
        <v>-2.183098591549637E-2</v>
      </c>
      <c r="AX69" s="4">
        <f t="shared" si="34"/>
        <v>-1.5211267605636181E-2</v>
      </c>
      <c r="AY69" s="4">
        <f t="shared" si="35"/>
        <v>-9.8591549295754533E-3</v>
      </c>
      <c r="AZ69" s="4">
        <f t="shared" si="36"/>
        <v>-1.2676056338030151E-3</v>
      </c>
      <c r="BA69" s="4">
        <f t="shared" si="37"/>
        <v>5.1830985915490402E-2</v>
      </c>
    </row>
    <row r="70" spans="1:53" x14ac:dyDescent="0.25">
      <c r="A70" s="11">
        <v>67</v>
      </c>
      <c r="B70" s="12">
        <v>43551</v>
      </c>
      <c r="C70" s="13">
        <v>0.70497685185185188</v>
      </c>
      <c r="D70" s="11">
        <v>24.38</v>
      </c>
      <c r="E70" s="11">
        <v>24.25</v>
      </c>
      <c r="F70" s="11">
        <v>24.31</v>
      </c>
      <c r="G70" s="11">
        <v>24.31</v>
      </c>
      <c r="H70" s="11">
        <v>24.31</v>
      </c>
      <c r="I70" s="11">
        <v>24.38</v>
      </c>
      <c r="J70" s="11">
        <v>24.44</v>
      </c>
      <c r="K70" s="11">
        <v>24.44</v>
      </c>
      <c r="L70" s="11">
        <v>24.13</v>
      </c>
      <c r="M70" s="11">
        <v>27.2</v>
      </c>
      <c r="N70" s="11">
        <v>15</v>
      </c>
      <c r="P70" s="4">
        <v>24.38</v>
      </c>
      <c r="Q70" s="4">
        <f>P70-'Sonde étalon'!$C$14</f>
        <v>24.55</v>
      </c>
      <c r="T70" s="4">
        <f t="shared" si="38"/>
        <v>-0.17000000000000171</v>
      </c>
      <c r="U70" s="4">
        <f t="shared" si="39"/>
        <v>-0.30000000000000071</v>
      </c>
      <c r="V70" s="4">
        <f t="shared" si="40"/>
        <v>-0.24000000000000199</v>
      </c>
      <c r="W70" s="4">
        <f t="shared" si="41"/>
        <v>-0.24000000000000199</v>
      </c>
      <c r="X70" s="4">
        <f t="shared" si="42"/>
        <v>-0.24000000000000199</v>
      </c>
      <c r="Y70" s="4">
        <f t="shared" si="43"/>
        <v>-0.17000000000000171</v>
      </c>
      <c r="Z70" s="4">
        <f t="shared" si="44"/>
        <v>-0.10999999999999943</v>
      </c>
      <c r="AA70" s="4">
        <f t="shared" si="45"/>
        <v>-0.10999999999999943</v>
      </c>
      <c r="AB70" s="4">
        <f t="shared" si="46"/>
        <v>-0.42000000000000171</v>
      </c>
      <c r="AC70" s="4">
        <f t="shared" si="17"/>
        <v>2.6499999999999986</v>
      </c>
      <c r="AF70" s="4">
        <f t="shared" si="18"/>
        <v>24.531830985915494</v>
      </c>
      <c r="AG70" s="4">
        <f t="shared" si="19"/>
        <v>24.470563380281693</v>
      </c>
      <c r="AH70" s="4">
        <f t="shared" si="20"/>
        <v>24.551408450704226</v>
      </c>
      <c r="AI70" s="4">
        <f t="shared" si="21"/>
        <v>24.525633802816902</v>
      </c>
      <c r="AJ70" s="4">
        <f t="shared" si="22"/>
        <v>24.543802816901408</v>
      </c>
      <c r="AK70" s="4">
        <f t="shared" si="23"/>
        <v>24.518169014084506</v>
      </c>
      <c r="AL70" s="4">
        <f t="shared" si="24"/>
        <v>24.464788732394368</v>
      </c>
      <c r="AM70" s="4">
        <f t="shared" si="25"/>
        <v>24.530140845070427</v>
      </c>
      <c r="AN70" s="4">
        <f t="shared" si="26"/>
        <v>24.478732394366197</v>
      </c>
      <c r="AO70" s="4">
        <f t="shared" si="27"/>
        <v>24.591830985915493</v>
      </c>
      <c r="AQ70"/>
      <c r="AR70" s="4">
        <f t="shared" si="28"/>
        <v>-1.816901408450633E-2</v>
      </c>
      <c r="AS70" s="4">
        <f t="shared" si="29"/>
        <v>-7.9436619718308066E-2</v>
      </c>
      <c r="AT70" s="4">
        <f t="shared" si="30"/>
        <v>1.4084507042255723E-3</v>
      </c>
      <c r="AU70" s="4">
        <f t="shared" si="31"/>
        <v>-2.4366197183098848E-2</v>
      </c>
      <c r="AV70" s="4">
        <f t="shared" si="32"/>
        <v>-6.197183098592518E-3</v>
      </c>
      <c r="AW70" s="4">
        <f t="shared" si="33"/>
        <v>-3.1830985915494381E-2</v>
      </c>
      <c r="AX70" s="4">
        <f t="shared" si="34"/>
        <v>-8.5211267605632912E-2</v>
      </c>
      <c r="AY70" s="4">
        <f t="shared" si="35"/>
        <v>-1.9859154929573464E-2</v>
      </c>
      <c r="AZ70" s="4">
        <f t="shared" si="36"/>
        <v>-7.1267605633803299E-2</v>
      </c>
      <c r="BA70" s="4">
        <f t="shared" si="37"/>
        <v>4.1830985915492391E-2</v>
      </c>
    </row>
    <row r="71" spans="1:53" x14ac:dyDescent="0.25">
      <c r="A71" s="11">
        <v>68</v>
      </c>
      <c r="B71" s="12">
        <v>43551</v>
      </c>
      <c r="C71" s="13">
        <v>0.70567129629629621</v>
      </c>
      <c r="D71" s="11">
        <v>24.31</v>
      </c>
      <c r="E71" s="11">
        <v>24.25</v>
      </c>
      <c r="F71" s="11">
        <v>24.25</v>
      </c>
      <c r="G71" s="11">
        <v>24.25</v>
      </c>
      <c r="H71" s="11">
        <v>24.25</v>
      </c>
      <c r="I71" s="11">
        <v>24.38</v>
      </c>
      <c r="J71" s="11">
        <v>24.44</v>
      </c>
      <c r="K71" s="11">
        <v>24.38</v>
      </c>
      <c r="L71" s="11">
        <v>24.13</v>
      </c>
      <c r="M71" s="11">
        <v>27.2</v>
      </c>
      <c r="N71" s="11">
        <v>16</v>
      </c>
      <c r="P71" s="4">
        <v>24.35</v>
      </c>
      <c r="Q71" s="4">
        <f>P71-'Sonde étalon'!$C$14</f>
        <v>24.520000000000003</v>
      </c>
      <c r="T71" s="4">
        <f t="shared" si="38"/>
        <v>-0.21000000000000441</v>
      </c>
      <c r="U71" s="4">
        <f t="shared" si="39"/>
        <v>-0.27000000000000313</v>
      </c>
      <c r="V71" s="4">
        <f t="shared" si="40"/>
        <v>-0.27000000000000313</v>
      </c>
      <c r="W71" s="4">
        <f t="shared" si="41"/>
        <v>-0.27000000000000313</v>
      </c>
      <c r="X71" s="4">
        <f t="shared" si="42"/>
        <v>-0.27000000000000313</v>
      </c>
      <c r="Y71" s="4">
        <f t="shared" si="43"/>
        <v>-0.14000000000000412</v>
      </c>
      <c r="Z71" s="4">
        <f t="shared" si="44"/>
        <v>-8.0000000000001847E-2</v>
      </c>
      <c r="AA71" s="4">
        <f t="shared" si="45"/>
        <v>-0.14000000000000412</v>
      </c>
      <c r="AB71" s="4">
        <f t="shared" si="46"/>
        <v>-0.39000000000000412</v>
      </c>
      <c r="AC71" s="4">
        <f t="shared" ref="AC71:AC76" si="47">M71-Q71</f>
        <v>2.6799999999999962</v>
      </c>
      <c r="AF71" s="4">
        <f t="shared" ref="AF71:AF76" si="48">D71-$T$3</f>
        <v>24.461830985915494</v>
      </c>
      <c r="AG71" s="4">
        <f t="shared" ref="AG71:AG76" si="49">E71-$U$3</f>
        <v>24.470563380281693</v>
      </c>
      <c r="AH71" s="4">
        <f t="shared" ref="AH71:AH76" si="50">F71-$V$3</f>
        <v>24.491408450704228</v>
      </c>
      <c r="AI71" s="4">
        <f t="shared" ref="AI71:AI76" si="51">G71-$W$3</f>
        <v>24.465633802816903</v>
      </c>
      <c r="AJ71" s="4">
        <f t="shared" ref="AJ71:AJ76" si="52">H71-$X$3</f>
        <v>24.483802816901409</v>
      </c>
      <c r="AK71" s="4">
        <f t="shared" ref="AK71:AK76" si="53">I71-$Y$3</f>
        <v>24.518169014084506</v>
      </c>
      <c r="AL71" s="4">
        <f t="shared" ref="AL71:AL76" si="54">J71-$Z$3</f>
        <v>24.464788732394368</v>
      </c>
      <c r="AM71" s="4">
        <f t="shared" ref="AM71:AM76" si="55">K71-$AA$3</f>
        <v>24.470140845070425</v>
      </c>
      <c r="AN71" s="4">
        <f t="shared" ref="AN71:AN76" si="56">L71-$AB$3</f>
        <v>24.478732394366197</v>
      </c>
      <c r="AO71" s="4">
        <f t="shared" ref="AO71:AO76" si="57">M71-$AC$3</f>
        <v>24.591830985915493</v>
      </c>
      <c r="AQ71"/>
      <c r="AR71" s="4">
        <f t="shared" ref="AR71:AR76" si="58">AF71-Q71</f>
        <v>-5.816901408450903E-2</v>
      </c>
      <c r="AS71" s="4">
        <f t="shared" ref="AS71:AS76" si="59">AG71-Q71</f>
        <v>-4.9436619718310482E-2</v>
      </c>
      <c r="AT71" s="4">
        <f t="shared" ref="AT71:AT76" si="60">AH71-Q71</f>
        <v>-2.8591549295775565E-2</v>
      </c>
      <c r="AU71" s="4">
        <f t="shared" ref="AU71:AU76" si="61">AI71-Q71</f>
        <v>-5.4366197183099985E-2</v>
      </c>
      <c r="AV71" s="4">
        <f t="shared" ref="AV71:AV76" si="62">AJ71-Q71</f>
        <v>-3.6197183098593655E-2</v>
      </c>
      <c r="AW71" s="4">
        <f t="shared" ref="AW71:AW76" si="63">AK71-Q71</f>
        <v>-1.8309859154967967E-3</v>
      </c>
      <c r="AX71" s="4">
        <f t="shared" ref="AX71:AX76" si="64">AL71-Q71</f>
        <v>-5.5211267605635328E-2</v>
      </c>
      <c r="AY71" s="4">
        <f t="shared" ref="AY71:AY76" si="65">AM71-Q71</f>
        <v>-4.9859154929578153E-2</v>
      </c>
      <c r="AZ71" s="4">
        <f t="shared" ref="AZ71:AZ76" si="66">AN71-Q71</f>
        <v>-4.1267605633805715E-2</v>
      </c>
      <c r="BA71" s="4">
        <f t="shared" ref="BA71:BA76" si="67">AO71-Q71</f>
        <v>7.1830985915489975E-2</v>
      </c>
    </row>
    <row r="72" spans="1:53" x14ac:dyDescent="0.25">
      <c r="A72" s="11">
        <v>69</v>
      </c>
      <c r="B72" s="12">
        <v>43551</v>
      </c>
      <c r="C72" s="13">
        <v>0.70636574074074077</v>
      </c>
      <c r="D72" s="11">
        <v>24.31</v>
      </c>
      <c r="E72" s="11">
        <v>24.25</v>
      </c>
      <c r="F72" s="11">
        <v>24.25</v>
      </c>
      <c r="G72" s="11">
        <v>24.25</v>
      </c>
      <c r="H72" s="11">
        <v>24.25</v>
      </c>
      <c r="I72" s="11">
        <v>24.38</v>
      </c>
      <c r="J72" s="11">
        <v>24.44</v>
      </c>
      <c r="K72" s="11">
        <v>24.38</v>
      </c>
      <c r="L72" s="11">
        <v>24.13</v>
      </c>
      <c r="M72" s="11">
        <v>27.2</v>
      </c>
      <c r="N72" s="11">
        <v>16</v>
      </c>
      <c r="P72" s="4">
        <v>24.33</v>
      </c>
      <c r="Q72" s="4">
        <f>P72-'Sonde étalon'!$C$14</f>
        <v>24.5</v>
      </c>
      <c r="T72" s="4">
        <f t="shared" si="38"/>
        <v>-0.19000000000000128</v>
      </c>
      <c r="U72" s="4">
        <f t="shared" si="39"/>
        <v>-0.25</v>
      </c>
      <c r="V72" s="4">
        <f t="shared" si="40"/>
        <v>-0.25</v>
      </c>
      <c r="W72" s="4">
        <f t="shared" si="41"/>
        <v>-0.25</v>
      </c>
      <c r="X72" s="4">
        <f t="shared" si="42"/>
        <v>-0.25</v>
      </c>
      <c r="Y72" s="4">
        <f t="shared" si="43"/>
        <v>-0.12000000000000099</v>
      </c>
      <c r="Z72" s="4">
        <f t="shared" si="44"/>
        <v>-5.9999999999998721E-2</v>
      </c>
      <c r="AA72" s="4">
        <f t="shared" si="45"/>
        <v>-0.12000000000000099</v>
      </c>
      <c r="AB72" s="4">
        <f t="shared" si="46"/>
        <v>-0.37000000000000099</v>
      </c>
      <c r="AC72" s="4">
        <f t="shared" si="47"/>
        <v>2.6999999999999993</v>
      </c>
      <c r="AF72" s="4">
        <f t="shared" si="48"/>
        <v>24.461830985915494</v>
      </c>
      <c r="AG72" s="4">
        <f t="shared" si="49"/>
        <v>24.470563380281693</v>
      </c>
      <c r="AH72" s="4">
        <f t="shared" si="50"/>
        <v>24.491408450704228</v>
      </c>
      <c r="AI72" s="4">
        <f t="shared" si="51"/>
        <v>24.465633802816903</v>
      </c>
      <c r="AJ72" s="4">
        <f t="shared" si="52"/>
        <v>24.483802816901409</v>
      </c>
      <c r="AK72" s="4">
        <f t="shared" si="53"/>
        <v>24.518169014084506</v>
      </c>
      <c r="AL72" s="4">
        <f t="shared" si="54"/>
        <v>24.464788732394368</v>
      </c>
      <c r="AM72" s="4">
        <f t="shared" si="55"/>
        <v>24.470140845070425</v>
      </c>
      <c r="AN72" s="4">
        <f t="shared" si="56"/>
        <v>24.478732394366197</v>
      </c>
      <c r="AO72" s="4">
        <f t="shared" si="57"/>
        <v>24.591830985915493</v>
      </c>
      <c r="AQ72"/>
      <c r="AR72" s="4">
        <f t="shared" si="58"/>
        <v>-3.8169014084505903E-2</v>
      </c>
      <c r="AS72" s="4">
        <f t="shared" si="59"/>
        <v>-2.9436619718307355E-2</v>
      </c>
      <c r="AT72" s="4">
        <f t="shared" si="60"/>
        <v>-8.5915492957724382E-3</v>
      </c>
      <c r="AU72" s="4">
        <f t="shared" si="61"/>
        <v>-3.4366197183096858E-2</v>
      </c>
      <c r="AV72" s="4">
        <f t="shared" si="62"/>
        <v>-1.6197183098590529E-2</v>
      </c>
      <c r="AW72" s="4">
        <f t="shared" si="63"/>
        <v>1.816901408450633E-2</v>
      </c>
      <c r="AX72" s="4">
        <f t="shared" si="64"/>
        <v>-3.5211267605632202E-2</v>
      </c>
      <c r="AY72" s="4">
        <f t="shared" si="65"/>
        <v>-2.9859154929575027E-2</v>
      </c>
      <c r="AZ72" s="4">
        <f t="shared" si="66"/>
        <v>-2.1267605633802589E-2</v>
      </c>
      <c r="BA72" s="4">
        <f t="shared" si="67"/>
        <v>9.1830985915493102E-2</v>
      </c>
    </row>
    <row r="73" spans="1:53" x14ac:dyDescent="0.25">
      <c r="A73" s="11">
        <v>70</v>
      </c>
      <c r="B73" s="12">
        <v>43551</v>
      </c>
      <c r="C73" s="13">
        <v>0.70706018518518521</v>
      </c>
      <c r="D73" s="11">
        <v>24.38</v>
      </c>
      <c r="E73" s="11">
        <v>24.25</v>
      </c>
      <c r="F73" s="11">
        <v>24.25</v>
      </c>
      <c r="G73" s="11">
        <v>24.31</v>
      </c>
      <c r="H73" s="11">
        <v>24.31</v>
      </c>
      <c r="I73" s="11">
        <v>24.38</v>
      </c>
      <c r="J73" s="11">
        <v>24.44</v>
      </c>
      <c r="K73" s="11">
        <v>24.38</v>
      </c>
      <c r="L73" s="11">
        <v>24.13</v>
      </c>
      <c r="M73" s="11">
        <v>27.2</v>
      </c>
      <c r="N73" s="11">
        <v>16</v>
      </c>
      <c r="P73" s="4">
        <v>24.33</v>
      </c>
      <c r="Q73" s="4">
        <f>P73-'Sonde étalon'!$C$14</f>
        <v>24.5</v>
      </c>
      <c r="T73" s="4">
        <f t="shared" si="38"/>
        <v>-0.12000000000000099</v>
      </c>
      <c r="U73" s="4">
        <f t="shared" si="39"/>
        <v>-0.25</v>
      </c>
      <c r="V73" s="4">
        <f t="shared" si="40"/>
        <v>-0.25</v>
      </c>
      <c r="W73" s="4">
        <f t="shared" si="41"/>
        <v>-0.19000000000000128</v>
      </c>
      <c r="X73" s="4">
        <f t="shared" si="42"/>
        <v>-0.19000000000000128</v>
      </c>
      <c r="Y73" s="4">
        <f t="shared" si="43"/>
        <v>-0.12000000000000099</v>
      </c>
      <c r="Z73" s="4">
        <f t="shared" si="44"/>
        <v>-5.9999999999998721E-2</v>
      </c>
      <c r="AA73" s="4">
        <f t="shared" si="45"/>
        <v>-0.12000000000000099</v>
      </c>
      <c r="AB73" s="4">
        <f t="shared" si="46"/>
        <v>-0.37000000000000099</v>
      </c>
      <c r="AC73" s="4">
        <f t="shared" si="47"/>
        <v>2.6999999999999993</v>
      </c>
      <c r="AF73" s="4">
        <f t="shared" si="48"/>
        <v>24.531830985915494</v>
      </c>
      <c r="AG73" s="4">
        <f t="shared" si="49"/>
        <v>24.470563380281693</v>
      </c>
      <c r="AH73" s="4">
        <f t="shared" si="50"/>
        <v>24.491408450704228</v>
      </c>
      <c r="AI73" s="4">
        <f t="shared" si="51"/>
        <v>24.525633802816902</v>
      </c>
      <c r="AJ73" s="4">
        <f t="shared" si="52"/>
        <v>24.543802816901408</v>
      </c>
      <c r="AK73" s="4">
        <f t="shared" si="53"/>
        <v>24.518169014084506</v>
      </c>
      <c r="AL73" s="4">
        <f t="shared" si="54"/>
        <v>24.464788732394368</v>
      </c>
      <c r="AM73" s="4">
        <f t="shared" si="55"/>
        <v>24.470140845070425</v>
      </c>
      <c r="AN73" s="4">
        <f t="shared" si="56"/>
        <v>24.478732394366197</v>
      </c>
      <c r="AO73" s="4">
        <f t="shared" si="57"/>
        <v>24.591830985915493</v>
      </c>
      <c r="AQ73"/>
      <c r="AR73" s="4">
        <f t="shared" si="58"/>
        <v>3.1830985915494381E-2</v>
      </c>
      <c r="AS73" s="4">
        <f t="shared" si="59"/>
        <v>-2.9436619718307355E-2</v>
      </c>
      <c r="AT73" s="4">
        <f t="shared" si="60"/>
        <v>-8.5915492957724382E-3</v>
      </c>
      <c r="AU73" s="4">
        <f t="shared" si="61"/>
        <v>2.5633802816901863E-2</v>
      </c>
      <c r="AV73" s="4">
        <f t="shared" si="62"/>
        <v>4.3802816901408193E-2</v>
      </c>
      <c r="AW73" s="4">
        <f t="shared" si="63"/>
        <v>1.816901408450633E-2</v>
      </c>
      <c r="AX73" s="4">
        <f t="shared" si="64"/>
        <v>-3.5211267605632202E-2</v>
      </c>
      <c r="AY73" s="4">
        <f t="shared" si="65"/>
        <v>-2.9859154929575027E-2</v>
      </c>
      <c r="AZ73" s="4">
        <f t="shared" si="66"/>
        <v>-2.1267605633802589E-2</v>
      </c>
      <c r="BA73" s="4">
        <f t="shared" si="67"/>
        <v>9.1830985915493102E-2</v>
      </c>
    </row>
    <row r="74" spans="1:53" x14ac:dyDescent="0.25">
      <c r="A74" s="11">
        <v>71</v>
      </c>
      <c r="B74" s="12">
        <v>43551</v>
      </c>
      <c r="C74" s="13">
        <v>0.70775462962962965</v>
      </c>
      <c r="D74" s="11">
        <v>24.31</v>
      </c>
      <c r="E74" s="11">
        <v>24.25</v>
      </c>
      <c r="F74" s="11">
        <v>24.25</v>
      </c>
      <c r="G74" s="11">
        <v>24.25</v>
      </c>
      <c r="H74" s="11">
        <v>24.25</v>
      </c>
      <c r="I74" s="11">
        <v>24.31</v>
      </c>
      <c r="J74" s="11">
        <v>24.44</v>
      </c>
      <c r="K74" s="11">
        <v>24.38</v>
      </c>
      <c r="L74" s="11">
        <v>24.13</v>
      </c>
      <c r="M74" s="11">
        <v>27.2</v>
      </c>
      <c r="N74" s="11">
        <v>15</v>
      </c>
      <c r="P74" s="4">
        <v>24.35</v>
      </c>
      <c r="Q74" s="4">
        <f>P74-'Sonde étalon'!$C$14</f>
        <v>24.520000000000003</v>
      </c>
      <c r="T74" s="4">
        <f t="shared" si="38"/>
        <v>-0.21000000000000441</v>
      </c>
      <c r="U74" s="4">
        <f t="shared" si="39"/>
        <v>-0.27000000000000313</v>
      </c>
      <c r="V74" s="4">
        <f t="shared" si="40"/>
        <v>-0.27000000000000313</v>
      </c>
      <c r="W74" s="4">
        <f t="shared" si="41"/>
        <v>-0.27000000000000313</v>
      </c>
      <c r="X74" s="4">
        <f t="shared" si="42"/>
        <v>-0.27000000000000313</v>
      </c>
      <c r="Y74" s="4">
        <f t="shared" si="43"/>
        <v>-0.21000000000000441</v>
      </c>
      <c r="Z74" s="4">
        <f t="shared" si="44"/>
        <v>-8.0000000000001847E-2</v>
      </c>
      <c r="AA74" s="4">
        <f t="shared" si="45"/>
        <v>-0.14000000000000412</v>
      </c>
      <c r="AB74" s="4">
        <f t="shared" si="46"/>
        <v>-0.39000000000000412</v>
      </c>
      <c r="AC74" s="4">
        <f t="shared" si="47"/>
        <v>2.6799999999999962</v>
      </c>
      <c r="AF74" s="4">
        <f t="shared" si="48"/>
        <v>24.461830985915494</v>
      </c>
      <c r="AG74" s="4">
        <f t="shared" si="49"/>
        <v>24.470563380281693</v>
      </c>
      <c r="AH74" s="4">
        <f t="shared" si="50"/>
        <v>24.491408450704228</v>
      </c>
      <c r="AI74" s="4">
        <f t="shared" si="51"/>
        <v>24.465633802816903</v>
      </c>
      <c r="AJ74" s="4">
        <f t="shared" si="52"/>
        <v>24.483802816901409</v>
      </c>
      <c r="AK74" s="4">
        <f t="shared" si="53"/>
        <v>24.448169014084506</v>
      </c>
      <c r="AL74" s="4">
        <f t="shared" si="54"/>
        <v>24.464788732394368</v>
      </c>
      <c r="AM74" s="4">
        <f t="shared" si="55"/>
        <v>24.470140845070425</v>
      </c>
      <c r="AN74" s="4">
        <f t="shared" si="56"/>
        <v>24.478732394366197</v>
      </c>
      <c r="AO74" s="4">
        <f t="shared" si="57"/>
        <v>24.591830985915493</v>
      </c>
      <c r="AQ74"/>
      <c r="AR74" s="4">
        <f t="shared" si="58"/>
        <v>-5.816901408450903E-2</v>
      </c>
      <c r="AS74" s="4">
        <f t="shared" si="59"/>
        <v>-4.9436619718310482E-2</v>
      </c>
      <c r="AT74" s="4">
        <f t="shared" si="60"/>
        <v>-2.8591549295775565E-2</v>
      </c>
      <c r="AU74" s="4">
        <f t="shared" si="61"/>
        <v>-5.4366197183099985E-2</v>
      </c>
      <c r="AV74" s="4">
        <f t="shared" si="62"/>
        <v>-3.6197183098593655E-2</v>
      </c>
      <c r="AW74" s="4">
        <f t="shared" si="63"/>
        <v>-7.1830985915497081E-2</v>
      </c>
      <c r="AX74" s="4">
        <f t="shared" si="64"/>
        <v>-5.5211267605635328E-2</v>
      </c>
      <c r="AY74" s="4">
        <f t="shared" si="65"/>
        <v>-4.9859154929578153E-2</v>
      </c>
      <c r="AZ74" s="4">
        <f t="shared" si="66"/>
        <v>-4.1267605633805715E-2</v>
      </c>
      <c r="BA74" s="4">
        <f t="shared" si="67"/>
        <v>7.1830985915489975E-2</v>
      </c>
    </row>
    <row r="75" spans="1:53" x14ac:dyDescent="0.25">
      <c r="A75" s="11">
        <v>72</v>
      </c>
      <c r="B75" s="12">
        <v>43551</v>
      </c>
      <c r="C75" s="13">
        <v>0.70844907407407398</v>
      </c>
      <c r="D75" s="11">
        <v>24.31</v>
      </c>
      <c r="E75" s="11">
        <v>24.19</v>
      </c>
      <c r="F75" s="11">
        <v>24.19</v>
      </c>
      <c r="G75" s="11">
        <v>24.25</v>
      </c>
      <c r="H75" s="11">
        <v>24.25</v>
      </c>
      <c r="I75" s="11">
        <v>24.31</v>
      </c>
      <c r="J75" s="11">
        <v>24.44</v>
      </c>
      <c r="K75" s="11">
        <v>24.38</v>
      </c>
      <c r="L75" s="11">
        <v>24.13</v>
      </c>
      <c r="M75" s="11">
        <v>27.2</v>
      </c>
      <c r="N75" s="11">
        <v>15</v>
      </c>
      <c r="P75" s="4">
        <v>24.34</v>
      </c>
      <c r="Q75" s="4">
        <f>P75-'Sonde étalon'!$C$14</f>
        <v>24.51</v>
      </c>
      <c r="T75" s="4">
        <f t="shared" si="38"/>
        <v>-0.20000000000000284</v>
      </c>
      <c r="U75" s="4">
        <f t="shared" si="39"/>
        <v>-0.32000000000000028</v>
      </c>
      <c r="V75" s="4">
        <f t="shared" si="40"/>
        <v>-0.32000000000000028</v>
      </c>
      <c r="W75" s="4">
        <f t="shared" si="41"/>
        <v>-0.26000000000000156</v>
      </c>
      <c r="X75" s="4">
        <f t="shared" si="42"/>
        <v>-0.26000000000000156</v>
      </c>
      <c r="Y75" s="4">
        <f t="shared" si="43"/>
        <v>-0.20000000000000284</v>
      </c>
      <c r="Z75" s="4">
        <f t="shared" si="44"/>
        <v>-7.0000000000000284E-2</v>
      </c>
      <c r="AA75" s="4">
        <f t="shared" si="45"/>
        <v>-0.13000000000000256</v>
      </c>
      <c r="AB75" s="4">
        <f t="shared" si="46"/>
        <v>-0.38000000000000256</v>
      </c>
      <c r="AC75" s="4">
        <f t="shared" si="47"/>
        <v>2.6899999999999977</v>
      </c>
      <c r="AF75" s="4">
        <f t="shared" si="48"/>
        <v>24.461830985915494</v>
      </c>
      <c r="AG75" s="4">
        <f t="shared" si="49"/>
        <v>24.410563380281694</v>
      </c>
      <c r="AH75" s="4">
        <f t="shared" si="50"/>
        <v>24.431408450704229</v>
      </c>
      <c r="AI75" s="4">
        <f t="shared" si="51"/>
        <v>24.465633802816903</v>
      </c>
      <c r="AJ75" s="4">
        <f t="shared" si="52"/>
        <v>24.483802816901409</v>
      </c>
      <c r="AK75" s="4">
        <f t="shared" si="53"/>
        <v>24.448169014084506</v>
      </c>
      <c r="AL75" s="4">
        <f t="shared" si="54"/>
        <v>24.464788732394368</v>
      </c>
      <c r="AM75" s="4">
        <f t="shared" si="55"/>
        <v>24.470140845070425</v>
      </c>
      <c r="AN75" s="4">
        <f t="shared" si="56"/>
        <v>24.478732394366197</v>
      </c>
      <c r="AO75" s="4">
        <f t="shared" si="57"/>
        <v>24.591830985915493</v>
      </c>
      <c r="AQ75"/>
      <c r="AR75" s="4">
        <f t="shared" si="58"/>
        <v>-4.8169014084507467E-2</v>
      </c>
      <c r="AS75" s="4">
        <f t="shared" si="59"/>
        <v>-9.9436619718307639E-2</v>
      </c>
      <c r="AT75" s="4">
        <f t="shared" si="60"/>
        <v>-7.8591549295772722E-2</v>
      </c>
      <c r="AU75" s="4">
        <f t="shared" si="61"/>
        <v>-4.4366197183098421E-2</v>
      </c>
      <c r="AV75" s="4">
        <f t="shared" si="62"/>
        <v>-2.6197183098592092E-2</v>
      </c>
      <c r="AW75" s="4">
        <f t="shared" si="63"/>
        <v>-6.1830985915495518E-2</v>
      </c>
      <c r="AX75" s="4">
        <f t="shared" si="64"/>
        <v>-4.5211267605633765E-2</v>
      </c>
      <c r="AY75" s="4">
        <f t="shared" si="65"/>
        <v>-3.985915492957659E-2</v>
      </c>
      <c r="AZ75" s="4">
        <f t="shared" si="66"/>
        <v>-3.1267605633804152E-2</v>
      </c>
      <c r="BA75" s="4">
        <f t="shared" si="67"/>
        <v>8.1830985915491539E-2</v>
      </c>
    </row>
    <row r="76" spans="1:53" x14ac:dyDescent="0.25">
      <c r="A76" s="11">
        <v>73</v>
      </c>
      <c r="B76" s="12">
        <v>43551</v>
      </c>
      <c r="C76" s="13">
        <v>0.70914351851851853</v>
      </c>
      <c r="D76" s="11">
        <v>24.25</v>
      </c>
      <c r="E76" s="11">
        <v>24.19</v>
      </c>
      <c r="F76" s="11">
        <v>24.19</v>
      </c>
      <c r="G76" s="11">
        <v>24.19</v>
      </c>
      <c r="H76" s="11">
        <v>24.19</v>
      </c>
      <c r="I76" s="11">
        <v>24.31</v>
      </c>
      <c r="J76" s="11">
        <v>24.38</v>
      </c>
      <c r="K76" s="11">
        <v>24.38</v>
      </c>
      <c r="L76" s="11">
        <v>24.06</v>
      </c>
      <c r="M76" s="11">
        <v>27.2</v>
      </c>
      <c r="N76" s="11">
        <v>15</v>
      </c>
      <c r="P76" s="4">
        <v>24.29</v>
      </c>
      <c r="Q76" s="4">
        <f>P76-'Sonde étalon'!$C$14</f>
        <v>24.46</v>
      </c>
      <c r="T76" s="4">
        <f t="shared" si="38"/>
        <v>-0.21000000000000085</v>
      </c>
      <c r="U76" s="4">
        <f t="shared" si="39"/>
        <v>-0.26999999999999957</v>
      </c>
      <c r="V76" s="4">
        <f t="shared" si="40"/>
        <v>-0.26999999999999957</v>
      </c>
      <c r="W76" s="4">
        <f t="shared" si="41"/>
        <v>-0.26999999999999957</v>
      </c>
      <c r="X76" s="4">
        <f t="shared" si="42"/>
        <v>-0.26999999999999957</v>
      </c>
      <c r="Y76" s="4">
        <f t="shared" si="43"/>
        <v>-0.15000000000000213</v>
      </c>
      <c r="Z76" s="4">
        <f t="shared" si="44"/>
        <v>-8.0000000000001847E-2</v>
      </c>
      <c r="AA76" s="4">
        <f t="shared" si="45"/>
        <v>-8.0000000000001847E-2</v>
      </c>
      <c r="AB76" s="4">
        <f t="shared" si="46"/>
        <v>-0.40000000000000213</v>
      </c>
      <c r="AC76" s="4">
        <f t="shared" si="47"/>
        <v>2.7399999999999984</v>
      </c>
      <c r="AF76" s="4">
        <f t="shared" si="48"/>
        <v>24.401830985915495</v>
      </c>
      <c r="AG76" s="4">
        <f t="shared" si="49"/>
        <v>24.410563380281694</v>
      </c>
      <c r="AH76" s="4">
        <f t="shared" si="50"/>
        <v>24.431408450704229</v>
      </c>
      <c r="AI76" s="4">
        <f t="shared" si="51"/>
        <v>24.405633802816904</v>
      </c>
      <c r="AJ76" s="4">
        <f t="shared" si="52"/>
        <v>24.423802816901411</v>
      </c>
      <c r="AK76" s="4">
        <f t="shared" si="53"/>
        <v>24.448169014084506</v>
      </c>
      <c r="AL76" s="4">
        <f t="shared" si="54"/>
        <v>24.404788732394366</v>
      </c>
      <c r="AM76" s="4">
        <f t="shared" si="55"/>
        <v>24.470140845070425</v>
      </c>
      <c r="AN76" s="4">
        <f t="shared" si="56"/>
        <v>24.408732394366197</v>
      </c>
      <c r="AO76" s="4">
        <f t="shared" si="57"/>
        <v>24.591830985915493</v>
      </c>
      <c r="AQ76"/>
      <c r="AR76" s="4">
        <f t="shared" si="58"/>
        <v>-5.8169014084505477E-2</v>
      </c>
      <c r="AS76" s="4">
        <f t="shared" si="59"/>
        <v>-4.9436619718306929E-2</v>
      </c>
      <c r="AT76" s="4">
        <f t="shared" si="60"/>
        <v>-2.8591549295772012E-2</v>
      </c>
      <c r="AU76" s="4">
        <f t="shared" si="61"/>
        <v>-5.4366197183096432E-2</v>
      </c>
      <c r="AV76" s="4">
        <f t="shared" si="62"/>
        <v>-3.6197183098590102E-2</v>
      </c>
      <c r="AW76" s="4">
        <f t="shared" si="63"/>
        <v>-1.1830985915494807E-2</v>
      </c>
      <c r="AX76" s="4">
        <f t="shared" si="64"/>
        <v>-5.5211267605635328E-2</v>
      </c>
      <c r="AY76" s="4">
        <f t="shared" si="65"/>
        <v>1.014084507042412E-2</v>
      </c>
      <c r="AZ76" s="4">
        <f t="shared" si="66"/>
        <v>-5.1267605633803726E-2</v>
      </c>
      <c r="BA76" s="4">
        <f t="shared" si="67"/>
        <v>0.13183098591549225</v>
      </c>
    </row>
    <row r="77" spans="1:53" x14ac:dyDescent="0.25">
      <c r="AR77" s="4"/>
    </row>
    <row r="78" spans="1:53" x14ac:dyDescent="0.25">
      <c r="AR78" s="4"/>
    </row>
    <row r="79" spans="1:53" x14ac:dyDescent="0.25">
      <c r="AR79" s="4"/>
    </row>
    <row r="80" spans="1:53" x14ac:dyDescent="0.25">
      <c r="AR80" s="4"/>
    </row>
    <row r="81" spans="44:44" x14ac:dyDescent="0.25">
      <c r="AR81" s="4"/>
    </row>
    <row r="82" spans="44:44" x14ac:dyDescent="0.25">
      <c r="AR82" s="4"/>
    </row>
    <row r="83" spans="44:44" x14ac:dyDescent="0.25">
      <c r="AR83" s="4"/>
    </row>
    <row r="84" spans="44:44" x14ac:dyDescent="0.25">
      <c r="AR84" s="4"/>
    </row>
    <row r="85" spans="44:44" x14ac:dyDescent="0.25">
      <c r="AR85" s="4"/>
    </row>
    <row r="86" spans="44:44" x14ac:dyDescent="0.25">
      <c r="AR86" s="4"/>
    </row>
    <row r="87" spans="44:44" x14ac:dyDescent="0.25">
      <c r="AR87" s="4"/>
    </row>
    <row r="88" spans="44:44" x14ac:dyDescent="0.25">
      <c r="AR88" s="4"/>
    </row>
    <row r="89" spans="44:44" x14ac:dyDescent="0.25">
      <c r="AR89" s="4"/>
    </row>
    <row r="90" spans="44:44" x14ac:dyDescent="0.25">
      <c r="AR90" s="4"/>
    </row>
    <row r="91" spans="44:44" x14ac:dyDescent="0.25">
      <c r="AR91" s="4"/>
    </row>
    <row r="92" spans="44:44" x14ac:dyDescent="0.25">
      <c r="AR92" s="4"/>
    </row>
    <row r="93" spans="44:44" x14ac:dyDescent="0.25">
      <c r="AR93" s="4"/>
    </row>
    <row r="94" spans="44:44" x14ac:dyDescent="0.25">
      <c r="AR94" s="4"/>
    </row>
    <row r="95" spans="44:44" x14ac:dyDescent="0.25">
      <c r="AR95" s="4"/>
    </row>
    <row r="96" spans="44:44" x14ac:dyDescent="0.25">
      <c r="AR96" s="4"/>
    </row>
    <row r="97" spans="44:44" x14ac:dyDescent="0.25">
      <c r="AR97" s="4"/>
    </row>
    <row r="98" spans="44:44" x14ac:dyDescent="0.25">
      <c r="AR98" s="4"/>
    </row>
    <row r="99" spans="44:44" x14ac:dyDescent="0.25">
      <c r="AR99" s="4"/>
    </row>
    <row r="100" spans="44:44" x14ac:dyDescent="0.25">
      <c r="AR100" s="4"/>
    </row>
    <row r="101" spans="44:44" x14ac:dyDescent="0.25">
      <c r="AR101" s="4"/>
    </row>
    <row r="102" spans="44:44" x14ac:dyDescent="0.25">
      <c r="AR102" s="4"/>
    </row>
    <row r="103" spans="44:44" x14ac:dyDescent="0.25">
      <c r="AR103" s="4"/>
    </row>
    <row r="104" spans="44:44" x14ac:dyDescent="0.25">
      <c r="AR104" s="4"/>
    </row>
    <row r="105" spans="44:44" x14ac:dyDescent="0.25">
      <c r="AR105" s="4"/>
    </row>
    <row r="106" spans="44:44" x14ac:dyDescent="0.25">
      <c r="AR106" s="4"/>
    </row>
    <row r="107" spans="44:44" x14ac:dyDescent="0.25">
      <c r="AR107" s="4"/>
    </row>
    <row r="108" spans="44:44" x14ac:dyDescent="0.25">
      <c r="AR108" s="4"/>
    </row>
    <row r="109" spans="44:44" x14ac:dyDescent="0.25">
      <c r="AR109" s="4"/>
    </row>
    <row r="110" spans="44:44" x14ac:dyDescent="0.25">
      <c r="AR110" s="4"/>
    </row>
    <row r="111" spans="44:44" x14ac:dyDescent="0.25">
      <c r="AR111" s="4"/>
    </row>
    <row r="112" spans="44:44" x14ac:dyDescent="0.25">
      <c r="AR112" s="4"/>
    </row>
    <row r="113" spans="44:44" x14ac:dyDescent="0.25">
      <c r="AR113" s="4"/>
    </row>
    <row r="114" spans="44:44" x14ac:dyDescent="0.25">
      <c r="AR114" s="4"/>
    </row>
    <row r="115" spans="44:44" x14ac:dyDescent="0.25">
      <c r="AR115" s="4"/>
    </row>
    <row r="116" spans="44:44" x14ac:dyDescent="0.25">
      <c r="AR116" s="4"/>
    </row>
    <row r="117" spans="44:44" x14ac:dyDescent="0.25">
      <c r="AR117" s="4"/>
    </row>
    <row r="118" spans="44:44" x14ac:dyDescent="0.25">
      <c r="AR118" s="4"/>
    </row>
    <row r="119" spans="44:44" x14ac:dyDescent="0.25">
      <c r="AR119" s="4"/>
    </row>
    <row r="120" spans="44:44" x14ac:dyDescent="0.25">
      <c r="AR120" s="4"/>
    </row>
    <row r="121" spans="44:44" x14ac:dyDescent="0.25">
      <c r="AR121" s="4"/>
    </row>
    <row r="122" spans="44:44" x14ac:dyDescent="0.25">
      <c r="AR122" s="4"/>
    </row>
    <row r="123" spans="44:44" x14ac:dyDescent="0.25">
      <c r="AR123" s="4"/>
    </row>
    <row r="124" spans="44:44" x14ac:dyDescent="0.25">
      <c r="AR124" s="4"/>
    </row>
    <row r="125" spans="44:44" x14ac:dyDescent="0.25">
      <c r="AR125" s="4"/>
    </row>
    <row r="126" spans="44:44" x14ac:dyDescent="0.25">
      <c r="AR126" s="4"/>
    </row>
    <row r="127" spans="44:44" x14ac:dyDescent="0.25">
      <c r="AR127" s="4"/>
    </row>
    <row r="128" spans="44:44" x14ac:dyDescent="0.25">
      <c r="AR128" s="4"/>
    </row>
    <row r="129" spans="44:44" x14ac:dyDescent="0.25">
      <c r="AR129" s="4"/>
    </row>
    <row r="130" spans="44:44" x14ac:dyDescent="0.25">
      <c r="AR130" s="4"/>
    </row>
    <row r="131" spans="44:44" x14ac:dyDescent="0.25">
      <c r="AR131" s="4"/>
    </row>
    <row r="132" spans="44:44" x14ac:dyDescent="0.25">
      <c r="AR132" s="4"/>
    </row>
    <row r="133" spans="44:44" x14ac:dyDescent="0.25">
      <c r="AR133" s="4"/>
    </row>
    <row r="134" spans="44:44" x14ac:dyDescent="0.25">
      <c r="AR134" s="4"/>
    </row>
    <row r="135" spans="44:44" x14ac:dyDescent="0.25">
      <c r="AR135" s="4"/>
    </row>
    <row r="136" spans="44:44" x14ac:dyDescent="0.25">
      <c r="AR136" s="4"/>
    </row>
    <row r="137" spans="44:44" x14ac:dyDescent="0.25">
      <c r="AR137" s="4"/>
    </row>
    <row r="138" spans="44:44" x14ac:dyDescent="0.25">
      <c r="AR138" s="4"/>
    </row>
    <row r="139" spans="44:44" x14ac:dyDescent="0.25">
      <c r="AR139" s="4"/>
    </row>
    <row r="140" spans="44:44" x14ac:dyDescent="0.25">
      <c r="AR140" s="4"/>
    </row>
    <row r="141" spans="44:44" x14ac:dyDescent="0.25">
      <c r="AR141" s="4"/>
    </row>
    <row r="142" spans="44:44" x14ac:dyDescent="0.25">
      <c r="AR142" s="4"/>
    </row>
    <row r="143" spans="44:44" x14ac:dyDescent="0.25">
      <c r="AR143" s="4"/>
    </row>
    <row r="144" spans="44:44" x14ac:dyDescent="0.25">
      <c r="AR144" s="4"/>
    </row>
    <row r="145" spans="44:44" x14ac:dyDescent="0.25">
      <c r="AR145" s="4"/>
    </row>
    <row r="146" spans="44:44" x14ac:dyDescent="0.25">
      <c r="AR146" s="4"/>
    </row>
    <row r="147" spans="44:44" x14ac:dyDescent="0.25">
      <c r="AR147" s="4"/>
    </row>
    <row r="148" spans="44:44" x14ac:dyDescent="0.25">
      <c r="AR148" s="4"/>
    </row>
    <row r="149" spans="44:44" x14ac:dyDescent="0.25">
      <c r="AR149" s="4"/>
    </row>
    <row r="150" spans="44:44" x14ac:dyDescent="0.25">
      <c r="AR150" s="4"/>
    </row>
    <row r="151" spans="44:44" x14ac:dyDescent="0.25">
      <c r="AR151" s="4"/>
    </row>
    <row r="152" spans="44:44" x14ac:dyDescent="0.25">
      <c r="AR152" s="4"/>
    </row>
    <row r="153" spans="44:44" x14ac:dyDescent="0.25">
      <c r="AR153" s="4"/>
    </row>
    <row r="154" spans="44:44" x14ac:dyDescent="0.25">
      <c r="AR154" s="4"/>
    </row>
    <row r="155" spans="44:44" x14ac:dyDescent="0.25">
      <c r="AR155" s="4"/>
    </row>
    <row r="156" spans="44:44" x14ac:dyDescent="0.25">
      <c r="AR156" s="4"/>
    </row>
    <row r="157" spans="44:44" x14ac:dyDescent="0.25">
      <c r="AR157" s="4"/>
    </row>
    <row r="158" spans="44:44" x14ac:dyDescent="0.25">
      <c r="AR158" s="4"/>
    </row>
    <row r="159" spans="44:44" x14ac:dyDescent="0.25">
      <c r="AR159" s="4"/>
    </row>
    <row r="160" spans="44:44" x14ac:dyDescent="0.25">
      <c r="AR160" s="4"/>
    </row>
    <row r="161" spans="44:44" x14ac:dyDescent="0.25">
      <c r="AR161" s="4"/>
    </row>
    <row r="162" spans="44:44" x14ac:dyDescent="0.25">
      <c r="AR162" s="4"/>
    </row>
    <row r="163" spans="44:44" x14ac:dyDescent="0.25">
      <c r="AR163" s="4"/>
    </row>
    <row r="164" spans="44:44" x14ac:dyDescent="0.25">
      <c r="AR164" s="4"/>
    </row>
    <row r="165" spans="44:44" x14ac:dyDescent="0.25">
      <c r="AR165" s="4"/>
    </row>
    <row r="166" spans="44:44" x14ac:dyDescent="0.25">
      <c r="AR166" s="4"/>
    </row>
    <row r="167" spans="44:44" x14ac:dyDescent="0.25">
      <c r="AR167" s="4"/>
    </row>
    <row r="168" spans="44:44" x14ac:dyDescent="0.25">
      <c r="AR168" s="4"/>
    </row>
    <row r="169" spans="44:44" x14ac:dyDescent="0.25">
      <c r="AR169" s="4"/>
    </row>
    <row r="170" spans="44:44" x14ac:dyDescent="0.25">
      <c r="AR170" s="4"/>
    </row>
    <row r="171" spans="44:44" x14ac:dyDescent="0.25">
      <c r="AR171" s="4"/>
    </row>
    <row r="172" spans="44:44" x14ac:dyDescent="0.25">
      <c r="AR172" s="4"/>
    </row>
    <row r="173" spans="44:44" x14ac:dyDescent="0.25">
      <c r="AR173" s="4"/>
    </row>
    <row r="174" spans="44:44" x14ac:dyDescent="0.25">
      <c r="AR174" s="4"/>
    </row>
    <row r="175" spans="44:44" x14ac:dyDescent="0.25">
      <c r="AR175" s="4"/>
    </row>
    <row r="176" spans="44:44" x14ac:dyDescent="0.25">
      <c r="AR176" s="4"/>
    </row>
    <row r="177" spans="44:44" x14ac:dyDescent="0.25">
      <c r="AR177" s="4"/>
    </row>
    <row r="178" spans="44:44" x14ac:dyDescent="0.25">
      <c r="AR178" s="4"/>
    </row>
    <row r="179" spans="44:44" x14ac:dyDescent="0.25">
      <c r="AR179" s="4"/>
    </row>
    <row r="180" spans="44:44" x14ac:dyDescent="0.25">
      <c r="AR180" s="4"/>
    </row>
    <row r="181" spans="44:44" x14ac:dyDescent="0.25">
      <c r="AR181" s="4"/>
    </row>
    <row r="182" spans="44:44" x14ac:dyDescent="0.25">
      <c r="AR182" s="4"/>
    </row>
    <row r="183" spans="44:44" x14ac:dyDescent="0.25">
      <c r="AR183" s="4"/>
    </row>
    <row r="184" spans="44:44" x14ac:dyDescent="0.25">
      <c r="AR184" s="4"/>
    </row>
    <row r="185" spans="44:44" x14ac:dyDescent="0.25">
      <c r="AR185" s="4"/>
    </row>
    <row r="186" spans="44:44" x14ac:dyDescent="0.25">
      <c r="AR186" s="4"/>
    </row>
    <row r="187" spans="44:44" x14ac:dyDescent="0.25">
      <c r="AR187" s="4"/>
    </row>
    <row r="188" spans="44:44" x14ac:dyDescent="0.25">
      <c r="AR188" s="4"/>
    </row>
    <row r="189" spans="44:44" x14ac:dyDescent="0.25">
      <c r="AR189" s="4"/>
    </row>
    <row r="190" spans="44:44" x14ac:dyDescent="0.25">
      <c r="AR190" s="4"/>
    </row>
    <row r="191" spans="44:44" x14ac:dyDescent="0.25">
      <c r="AR191" s="4"/>
    </row>
    <row r="192" spans="44:44" x14ac:dyDescent="0.25">
      <c r="AR192" s="4"/>
    </row>
    <row r="193" spans="44:44" x14ac:dyDescent="0.25">
      <c r="AR193" s="4"/>
    </row>
    <row r="194" spans="44:44" x14ac:dyDescent="0.25">
      <c r="AR194" s="4"/>
    </row>
    <row r="195" spans="44:44" x14ac:dyDescent="0.25">
      <c r="AR195" s="4"/>
    </row>
    <row r="196" spans="44:44" x14ac:dyDescent="0.25">
      <c r="AR196" s="4"/>
    </row>
    <row r="197" spans="44:44" x14ac:dyDescent="0.25">
      <c r="AR197" s="4"/>
    </row>
    <row r="198" spans="44:44" x14ac:dyDescent="0.25">
      <c r="AR198" s="4"/>
    </row>
    <row r="199" spans="44:44" x14ac:dyDescent="0.25">
      <c r="AR199" s="4"/>
    </row>
    <row r="200" spans="44:44" x14ac:dyDescent="0.25">
      <c r="AR200" s="4"/>
    </row>
    <row r="201" spans="44:44" x14ac:dyDescent="0.25">
      <c r="AR201" s="4"/>
    </row>
    <row r="202" spans="44:44" x14ac:dyDescent="0.25">
      <c r="AR202" s="4"/>
    </row>
    <row r="203" spans="44:44" x14ac:dyDescent="0.25">
      <c r="AR203" s="4"/>
    </row>
    <row r="204" spans="44:44" x14ac:dyDescent="0.25">
      <c r="AR204" s="4"/>
    </row>
    <row r="205" spans="44:44" x14ac:dyDescent="0.25">
      <c r="AR205" s="4"/>
    </row>
  </sheetData>
  <mergeCells count="5">
    <mergeCell ref="B1:N1"/>
    <mergeCell ref="P1:Q1"/>
    <mergeCell ref="T1:AB1"/>
    <mergeCell ref="AF1:AN1"/>
    <mergeCell ref="AR1:AZ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5"/>
  <sheetViews>
    <sheetView workbookViewId="0">
      <selection activeCell="D5" sqref="D5"/>
    </sheetView>
  </sheetViews>
  <sheetFormatPr baseColWidth="10" defaultRowHeight="15.75" x14ac:dyDescent="0.25"/>
  <cols>
    <col min="2" max="19" width="9.125" customWidth="1"/>
  </cols>
  <sheetData>
    <row r="4" spans="2:12" x14ac:dyDescent="0.25">
      <c r="B4" s="27" t="s">
        <v>12</v>
      </c>
      <c r="C4" s="17" t="s">
        <v>44</v>
      </c>
      <c r="D4" s="17" t="s">
        <v>45</v>
      </c>
      <c r="E4" s="17"/>
      <c r="F4" s="17" t="s">
        <v>13</v>
      </c>
      <c r="G4" s="17" t="s">
        <v>44</v>
      </c>
      <c r="H4" s="17" t="s">
        <v>45</v>
      </c>
      <c r="I4" s="17"/>
      <c r="J4" s="17" t="s">
        <v>14</v>
      </c>
      <c r="K4" s="17" t="s">
        <v>44</v>
      </c>
      <c r="L4" s="17" t="s">
        <v>45</v>
      </c>
    </row>
    <row r="5" spans="2:12" x14ac:dyDescent="0.25">
      <c r="B5" s="25" t="s">
        <v>15</v>
      </c>
      <c r="C5" s="26">
        <f>'Relevés -20°C'!$R$3</f>
        <v>-7.7416666666666245E-2</v>
      </c>
      <c r="D5" s="26">
        <f>'Relevés -20°C'!$AN$4 *2</f>
        <v>8.8063092780066854E-2</v>
      </c>
      <c r="F5" s="25" t="s">
        <v>15</v>
      </c>
      <c r="G5" s="26">
        <f>'Relevés 5°C'!$R$3</f>
        <v>-0.10909999999999993</v>
      </c>
      <c r="H5" s="26">
        <f>'Relevés 5°C'!$AN$4 *2</f>
        <v>8.8857083509319867E-2</v>
      </c>
      <c r="J5" s="25" t="s">
        <v>15</v>
      </c>
      <c r="K5" s="26">
        <f>'Relevés 20°C'!$T$3</f>
        <v>-0.15183098591549513</v>
      </c>
      <c r="L5" s="26">
        <f>'Relevés 20°C'!$AR$4 *2</f>
        <v>8.8519761824875309E-2</v>
      </c>
    </row>
    <row r="6" spans="2:12" x14ac:dyDescent="0.25">
      <c r="B6" s="25" t="s">
        <v>16</v>
      </c>
      <c r="C6" s="26">
        <f>'Relevés -20°C'!$S$3</f>
        <v>-8.6833333333332902E-2</v>
      </c>
      <c r="D6" s="26">
        <f>'Relevés -20°C'!$AO$4 *2</f>
        <v>8.8030797651735201E-2</v>
      </c>
      <c r="F6" s="25" t="s">
        <v>16</v>
      </c>
      <c r="G6" s="26">
        <f>'Relevés 5°C'!$S$3</f>
        <v>-0.2370499999999999</v>
      </c>
      <c r="H6" s="26">
        <f>'Relevés 5°C'!$AO$4 *2</f>
        <v>8.9404594068403523E-2</v>
      </c>
      <c r="J6" s="25" t="s">
        <v>16</v>
      </c>
      <c r="K6" s="26">
        <f>'Relevés 20°C'!$U$3</f>
        <v>-0.22056338028169201</v>
      </c>
      <c r="L6" s="26">
        <f>'Relevés 20°C'!$AS$4 *2</f>
        <v>8.952471269766378E-2</v>
      </c>
    </row>
    <row r="7" spans="2:12" x14ac:dyDescent="0.25">
      <c r="B7" s="25" t="s">
        <v>17</v>
      </c>
      <c r="C7" s="26">
        <f>'Relevés -20°C'!$T$3</f>
        <v>2.0500000000000095E-2</v>
      </c>
      <c r="D7" s="26">
        <f>'Relevés -20°C'!$AP$4 *2</f>
        <v>8.8052390026368638E-2</v>
      </c>
      <c r="F7" s="25" t="s">
        <v>17</v>
      </c>
      <c r="G7" s="26">
        <f>'Relevés 5°C'!$T$3</f>
        <v>-8.9899999999999911E-2</v>
      </c>
      <c r="H7" s="26">
        <f>'Relevés 5°C'!$AP$4 *2</f>
        <v>8.8849143127583755E-2</v>
      </c>
      <c r="J7" s="25" t="s">
        <v>17</v>
      </c>
      <c r="K7" s="26">
        <f>'Relevés 20°C'!$V$3</f>
        <v>-0.24140845070422701</v>
      </c>
      <c r="L7" s="26">
        <f>'Relevés 20°C'!$AT$4 *2</f>
        <v>8.8424230604275414E-2</v>
      </c>
    </row>
    <row r="8" spans="2:12" x14ac:dyDescent="0.25">
      <c r="B8" s="25" t="s">
        <v>18</v>
      </c>
      <c r="C8" s="26">
        <f>'Relevés -20°C'!$U$3</f>
        <v>-2.3833333333333002E-2</v>
      </c>
      <c r="D8" s="26">
        <f>'Relevés -20°C'!$AQ$4 *2</f>
        <v>8.8022905993033709E-2</v>
      </c>
      <c r="F8" s="25" t="s">
        <v>18</v>
      </c>
      <c r="G8" s="26">
        <f>'Relevés 5°C'!$U$3</f>
        <v>-0.34359999999999979</v>
      </c>
      <c r="H8" s="26">
        <f>'Relevés 5°C'!$AQ$4 *2</f>
        <v>9.0781976291720426E-2</v>
      </c>
      <c r="J8" s="25" t="s">
        <v>18</v>
      </c>
      <c r="K8" s="26">
        <f>'Relevés 20°C'!$W$3</f>
        <v>-0.21563380281690339</v>
      </c>
      <c r="L8" s="26">
        <f>'Relevés 20°C'!$AU$4 *2</f>
        <v>8.8690911691476304E-2</v>
      </c>
    </row>
    <row r="9" spans="2:12" x14ac:dyDescent="0.25">
      <c r="B9" s="25" t="s">
        <v>19</v>
      </c>
      <c r="C9" s="26">
        <f>'Relevés -20°C'!$V$3</f>
        <v>-0.16258333333333325</v>
      </c>
      <c r="D9" s="26">
        <f>'Relevés -20°C'!$AR$4 *2</f>
        <v>8.8038278959163579E-2</v>
      </c>
      <c r="F9" s="25" t="s">
        <v>19</v>
      </c>
      <c r="G9" s="26">
        <f>'Relevés 5°C'!$V$3</f>
        <v>-0.38599999999999995</v>
      </c>
      <c r="H9" s="26">
        <f>'Relevés 5°C'!$AR$4 *2</f>
        <v>8.8320223577600401E-2</v>
      </c>
      <c r="J9" s="25" t="s">
        <v>19</v>
      </c>
      <c r="K9" s="26">
        <f>'Relevés 20°C'!$X$3</f>
        <v>-0.23380281690141028</v>
      </c>
      <c r="L9" s="26">
        <f>'Relevés 20°C'!$AV$4 *2</f>
        <v>8.8260308466031764E-2</v>
      </c>
    </row>
    <row r="10" spans="2:12" x14ac:dyDescent="0.25">
      <c r="B10" s="25" t="s">
        <v>20</v>
      </c>
      <c r="C10" s="26">
        <f>'Relevés -20°C'!$W$3</f>
        <v>-0.16816666666666666</v>
      </c>
      <c r="D10" s="26">
        <f>'Relevés -20°C'!$AS$4 *2</f>
        <v>8.8057204107016285E-2</v>
      </c>
      <c r="F10" s="25" t="s">
        <v>20</v>
      </c>
      <c r="G10" s="26">
        <f>'Relevés 5°C'!$W$3</f>
        <v>-0.36199999999999977</v>
      </c>
      <c r="H10" s="26">
        <f>'Relevés 5°C'!$AS$4 *2</f>
        <v>9.8049826238809007E-2</v>
      </c>
      <c r="J10" s="25" t="s">
        <v>20</v>
      </c>
      <c r="K10" s="26">
        <f>'Relevés 20°C'!$Y$3</f>
        <v>-0.13816901408450902</v>
      </c>
      <c r="L10" s="26">
        <f>'Relevés 20°C'!$AW$4 *2</f>
        <v>8.8458823897241343E-2</v>
      </c>
    </row>
    <row r="11" spans="2:12" x14ac:dyDescent="0.25">
      <c r="B11" s="25" t="s">
        <v>21</v>
      </c>
      <c r="C11" s="26">
        <f>'Relevés -20°C'!$X$3</f>
        <v>0.22208333333333369</v>
      </c>
      <c r="D11" s="26">
        <f>'Relevés -20°C'!$AT$4 *2</f>
        <v>8.8043814956006258E-2</v>
      </c>
      <c r="F11" s="25" t="s">
        <v>21</v>
      </c>
      <c r="G11" s="26">
        <f>'Relevés 5°C'!$X$3</f>
        <v>3.5550000000000123E-2</v>
      </c>
      <c r="H11" s="26">
        <f>'Relevés 5°C'!$AT$4 *2</f>
        <v>8.9907342215497663E-2</v>
      </c>
      <c r="J11" s="25" t="s">
        <v>21</v>
      </c>
      <c r="K11" s="26">
        <f>'Relevés 20°C'!$Z$3</f>
        <v>-2.4788732394367571E-2</v>
      </c>
      <c r="L11" s="26">
        <f>'Relevés 20°C'!$AX$4 *2</f>
        <v>8.8727317397579553E-2</v>
      </c>
    </row>
    <row r="12" spans="2:12" x14ac:dyDescent="0.25">
      <c r="B12" s="25" t="s">
        <v>22</v>
      </c>
      <c r="C12" s="26">
        <f>'Relevés -20°C'!$Y$3</f>
        <v>0.15500000000000042</v>
      </c>
      <c r="D12" s="26">
        <f>'Relevés -20°C'!$AU$4 *2</f>
        <v>8.8037166680254061E-2</v>
      </c>
      <c r="F12" s="25" t="s">
        <v>22</v>
      </c>
      <c r="G12" s="26">
        <f>'Relevés 5°C'!$Y$3</f>
        <v>-9.4799999999999898E-2</v>
      </c>
      <c r="H12" s="26">
        <f>'Relevés 5°C'!$AU$4 *2</f>
        <v>8.9186264256292863E-2</v>
      </c>
      <c r="J12" s="25" t="s">
        <v>22</v>
      </c>
      <c r="K12" s="26">
        <f>'Relevés 20°C'!$AA$3</f>
        <v>-9.0140845070424372E-2</v>
      </c>
      <c r="L12" s="26">
        <f>'Relevés 20°C'!$AY$4 *2</f>
        <v>8.8295980206518368E-2</v>
      </c>
    </row>
    <row r="13" spans="2:12" x14ac:dyDescent="0.25">
      <c r="B13" s="25" t="s">
        <v>23</v>
      </c>
      <c r="C13" s="26">
        <f>'Relevés -20°C'!$Z$3</f>
        <v>-0.31849999999999967</v>
      </c>
      <c r="D13" s="26">
        <f>'Relevés -20°C'!$AV$4 *2</f>
        <v>8.8045327484635727E-2</v>
      </c>
      <c r="F13" s="25" t="s">
        <v>23</v>
      </c>
      <c r="G13" s="26">
        <f>'Relevés 5°C'!$Z$3</f>
        <v>-0.6351500000000001</v>
      </c>
      <c r="H13" s="26">
        <f>'Relevés 5°C'!$AV$4 *2</f>
        <v>9.2933429101460116E-2</v>
      </c>
      <c r="J13" s="25" t="s">
        <v>23</v>
      </c>
      <c r="K13" s="26">
        <f>'Relevés 20°C'!$AB$3</f>
        <v>-0.34873239436619913</v>
      </c>
      <c r="L13" s="26">
        <f>'Relevés 20°C'!$AZ$4 *2</f>
        <v>8.8388392601865332E-2</v>
      </c>
    </row>
    <row r="15" spans="2:12" x14ac:dyDescent="0.25">
      <c r="J15" s="25" t="s">
        <v>47</v>
      </c>
      <c r="K15" s="26">
        <f>'Relevés 20°C'!$AC$3</f>
        <v>2.6081690140845057</v>
      </c>
      <c r="L15" s="26">
        <f>'Relevés 20°C'!$BA$4 *2</f>
        <v>0.58326834994918608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topLeftCell="A144" workbookViewId="0">
      <selection activeCell="D2" sqref="D2:D184"/>
    </sheetView>
  </sheetViews>
  <sheetFormatPr baseColWidth="10" defaultRowHeight="15.75" x14ac:dyDescent="0.25"/>
  <sheetData>
    <row r="1" spans="1:4" x14ac:dyDescent="0.25">
      <c r="A1" s="1">
        <v>43556</v>
      </c>
      <c r="B1" s="28">
        <v>0.47988425925925932</v>
      </c>
      <c r="C1" t="s">
        <v>48</v>
      </c>
      <c r="D1">
        <v>-19.77</v>
      </c>
    </row>
    <row r="2" spans="1:4" x14ac:dyDescent="0.25">
      <c r="A2" s="1">
        <v>43556</v>
      </c>
      <c r="B2" s="28">
        <v>0.4805787037037037</v>
      </c>
      <c r="C2" t="s">
        <v>48</v>
      </c>
      <c r="D2">
        <v>-20.05</v>
      </c>
    </row>
    <row r="3" spans="1:4" x14ac:dyDescent="0.25">
      <c r="A3" s="1">
        <v>43556</v>
      </c>
      <c r="B3" s="28">
        <v>0.4812731481481482</v>
      </c>
      <c r="C3" t="s">
        <v>48</v>
      </c>
      <c r="D3">
        <v>-20.309999999999999</v>
      </c>
    </row>
    <row r="4" spans="1:4" x14ac:dyDescent="0.25">
      <c r="A4" s="1">
        <v>43556</v>
      </c>
      <c r="B4" s="28">
        <v>0.48196759259259259</v>
      </c>
      <c r="C4" t="s">
        <v>48</v>
      </c>
      <c r="D4">
        <v>-20.52</v>
      </c>
    </row>
    <row r="5" spans="1:4" x14ac:dyDescent="0.25">
      <c r="A5" s="1">
        <v>43556</v>
      </c>
      <c r="B5" s="28">
        <v>0.48266203703703708</v>
      </c>
      <c r="C5" t="s">
        <v>48</v>
      </c>
      <c r="D5">
        <v>-20.78</v>
      </c>
    </row>
    <row r="6" spans="1:4" x14ac:dyDescent="0.25">
      <c r="A6" s="1">
        <v>43556</v>
      </c>
      <c r="B6" s="28">
        <v>0.48335648148148147</v>
      </c>
      <c r="C6" t="s">
        <v>48</v>
      </c>
      <c r="D6">
        <v>-20.97</v>
      </c>
    </row>
    <row r="7" spans="1:4" x14ac:dyDescent="0.25">
      <c r="A7" s="1">
        <v>43556</v>
      </c>
      <c r="B7" s="28">
        <v>0.48405092592592597</v>
      </c>
      <c r="C7" t="s">
        <v>48</v>
      </c>
      <c r="D7">
        <v>-21.18</v>
      </c>
    </row>
    <row r="8" spans="1:4" x14ac:dyDescent="0.25">
      <c r="A8" s="1">
        <v>43556</v>
      </c>
      <c r="B8" s="28">
        <v>0.48474537037037035</v>
      </c>
      <c r="C8" t="s">
        <v>48</v>
      </c>
      <c r="D8">
        <v>-21.38</v>
      </c>
    </row>
    <row r="9" spans="1:4" x14ac:dyDescent="0.25">
      <c r="A9" s="1">
        <v>43556</v>
      </c>
      <c r="B9" s="28">
        <v>0.48543981481481485</v>
      </c>
      <c r="C9" t="s">
        <v>48</v>
      </c>
      <c r="D9">
        <v>-21.55</v>
      </c>
    </row>
    <row r="10" spans="1:4" x14ac:dyDescent="0.25">
      <c r="A10" s="1">
        <v>43556</v>
      </c>
      <c r="B10" s="28">
        <v>0.48613425925925924</v>
      </c>
      <c r="C10" t="s">
        <v>48</v>
      </c>
      <c r="D10">
        <v>-21.72</v>
      </c>
    </row>
    <row r="11" spans="1:4" x14ac:dyDescent="0.25">
      <c r="A11" s="1">
        <v>43556</v>
      </c>
      <c r="B11" s="28">
        <v>0.48682870370370374</v>
      </c>
      <c r="C11" t="s">
        <v>48</v>
      </c>
      <c r="D11">
        <v>-21.88</v>
      </c>
    </row>
    <row r="12" spans="1:4" x14ac:dyDescent="0.25">
      <c r="A12" s="1">
        <v>43556</v>
      </c>
      <c r="B12" s="28">
        <v>0.48752314814814812</v>
      </c>
      <c r="C12" t="s">
        <v>48</v>
      </c>
      <c r="D12">
        <v>-22.09</v>
      </c>
    </row>
    <row r="13" spans="1:4" x14ac:dyDescent="0.25">
      <c r="A13" s="1">
        <v>43556</v>
      </c>
      <c r="B13" s="28">
        <v>0.48821759259259262</v>
      </c>
      <c r="C13" t="s">
        <v>48</v>
      </c>
      <c r="D13">
        <v>-22.23</v>
      </c>
    </row>
    <row r="14" spans="1:4" x14ac:dyDescent="0.25">
      <c r="A14" s="1">
        <v>43556</v>
      </c>
      <c r="B14" s="28">
        <v>0.48891203703703701</v>
      </c>
      <c r="C14" t="s">
        <v>48</v>
      </c>
      <c r="D14">
        <v>-22.38</v>
      </c>
    </row>
    <row r="15" spans="1:4" x14ac:dyDescent="0.25">
      <c r="A15" s="1">
        <v>43556</v>
      </c>
      <c r="B15" s="28">
        <v>0.4896064814814815</v>
      </c>
      <c r="C15" t="s">
        <v>48</v>
      </c>
      <c r="D15">
        <v>-22.53</v>
      </c>
    </row>
    <row r="16" spans="1:4" x14ac:dyDescent="0.25">
      <c r="A16" s="1">
        <v>43556</v>
      </c>
      <c r="B16" s="28">
        <v>0.49030092592592589</v>
      </c>
      <c r="C16" t="s">
        <v>48</v>
      </c>
      <c r="D16">
        <v>-22.65</v>
      </c>
    </row>
    <row r="17" spans="1:4" x14ac:dyDescent="0.25">
      <c r="A17" s="1">
        <v>43556</v>
      </c>
      <c r="B17" s="28">
        <v>0.49099537037037039</v>
      </c>
      <c r="C17" t="s">
        <v>48</v>
      </c>
      <c r="D17">
        <v>-22.77</v>
      </c>
    </row>
    <row r="18" spans="1:4" x14ac:dyDescent="0.25">
      <c r="A18" s="1">
        <v>43556</v>
      </c>
      <c r="B18" s="28">
        <v>0.49168981481481483</v>
      </c>
      <c r="C18" t="s">
        <v>48</v>
      </c>
      <c r="D18">
        <v>-22.91</v>
      </c>
    </row>
    <row r="19" spans="1:4" x14ac:dyDescent="0.25">
      <c r="A19" s="1">
        <v>43556</v>
      </c>
      <c r="B19" s="28">
        <v>0.49238425925925927</v>
      </c>
      <c r="C19" t="s">
        <v>48</v>
      </c>
      <c r="D19">
        <v>-23.05</v>
      </c>
    </row>
    <row r="20" spans="1:4" x14ac:dyDescent="0.25">
      <c r="A20" s="1">
        <v>43556</v>
      </c>
      <c r="B20" s="28">
        <v>0.49307870370370371</v>
      </c>
      <c r="C20" t="s">
        <v>48</v>
      </c>
      <c r="D20">
        <v>-23.17</v>
      </c>
    </row>
    <row r="21" spans="1:4" x14ac:dyDescent="0.25">
      <c r="A21" s="1">
        <v>43556</v>
      </c>
      <c r="B21" s="28">
        <v>0.49377314814814816</v>
      </c>
      <c r="C21" t="s">
        <v>48</v>
      </c>
      <c r="D21">
        <v>-23.3</v>
      </c>
    </row>
    <row r="22" spans="1:4" x14ac:dyDescent="0.25">
      <c r="A22" s="1">
        <v>43556</v>
      </c>
      <c r="B22" s="28">
        <v>0.4944675925925926</v>
      </c>
      <c r="C22" t="s">
        <v>48</v>
      </c>
      <c r="D22">
        <v>-23.41</v>
      </c>
    </row>
    <row r="23" spans="1:4" x14ac:dyDescent="0.25">
      <c r="A23" s="1">
        <v>43556</v>
      </c>
      <c r="B23" s="28">
        <v>0.49516203703703704</v>
      </c>
      <c r="C23" t="s">
        <v>48</v>
      </c>
      <c r="D23">
        <v>-23.56</v>
      </c>
    </row>
    <row r="24" spans="1:4" x14ac:dyDescent="0.25">
      <c r="A24" s="1">
        <v>43556</v>
      </c>
      <c r="B24" s="28">
        <v>0.49585648148148148</v>
      </c>
      <c r="C24" t="s">
        <v>48</v>
      </c>
      <c r="D24">
        <v>-23.69</v>
      </c>
    </row>
    <row r="25" spans="1:4" x14ac:dyDescent="0.25">
      <c r="A25" s="1">
        <v>43556</v>
      </c>
      <c r="B25" s="28">
        <v>0.49655092592592592</v>
      </c>
      <c r="C25" t="s">
        <v>48</v>
      </c>
      <c r="D25">
        <v>-23.82</v>
      </c>
    </row>
    <row r="26" spans="1:4" x14ac:dyDescent="0.25">
      <c r="A26" s="1">
        <v>43556</v>
      </c>
      <c r="B26" s="28">
        <v>0.49724537037037037</v>
      </c>
      <c r="C26" t="s">
        <v>48</v>
      </c>
      <c r="D26">
        <v>-23.93</v>
      </c>
    </row>
    <row r="27" spans="1:4" x14ac:dyDescent="0.25">
      <c r="A27" s="1">
        <v>43556</v>
      </c>
      <c r="B27" s="28">
        <v>0.49793981481481481</v>
      </c>
      <c r="C27" t="s">
        <v>48</v>
      </c>
      <c r="D27">
        <v>-24.04</v>
      </c>
    </row>
    <row r="28" spans="1:4" x14ac:dyDescent="0.25">
      <c r="A28" s="1">
        <v>43556</v>
      </c>
      <c r="B28" s="28">
        <v>0.49863425925925925</v>
      </c>
      <c r="C28" t="s">
        <v>48</v>
      </c>
      <c r="D28">
        <v>-24.15</v>
      </c>
    </row>
    <row r="29" spans="1:4" x14ac:dyDescent="0.25">
      <c r="A29" s="1">
        <v>43556</v>
      </c>
      <c r="B29" s="28">
        <v>0.49932870370370369</v>
      </c>
      <c r="C29" t="s">
        <v>48</v>
      </c>
      <c r="D29">
        <v>-24.28</v>
      </c>
    </row>
    <row r="30" spans="1:4" x14ac:dyDescent="0.25">
      <c r="A30" s="1">
        <v>43556</v>
      </c>
      <c r="B30" s="28">
        <v>0.50002314814814819</v>
      </c>
      <c r="C30" t="s">
        <v>48</v>
      </c>
      <c r="D30">
        <v>-24.4</v>
      </c>
    </row>
    <row r="31" spans="1:4" x14ac:dyDescent="0.25">
      <c r="A31" s="1">
        <v>43556</v>
      </c>
      <c r="B31" s="28">
        <v>0.50071759259259252</v>
      </c>
      <c r="C31" t="s">
        <v>48</v>
      </c>
      <c r="D31">
        <v>-24.5</v>
      </c>
    </row>
    <row r="32" spans="1:4" x14ac:dyDescent="0.25">
      <c r="A32" s="1">
        <v>43556</v>
      </c>
      <c r="B32" s="28">
        <v>0.50141203703703707</v>
      </c>
      <c r="C32" t="s">
        <v>48</v>
      </c>
      <c r="D32">
        <v>-24.64</v>
      </c>
    </row>
    <row r="33" spans="1:4" x14ac:dyDescent="0.25">
      <c r="A33" s="1">
        <v>43556</v>
      </c>
      <c r="B33" s="28">
        <v>0.50210648148148151</v>
      </c>
      <c r="C33" t="s">
        <v>48</v>
      </c>
      <c r="D33">
        <v>-24.75</v>
      </c>
    </row>
    <row r="34" spans="1:4" x14ac:dyDescent="0.25">
      <c r="A34" s="1">
        <v>43556</v>
      </c>
      <c r="B34" s="28">
        <v>0.50280092592592596</v>
      </c>
      <c r="C34" t="s">
        <v>48</v>
      </c>
      <c r="D34">
        <v>-24.87</v>
      </c>
    </row>
    <row r="35" spans="1:4" x14ac:dyDescent="0.25">
      <c r="A35" s="1">
        <v>43556</v>
      </c>
      <c r="B35" s="28">
        <v>0.5034953703703704</v>
      </c>
      <c r="C35" t="s">
        <v>48</v>
      </c>
      <c r="D35">
        <v>-24.98</v>
      </c>
    </row>
    <row r="36" spans="1:4" x14ac:dyDescent="0.25">
      <c r="A36" s="1">
        <v>43556</v>
      </c>
      <c r="B36" s="28">
        <v>0.50418981481481484</v>
      </c>
      <c r="C36" t="s">
        <v>48</v>
      </c>
      <c r="D36">
        <v>-25.13</v>
      </c>
    </row>
    <row r="37" spans="1:4" x14ac:dyDescent="0.25">
      <c r="A37" s="1">
        <v>43556</v>
      </c>
      <c r="B37" s="28">
        <v>0.50488425925925928</v>
      </c>
      <c r="C37" t="s">
        <v>48</v>
      </c>
      <c r="D37">
        <v>-25.23</v>
      </c>
    </row>
    <row r="38" spans="1:4" x14ac:dyDescent="0.25">
      <c r="A38" s="1">
        <v>43556</v>
      </c>
      <c r="B38" s="28">
        <v>0.50557870370370372</v>
      </c>
      <c r="C38" t="s">
        <v>48</v>
      </c>
      <c r="D38">
        <v>-25.34</v>
      </c>
    </row>
    <row r="39" spans="1:4" x14ac:dyDescent="0.25">
      <c r="A39" s="1">
        <v>43556</v>
      </c>
      <c r="B39" s="28">
        <v>0.50627314814814817</v>
      </c>
      <c r="C39" t="s">
        <v>48</v>
      </c>
      <c r="D39">
        <v>-25.45</v>
      </c>
    </row>
    <row r="40" spans="1:4" x14ac:dyDescent="0.25">
      <c r="A40" s="1">
        <v>43556</v>
      </c>
      <c r="B40" s="28">
        <v>0.50696759259259261</v>
      </c>
      <c r="C40" t="s">
        <v>48</v>
      </c>
      <c r="D40">
        <v>-25.57</v>
      </c>
    </row>
    <row r="41" spans="1:4" x14ac:dyDescent="0.25">
      <c r="A41" s="1">
        <v>43556</v>
      </c>
      <c r="B41" s="28">
        <v>0.50766203703703705</v>
      </c>
      <c r="C41" t="s">
        <v>48</v>
      </c>
      <c r="D41">
        <v>-25.69</v>
      </c>
    </row>
    <row r="42" spans="1:4" x14ac:dyDescent="0.25">
      <c r="A42" s="1">
        <v>43556</v>
      </c>
      <c r="B42" s="28">
        <v>0.50835648148148149</v>
      </c>
      <c r="C42" t="s">
        <v>48</v>
      </c>
      <c r="D42">
        <v>-25.8</v>
      </c>
    </row>
    <row r="43" spans="1:4" x14ac:dyDescent="0.25">
      <c r="A43" s="1">
        <v>43556</v>
      </c>
      <c r="B43" s="28">
        <v>0.50905092592592593</v>
      </c>
      <c r="C43" t="s">
        <v>48</v>
      </c>
      <c r="D43">
        <v>-25.89</v>
      </c>
    </row>
    <row r="44" spans="1:4" x14ac:dyDescent="0.25">
      <c r="A44" s="1">
        <v>43556</v>
      </c>
      <c r="B44" s="28">
        <v>0.50974537037037038</v>
      </c>
      <c r="C44" t="s">
        <v>48</v>
      </c>
      <c r="D44">
        <v>-26</v>
      </c>
    </row>
    <row r="45" spans="1:4" x14ac:dyDescent="0.25">
      <c r="A45" s="1">
        <v>43556</v>
      </c>
      <c r="B45" s="28">
        <v>0.51043981481481482</v>
      </c>
      <c r="C45" t="s">
        <v>48</v>
      </c>
      <c r="D45">
        <v>-26.1</v>
      </c>
    </row>
    <row r="46" spans="1:4" x14ac:dyDescent="0.25">
      <c r="A46" s="1">
        <v>43556</v>
      </c>
      <c r="B46" s="28">
        <v>0.51113425925925926</v>
      </c>
      <c r="C46" t="s">
        <v>48</v>
      </c>
      <c r="D46">
        <v>-26.19</v>
      </c>
    </row>
    <row r="47" spans="1:4" x14ac:dyDescent="0.25">
      <c r="A47" s="1">
        <v>43556</v>
      </c>
      <c r="B47" s="28">
        <v>0.5118287037037037</v>
      </c>
      <c r="C47" t="s">
        <v>48</v>
      </c>
      <c r="D47">
        <v>-26.28</v>
      </c>
    </row>
    <row r="48" spans="1:4" x14ac:dyDescent="0.25">
      <c r="A48" s="1">
        <v>43556</v>
      </c>
      <c r="B48" s="28">
        <v>0.51252314814814814</v>
      </c>
      <c r="C48" t="s">
        <v>48</v>
      </c>
      <c r="D48">
        <v>-26.32</v>
      </c>
    </row>
    <row r="49" spans="1:4" x14ac:dyDescent="0.25">
      <c r="A49" s="1">
        <v>43556</v>
      </c>
      <c r="B49" s="28">
        <v>0.51321759259259259</v>
      </c>
      <c r="C49" t="s">
        <v>48</v>
      </c>
      <c r="D49">
        <v>-26.31</v>
      </c>
    </row>
    <row r="50" spans="1:4" x14ac:dyDescent="0.25">
      <c r="A50" s="1">
        <v>43556</v>
      </c>
      <c r="B50" s="28">
        <v>0.51391203703703703</v>
      </c>
      <c r="C50" t="s">
        <v>48</v>
      </c>
      <c r="D50">
        <v>-26.29</v>
      </c>
    </row>
    <row r="51" spans="1:4" x14ac:dyDescent="0.25">
      <c r="A51" s="1">
        <v>43556</v>
      </c>
      <c r="B51" s="28">
        <v>0.51460648148148147</v>
      </c>
      <c r="C51" t="s">
        <v>48</v>
      </c>
      <c r="D51">
        <v>-26.22</v>
      </c>
    </row>
    <row r="52" spans="1:4" x14ac:dyDescent="0.25">
      <c r="A52" s="1">
        <v>43556</v>
      </c>
      <c r="B52" s="28">
        <v>0.51530092592592591</v>
      </c>
      <c r="C52" t="s">
        <v>48</v>
      </c>
      <c r="D52">
        <v>-26.16</v>
      </c>
    </row>
    <row r="53" spans="1:4" x14ac:dyDescent="0.25">
      <c r="A53" s="1">
        <v>43556</v>
      </c>
      <c r="B53" s="28">
        <v>0.51599537037037035</v>
      </c>
      <c r="C53" t="s">
        <v>48</v>
      </c>
      <c r="D53">
        <v>-26.08</v>
      </c>
    </row>
    <row r="54" spans="1:4" x14ac:dyDescent="0.25">
      <c r="A54" s="1">
        <v>43556</v>
      </c>
      <c r="B54" s="28">
        <v>0.51612268518518511</v>
      </c>
      <c r="C54" t="s">
        <v>48</v>
      </c>
      <c r="D54">
        <v>-26.08</v>
      </c>
    </row>
    <row r="55" spans="1:4" x14ac:dyDescent="0.25">
      <c r="A55" s="1">
        <v>43556</v>
      </c>
      <c r="B55" s="28">
        <v>0.51681712962962967</v>
      </c>
      <c r="C55" t="s">
        <v>48</v>
      </c>
      <c r="D55">
        <v>-26</v>
      </c>
    </row>
    <row r="56" spans="1:4" x14ac:dyDescent="0.25">
      <c r="A56" s="1">
        <v>43556</v>
      </c>
      <c r="B56" s="28">
        <v>0.517511574074074</v>
      </c>
      <c r="C56" t="s">
        <v>48</v>
      </c>
      <c r="D56">
        <v>-25.9</v>
      </c>
    </row>
    <row r="57" spans="1:4" x14ac:dyDescent="0.25">
      <c r="A57" s="1">
        <v>43556</v>
      </c>
      <c r="B57" s="28">
        <v>0.51820601851851855</v>
      </c>
      <c r="C57" t="s">
        <v>48</v>
      </c>
      <c r="D57">
        <v>-25.82</v>
      </c>
    </row>
    <row r="58" spans="1:4" x14ac:dyDescent="0.25">
      <c r="A58" s="1">
        <v>43556</v>
      </c>
      <c r="B58" s="28">
        <v>0.51890046296296299</v>
      </c>
      <c r="C58" t="s">
        <v>48</v>
      </c>
      <c r="D58">
        <v>-25.75</v>
      </c>
    </row>
    <row r="59" spans="1:4" x14ac:dyDescent="0.25">
      <c r="A59" s="1">
        <v>43556</v>
      </c>
      <c r="B59" s="28">
        <v>0.51959490740740744</v>
      </c>
      <c r="C59" t="s">
        <v>48</v>
      </c>
      <c r="D59">
        <v>-25.66</v>
      </c>
    </row>
    <row r="60" spans="1:4" x14ac:dyDescent="0.25">
      <c r="A60" s="1">
        <v>43556</v>
      </c>
      <c r="B60" s="28">
        <v>0.52028935185185188</v>
      </c>
      <c r="C60" t="s">
        <v>48</v>
      </c>
      <c r="D60">
        <v>-25.58</v>
      </c>
    </row>
    <row r="61" spans="1:4" x14ac:dyDescent="0.25">
      <c r="A61" s="1">
        <v>43556</v>
      </c>
      <c r="B61" s="28">
        <v>0.52098379629629632</v>
      </c>
      <c r="C61" t="s">
        <v>48</v>
      </c>
      <c r="D61">
        <v>-25.49</v>
      </c>
    </row>
    <row r="62" spans="1:4" x14ac:dyDescent="0.25">
      <c r="A62" s="1">
        <v>43556</v>
      </c>
      <c r="B62" s="28">
        <v>0.52167824074074076</v>
      </c>
      <c r="C62" t="s">
        <v>48</v>
      </c>
      <c r="D62">
        <v>-25.41</v>
      </c>
    </row>
    <row r="63" spans="1:4" x14ac:dyDescent="0.25">
      <c r="A63" s="1">
        <v>43556</v>
      </c>
      <c r="B63" s="28">
        <v>0.5223726851851852</v>
      </c>
      <c r="C63" t="s">
        <v>48</v>
      </c>
      <c r="D63">
        <v>-25.34</v>
      </c>
    </row>
    <row r="64" spans="1:4" x14ac:dyDescent="0.25">
      <c r="A64" s="1">
        <v>43556</v>
      </c>
      <c r="B64" s="28">
        <v>0.52306712962962965</v>
      </c>
      <c r="C64" t="s">
        <v>48</v>
      </c>
      <c r="D64">
        <v>-25.24</v>
      </c>
    </row>
    <row r="65" spans="1:4" x14ac:dyDescent="0.25">
      <c r="A65" s="1">
        <v>43556</v>
      </c>
      <c r="B65" s="28">
        <v>0.52376157407407409</v>
      </c>
      <c r="C65" t="s">
        <v>48</v>
      </c>
      <c r="D65">
        <v>-25.16</v>
      </c>
    </row>
    <row r="66" spans="1:4" x14ac:dyDescent="0.25">
      <c r="A66" s="1">
        <v>43556</v>
      </c>
      <c r="B66" s="28">
        <v>0.52445601851851853</v>
      </c>
      <c r="C66" t="s">
        <v>48</v>
      </c>
      <c r="D66">
        <v>-25.08</v>
      </c>
    </row>
    <row r="67" spans="1:4" x14ac:dyDescent="0.25">
      <c r="A67" s="1">
        <v>43556</v>
      </c>
      <c r="B67" s="28">
        <v>0.52515046296296297</v>
      </c>
      <c r="C67" t="s">
        <v>48</v>
      </c>
      <c r="D67">
        <v>-24.98</v>
      </c>
    </row>
    <row r="68" spans="1:4" x14ac:dyDescent="0.25">
      <c r="A68" s="1">
        <v>43556</v>
      </c>
      <c r="B68" s="28">
        <v>0.52584490740740741</v>
      </c>
      <c r="C68" t="s">
        <v>48</v>
      </c>
      <c r="D68">
        <v>-24.91</v>
      </c>
    </row>
    <row r="69" spans="1:4" x14ac:dyDescent="0.25">
      <c r="A69" s="1">
        <v>43556</v>
      </c>
      <c r="B69" s="28">
        <v>0.52653935185185186</v>
      </c>
      <c r="C69" t="s">
        <v>48</v>
      </c>
      <c r="D69">
        <v>-24.82</v>
      </c>
    </row>
    <row r="70" spans="1:4" x14ac:dyDescent="0.25">
      <c r="A70" s="1">
        <v>43556</v>
      </c>
      <c r="B70" s="28">
        <v>0.5272337962962963</v>
      </c>
      <c r="C70" t="s">
        <v>48</v>
      </c>
      <c r="D70">
        <v>-24.72</v>
      </c>
    </row>
    <row r="71" spans="1:4" x14ac:dyDescent="0.25">
      <c r="A71" s="1">
        <v>43556</v>
      </c>
      <c r="B71" s="28">
        <v>0.52792824074074074</v>
      </c>
      <c r="C71" t="s">
        <v>48</v>
      </c>
      <c r="D71">
        <v>-24.64</v>
      </c>
    </row>
    <row r="72" spans="1:4" x14ac:dyDescent="0.25">
      <c r="A72" s="1">
        <v>43556</v>
      </c>
      <c r="B72" s="28">
        <v>0.52862268518518518</v>
      </c>
      <c r="C72" t="s">
        <v>48</v>
      </c>
      <c r="D72">
        <v>-24.55</v>
      </c>
    </row>
    <row r="73" spans="1:4" x14ac:dyDescent="0.25">
      <c r="A73" s="1">
        <v>43556</v>
      </c>
      <c r="B73" s="28">
        <v>0.52931712962962962</v>
      </c>
      <c r="C73" t="s">
        <v>48</v>
      </c>
      <c r="D73">
        <v>-24.46</v>
      </c>
    </row>
    <row r="74" spans="1:4" x14ac:dyDescent="0.25">
      <c r="A74" s="1">
        <v>43556</v>
      </c>
      <c r="B74" s="28">
        <v>0.53001157407407407</v>
      </c>
      <c r="C74" t="s">
        <v>48</v>
      </c>
      <c r="D74">
        <v>-24.37</v>
      </c>
    </row>
    <row r="75" spans="1:4" x14ac:dyDescent="0.25">
      <c r="A75" s="1">
        <v>43556</v>
      </c>
      <c r="B75" s="28">
        <v>0.53070601851851851</v>
      </c>
      <c r="C75" t="s">
        <v>48</v>
      </c>
      <c r="D75">
        <v>-24.28</v>
      </c>
    </row>
    <row r="76" spans="1:4" x14ac:dyDescent="0.25">
      <c r="A76" s="1">
        <v>43556</v>
      </c>
      <c r="B76" s="28">
        <v>0.53140046296296295</v>
      </c>
      <c r="C76" t="s">
        <v>48</v>
      </c>
      <c r="D76">
        <v>-24.18</v>
      </c>
    </row>
    <row r="77" spans="1:4" x14ac:dyDescent="0.25">
      <c r="A77" s="1">
        <v>43556</v>
      </c>
      <c r="B77" s="28">
        <v>0.53209490740740739</v>
      </c>
      <c r="C77" t="s">
        <v>48</v>
      </c>
      <c r="D77">
        <v>-24.09</v>
      </c>
    </row>
    <row r="78" spans="1:4" x14ac:dyDescent="0.25">
      <c r="A78" s="1">
        <v>43556</v>
      </c>
      <c r="B78" s="28">
        <v>0.53278935185185183</v>
      </c>
      <c r="C78" t="s">
        <v>48</v>
      </c>
      <c r="D78">
        <v>-23.99</v>
      </c>
    </row>
    <row r="79" spans="1:4" x14ac:dyDescent="0.25">
      <c r="A79" s="1">
        <v>43556</v>
      </c>
      <c r="B79" s="28">
        <v>0.53348379629629628</v>
      </c>
      <c r="C79" t="s">
        <v>48</v>
      </c>
      <c r="D79">
        <v>-23.9</v>
      </c>
    </row>
    <row r="80" spans="1:4" x14ac:dyDescent="0.25">
      <c r="A80" s="1">
        <v>43556</v>
      </c>
      <c r="B80" s="28">
        <v>0.53417824074074072</v>
      </c>
      <c r="C80" t="s">
        <v>48</v>
      </c>
      <c r="D80">
        <v>-23.8</v>
      </c>
    </row>
    <row r="81" spans="1:4" x14ac:dyDescent="0.25">
      <c r="A81" s="1">
        <v>43556</v>
      </c>
      <c r="B81" s="28">
        <v>0.53487268518518516</v>
      </c>
      <c r="C81" t="s">
        <v>48</v>
      </c>
      <c r="D81">
        <v>-23.7</v>
      </c>
    </row>
    <row r="82" spans="1:4" x14ac:dyDescent="0.25">
      <c r="A82" s="1">
        <v>43556</v>
      </c>
      <c r="B82" s="28">
        <v>0.5355671296296296</v>
      </c>
      <c r="C82" t="s">
        <v>48</v>
      </c>
      <c r="D82">
        <v>-23.61</v>
      </c>
    </row>
    <row r="83" spans="1:4" x14ac:dyDescent="0.25">
      <c r="A83" s="1">
        <v>43556</v>
      </c>
      <c r="B83" s="28">
        <v>0.53626157407407404</v>
      </c>
      <c r="C83" t="s">
        <v>48</v>
      </c>
      <c r="D83">
        <v>-23.5</v>
      </c>
    </row>
    <row r="84" spans="1:4" x14ac:dyDescent="0.25">
      <c r="A84" s="1">
        <v>43556</v>
      </c>
      <c r="B84" s="28">
        <v>0.53695601851851849</v>
      </c>
      <c r="C84" t="s">
        <v>48</v>
      </c>
      <c r="D84">
        <v>-23.41</v>
      </c>
    </row>
    <row r="85" spans="1:4" x14ac:dyDescent="0.25">
      <c r="A85" s="1">
        <v>43556</v>
      </c>
      <c r="B85" s="28">
        <v>0.53765046296296293</v>
      </c>
      <c r="C85" t="s">
        <v>48</v>
      </c>
      <c r="D85">
        <v>-23.32</v>
      </c>
    </row>
    <row r="86" spans="1:4" x14ac:dyDescent="0.25">
      <c r="A86" s="1">
        <v>43556</v>
      </c>
      <c r="B86" s="28">
        <v>0.53834490740740748</v>
      </c>
      <c r="C86" t="s">
        <v>48</v>
      </c>
      <c r="D86">
        <v>-23.23</v>
      </c>
    </row>
    <row r="87" spans="1:4" x14ac:dyDescent="0.25">
      <c r="A87" s="1">
        <v>43556</v>
      </c>
      <c r="B87" s="28">
        <v>0.53903935185185181</v>
      </c>
      <c r="C87" t="s">
        <v>48</v>
      </c>
      <c r="D87">
        <v>-23.13</v>
      </c>
    </row>
    <row r="88" spans="1:4" x14ac:dyDescent="0.25">
      <c r="A88" s="1">
        <v>43556</v>
      </c>
      <c r="B88" s="28">
        <v>0.53973379629629636</v>
      </c>
      <c r="C88" t="s">
        <v>48</v>
      </c>
      <c r="D88">
        <v>-23.03</v>
      </c>
    </row>
    <row r="89" spans="1:4" x14ac:dyDescent="0.25">
      <c r="A89" s="1">
        <v>43556</v>
      </c>
      <c r="B89" s="28">
        <v>0.5404282407407407</v>
      </c>
      <c r="C89" t="s">
        <v>48</v>
      </c>
      <c r="D89">
        <v>-22.94</v>
      </c>
    </row>
    <row r="90" spans="1:4" x14ac:dyDescent="0.25">
      <c r="A90" s="1">
        <v>43556</v>
      </c>
      <c r="B90" s="28">
        <v>0.54112268518518525</v>
      </c>
      <c r="C90" t="s">
        <v>48</v>
      </c>
      <c r="D90">
        <v>-22.84</v>
      </c>
    </row>
    <row r="91" spans="1:4" x14ac:dyDescent="0.25">
      <c r="A91" s="1">
        <v>43556</v>
      </c>
      <c r="B91" s="28">
        <v>0.54181712962962958</v>
      </c>
      <c r="C91" t="s">
        <v>48</v>
      </c>
      <c r="D91">
        <v>-22.75</v>
      </c>
    </row>
    <row r="92" spans="1:4" x14ac:dyDescent="0.25">
      <c r="A92" s="1">
        <v>43556</v>
      </c>
      <c r="B92" s="28">
        <v>0.54251157407407413</v>
      </c>
      <c r="C92" t="s">
        <v>48</v>
      </c>
      <c r="D92">
        <v>-22.66</v>
      </c>
    </row>
    <row r="93" spans="1:4" x14ac:dyDescent="0.25">
      <c r="A93" s="1">
        <v>43556</v>
      </c>
      <c r="B93" s="28">
        <v>0.54320601851851846</v>
      </c>
      <c r="C93" t="s">
        <v>48</v>
      </c>
      <c r="D93">
        <v>-22.57</v>
      </c>
    </row>
    <row r="94" spans="1:4" x14ac:dyDescent="0.25">
      <c r="A94" s="1">
        <v>43556</v>
      </c>
      <c r="B94" s="28">
        <v>0.54390046296296302</v>
      </c>
      <c r="C94" t="s">
        <v>48</v>
      </c>
      <c r="D94">
        <v>-22.48</v>
      </c>
    </row>
    <row r="95" spans="1:4" x14ac:dyDescent="0.25">
      <c r="A95" s="1">
        <v>43556</v>
      </c>
      <c r="B95" s="28">
        <v>0.54459490740740735</v>
      </c>
      <c r="C95" t="s">
        <v>48</v>
      </c>
      <c r="D95">
        <v>-22.41</v>
      </c>
    </row>
    <row r="96" spans="1:4" x14ac:dyDescent="0.25">
      <c r="A96" s="1">
        <v>43556</v>
      </c>
      <c r="B96" s="28">
        <v>0.5452893518518519</v>
      </c>
      <c r="C96" t="s">
        <v>48</v>
      </c>
      <c r="D96">
        <v>-22.3</v>
      </c>
    </row>
    <row r="97" spans="1:4" x14ac:dyDescent="0.25">
      <c r="A97" s="1">
        <v>43556</v>
      </c>
      <c r="B97" s="28">
        <v>0.54598379629629623</v>
      </c>
      <c r="C97" t="s">
        <v>48</v>
      </c>
      <c r="D97">
        <v>-22.22</v>
      </c>
    </row>
    <row r="98" spans="1:4" x14ac:dyDescent="0.25">
      <c r="A98" s="1">
        <v>43556</v>
      </c>
      <c r="B98" s="28">
        <v>0.54667824074074078</v>
      </c>
      <c r="C98" t="s">
        <v>48</v>
      </c>
      <c r="D98">
        <v>-22.13</v>
      </c>
    </row>
    <row r="99" spans="1:4" x14ac:dyDescent="0.25">
      <c r="A99" s="1">
        <v>43556</v>
      </c>
      <c r="B99" s="28">
        <v>0.54737268518518511</v>
      </c>
      <c r="C99" t="s">
        <v>48</v>
      </c>
      <c r="D99">
        <v>-22.03</v>
      </c>
    </row>
    <row r="100" spans="1:4" x14ac:dyDescent="0.25">
      <c r="A100" s="1">
        <v>43556</v>
      </c>
      <c r="B100" s="28">
        <v>0.54806712962962967</v>
      </c>
      <c r="C100" t="s">
        <v>48</v>
      </c>
      <c r="D100">
        <v>-21.95</v>
      </c>
    </row>
    <row r="101" spans="1:4" x14ac:dyDescent="0.25">
      <c r="A101" s="1">
        <v>43556</v>
      </c>
      <c r="B101" s="28">
        <v>0.54876157407407411</v>
      </c>
      <c r="C101" t="s">
        <v>48</v>
      </c>
      <c r="D101">
        <v>-21.86</v>
      </c>
    </row>
    <row r="102" spans="1:4" x14ac:dyDescent="0.25">
      <c r="A102" s="1">
        <v>43556</v>
      </c>
      <c r="B102" s="28">
        <v>0.54945601851851855</v>
      </c>
      <c r="C102" t="s">
        <v>48</v>
      </c>
      <c r="D102">
        <v>-21.77</v>
      </c>
    </row>
    <row r="103" spans="1:4" x14ac:dyDescent="0.25">
      <c r="A103" s="1">
        <v>43556</v>
      </c>
      <c r="B103" s="28">
        <v>0.55015046296296299</v>
      </c>
      <c r="C103" t="s">
        <v>48</v>
      </c>
      <c r="D103">
        <v>-21.68</v>
      </c>
    </row>
    <row r="104" spans="1:4" x14ac:dyDescent="0.25">
      <c r="A104" s="1">
        <v>43556</v>
      </c>
      <c r="B104" s="28">
        <v>0.55084490740740744</v>
      </c>
      <c r="C104" t="s">
        <v>48</v>
      </c>
      <c r="D104">
        <v>-21.59</v>
      </c>
    </row>
    <row r="105" spans="1:4" x14ac:dyDescent="0.25">
      <c r="A105" s="1">
        <v>43556</v>
      </c>
      <c r="B105" s="28">
        <v>0.55153935185185188</v>
      </c>
      <c r="C105" t="s">
        <v>48</v>
      </c>
      <c r="D105">
        <v>-21.5</v>
      </c>
    </row>
    <row r="106" spans="1:4" x14ac:dyDescent="0.25">
      <c r="A106" s="1">
        <v>43556</v>
      </c>
      <c r="B106" s="28">
        <v>0.55223379629629632</v>
      </c>
      <c r="C106" t="s">
        <v>48</v>
      </c>
      <c r="D106">
        <v>-21.41</v>
      </c>
    </row>
    <row r="107" spans="1:4" x14ac:dyDescent="0.25">
      <c r="A107" s="1">
        <v>43556</v>
      </c>
      <c r="B107" s="28">
        <v>0.55292824074074076</v>
      </c>
      <c r="C107" t="s">
        <v>48</v>
      </c>
      <c r="D107">
        <v>-21.31</v>
      </c>
    </row>
    <row r="108" spans="1:4" x14ac:dyDescent="0.25">
      <c r="A108" s="1">
        <v>43556</v>
      </c>
      <c r="B108" s="28">
        <v>0.5536226851851852</v>
      </c>
      <c r="C108" t="s">
        <v>48</v>
      </c>
      <c r="D108">
        <v>-21.22</v>
      </c>
    </row>
    <row r="109" spans="1:4" x14ac:dyDescent="0.25">
      <c r="A109" s="1">
        <v>43556</v>
      </c>
      <c r="B109" s="28">
        <v>0.55431712962962965</v>
      </c>
      <c r="C109" t="s">
        <v>48</v>
      </c>
      <c r="D109">
        <v>-21.12</v>
      </c>
    </row>
    <row r="110" spans="1:4" x14ac:dyDescent="0.25">
      <c r="A110" s="1">
        <v>43556</v>
      </c>
      <c r="B110" s="28">
        <v>0.55501157407407409</v>
      </c>
      <c r="C110" t="s">
        <v>48</v>
      </c>
      <c r="D110">
        <v>-21.03</v>
      </c>
    </row>
    <row r="111" spans="1:4" x14ac:dyDescent="0.25">
      <c r="A111" s="1">
        <v>43556</v>
      </c>
      <c r="B111" s="28">
        <v>0.55570601851851853</v>
      </c>
      <c r="C111" t="s">
        <v>48</v>
      </c>
      <c r="D111">
        <v>-20.93</v>
      </c>
    </row>
    <row r="112" spans="1:4" x14ac:dyDescent="0.25">
      <c r="A112" s="1">
        <v>43556</v>
      </c>
      <c r="B112" s="28">
        <v>0.55640046296296297</v>
      </c>
      <c r="C112" t="s">
        <v>48</v>
      </c>
      <c r="D112">
        <v>-20.84</v>
      </c>
    </row>
    <row r="113" spans="1:4" x14ac:dyDescent="0.25">
      <c r="A113" s="1">
        <v>43556</v>
      </c>
      <c r="B113" s="28">
        <v>0.55709490740740741</v>
      </c>
      <c r="C113" t="s">
        <v>48</v>
      </c>
      <c r="D113">
        <v>-20.74</v>
      </c>
    </row>
    <row r="114" spans="1:4" x14ac:dyDescent="0.25">
      <c r="A114" s="1">
        <v>43556</v>
      </c>
      <c r="B114" s="28">
        <v>0.55778935185185186</v>
      </c>
      <c r="C114" t="s">
        <v>48</v>
      </c>
      <c r="D114">
        <v>-20.65</v>
      </c>
    </row>
    <row r="115" spans="1:4" x14ac:dyDescent="0.25">
      <c r="A115" s="1">
        <v>43556</v>
      </c>
      <c r="B115" s="28">
        <v>0.5584837962962963</v>
      </c>
      <c r="C115" t="s">
        <v>48</v>
      </c>
      <c r="D115">
        <v>-20.56</v>
      </c>
    </row>
    <row r="116" spans="1:4" x14ac:dyDescent="0.25">
      <c r="A116" s="1">
        <v>43556</v>
      </c>
      <c r="B116" s="28">
        <v>0.55917824074074074</v>
      </c>
      <c r="C116" t="s">
        <v>48</v>
      </c>
      <c r="D116">
        <v>-20.49</v>
      </c>
    </row>
    <row r="117" spans="1:4" x14ac:dyDescent="0.25">
      <c r="A117" s="1">
        <v>43556</v>
      </c>
      <c r="B117" s="28">
        <v>0.55987268518518518</v>
      </c>
      <c r="C117" t="s">
        <v>48</v>
      </c>
      <c r="D117">
        <v>-20.39</v>
      </c>
    </row>
    <row r="118" spans="1:4" x14ac:dyDescent="0.25">
      <c r="A118" s="1">
        <v>43556</v>
      </c>
      <c r="B118" s="28">
        <v>0.56056712962962962</v>
      </c>
      <c r="C118" t="s">
        <v>48</v>
      </c>
      <c r="D118">
        <v>-20.3</v>
      </c>
    </row>
    <row r="119" spans="1:4" x14ac:dyDescent="0.25">
      <c r="A119" s="1">
        <v>43556</v>
      </c>
      <c r="B119" s="28">
        <v>0.56126157407407407</v>
      </c>
      <c r="C119" t="s">
        <v>48</v>
      </c>
      <c r="D119">
        <v>-20.21</v>
      </c>
    </row>
    <row r="120" spans="1:4" x14ac:dyDescent="0.25">
      <c r="A120" s="1">
        <v>43556</v>
      </c>
      <c r="B120" s="28">
        <v>0.56195601851851851</v>
      </c>
      <c r="C120" t="s">
        <v>48</v>
      </c>
      <c r="D120">
        <v>-20.14</v>
      </c>
    </row>
    <row r="121" spans="1:4" x14ac:dyDescent="0.25">
      <c r="A121" s="1">
        <v>43556</v>
      </c>
      <c r="B121" s="28">
        <v>0.56265046296296295</v>
      </c>
      <c r="C121" t="s">
        <v>48</v>
      </c>
      <c r="D121">
        <v>-20.04</v>
      </c>
    </row>
    <row r="122" spans="1:4" x14ac:dyDescent="0.25">
      <c r="A122" s="1">
        <v>43556</v>
      </c>
      <c r="B122" s="28">
        <v>0.56334490740740739</v>
      </c>
      <c r="C122" t="s">
        <v>48</v>
      </c>
      <c r="D122">
        <v>-19.96</v>
      </c>
    </row>
    <row r="123" spans="1:4" x14ac:dyDescent="0.25">
      <c r="A123" s="1">
        <v>43556</v>
      </c>
      <c r="B123" s="28">
        <v>0.56403935185185183</v>
      </c>
      <c r="C123" t="s">
        <v>48</v>
      </c>
      <c r="D123">
        <v>-19.89</v>
      </c>
    </row>
    <row r="124" spans="1:4" x14ac:dyDescent="0.25">
      <c r="A124" s="1">
        <v>43556</v>
      </c>
      <c r="B124" s="28">
        <v>0.56473379629629628</v>
      </c>
      <c r="C124" t="s">
        <v>48</v>
      </c>
      <c r="D124">
        <v>-19.8</v>
      </c>
    </row>
    <row r="125" spans="1:4" x14ac:dyDescent="0.25">
      <c r="A125" s="1">
        <v>43556</v>
      </c>
      <c r="B125" s="28">
        <v>0.56542824074074072</v>
      </c>
      <c r="C125" t="s">
        <v>48</v>
      </c>
      <c r="D125">
        <v>-19.73</v>
      </c>
    </row>
    <row r="126" spans="1:4" x14ac:dyDescent="0.25">
      <c r="A126" s="1">
        <v>43556</v>
      </c>
      <c r="B126" s="28">
        <v>0.56612268518518516</v>
      </c>
      <c r="C126" t="s">
        <v>48</v>
      </c>
      <c r="D126">
        <v>-19.649999999999999</v>
      </c>
    </row>
    <row r="127" spans="1:4" x14ac:dyDescent="0.25">
      <c r="A127" s="1">
        <v>43556</v>
      </c>
      <c r="B127" s="28">
        <v>0.5668171296296296</v>
      </c>
      <c r="C127" t="s">
        <v>48</v>
      </c>
      <c r="D127">
        <v>-19.559999999999999</v>
      </c>
    </row>
    <row r="128" spans="1:4" x14ac:dyDescent="0.25">
      <c r="A128" s="1">
        <v>43556</v>
      </c>
      <c r="B128" s="28">
        <v>0.56751157407407404</v>
      </c>
      <c r="C128" t="s">
        <v>48</v>
      </c>
      <c r="D128">
        <v>-19.48</v>
      </c>
    </row>
    <row r="129" spans="1:4" x14ac:dyDescent="0.25">
      <c r="A129" s="1">
        <v>43556</v>
      </c>
      <c r="B129" s="28">
        <v>0.56820601851851849</v>
      </c>
      <c r="C129" t="s">
        <v>48</v>
      </c>
      <c r="D129">
        <v>-19.399999999999999</v>
      </c>
    </row>
    <row r="130" spans="1:4" x14ac:dyDescent="0.25">
      <c r="A130" s="1">
        <v>43556</v>
      </c>
      <c r="B130" s="28">
        <v>0.56890046296296293</v>
      </c>
      <c r="C130" t="s">
        <v>48</v>
      </c>
      <c r="D130">
        <v>-19.309999999999999</v>
      </c>
    </row>
    <row r="131" spans="1:4" x14ac:dyDescent="0.25">
      <c r="A131" s="1">
        <v>43556</v>
      </c>
      <c r="B131" s="28">
        <v>0.56959490740740748</v>
      </c>
      <c r="C131" t="s">
        <v>48</v>
      </c>
      <c r="D131">
        <v>-19.25</v>
      </c>
    </row>
    <row r="132" spans="1:4" x14ac:dyDescent="0.25">
      <c r="A132" s="1">
        <v>43556</v>
      </c>
      <c r="B132" s="28">
        <v>0.57028935185185181</v>
      </c>
      <c r="C132" t="s">
        <v>48</v>
      </c>
      <c r="D132">
        <v>-19.170000000000002</v>
      </c>
    </row>
    <row r="133" spans="1:4" x14ac:dyDescent="0.25">
      <c r="A133" s="1">
        <v>43556</v>
      </c>
      <c r="B133" s="28">
        <v>0.57098379629629636</v>
      </c>
      <c r="C133" t="s">
        <v>48</v>
      </c>
      <c r="D133">
        <v>-19.09</v>
      </c>
    </row>
    <row r="134" spans="1:4" x14ac:dyDescent="0.25">
      <c r="A134" s="1">
        <v>43556</v>
      </c>
      <c r="B134" s="28">
        <v>0.5716782407407407</v>
      </c>
      <c r="C134" t="s">
        <v>48</v>
      </c>
      <c r="D134">
        <v>-19.010000000000002</v>
      </c>
    </row>
    <row r="135" spans="1:4" x14ac:dyDescent="0.25">
      <c r="A135" s="1">
        <v>43556</v>
      </c>
      <c r="B135" s="28">
        <v>0.57237268518518525</v>
      </c>
      <c r="C135" t="s">
        <v>48</v>
      </c>
      <c r="D135">
        <v>-18.920000000000002</v>
      </c>
    </row>
    <row r="136" spans="1:4" x14ac:dyDescent="0.25">
      <c r="A136" s="1">
        <v>43556</v>
      </c>
      <c r="B136" s="28">
        <v>0.57306712962962958</v>
      </c>
      <c r="C136" t="s">
        <v>48</v>
      </c>
      <c r="D136">
        <v>-18.86</v>
      </c>
    </row>
    <row r="137" spans="1:4" x14ac:dyDescent="0.25">
      <c r="A137" s="1">
        <v>43556</v>
      </c>
      <c r="B137" s="28">
        <v>0.57376157407407413</v>
      </c>
      <c r="C137" t="s">
        <v>48</v>
      </c>
      <c r="D137">
        <v>-18.77</v>
      </c>
    </row>
    <row r="138" spans="1:4" x14ac:dyDescent="0.25">
      <c r="A138" s="1">
        <v>43556</v>
      </c>
      <c r="B138" s="28">
        <v>0.57445601851851846</v>
      </c>
      <c r="C138" t="s">
        <v>48</v>
      </c>
      <c r="D138">
        <v>-18.690000000000001</v>
      </c>
    </row>
    <row r="139" spans="1:4" x14ac:dyDescent="0.25">
      <c r="A139" s="1">
        <v>43556</v>
      </c>
      <c r="B139" s="28">
        <v>0.57515046296296302</v>
      </c>
      <c r="C139" t="s">
        <v>48</v>
      </c>
      <c r="D139">
        <v>-18.62</v>
      </c>
    </row>
    <row r="140" spans="1:4" x14ac:dyDescent="0.25">
      <c r="A140" s="1">
        <v>43556</v>
      </c>
      <c r="B140" s="28">
        <v>0.57584490740740735</v>
      </c>
      <c r="C140" t="s">
        <v>48</v>
      </c>
      <c r="D140">
        <v>-18.55</v>
      </c>
    </row>
    <row r="141" spans="1:4" x14ac:dyDescent="0.25">
      <c r="A141" s="1">
        <v>43556</v>
      </c>
      <c r="B141" s="28">
        <v>0.5765393518518519</v>
      </c>
      <c r="C141" t="s">
        <v>48</v>
      </c>
      <c r="D141">
        <v>-18.48</v>
      </c>
    </row>
    <row r="142" spans="1:4" x14ac:dyDescent="0.25">
      <c r="A142" s="1">
        <v>43556</v>
      </c>
      <c r="B142" s="28">
        <v>0.57723379629629623</v>
      </c>
      <c r="C142" t="s">
        <v>48</v>
      </c>
      <c r="D142">
        <v>-18.41</v>
      </c>
    </row>
    <row r="143" spans="1:4" x14ac:dyDescent="0.25">
      <c r="A143" s="1">
        <v>43556</v>
      </c>
      <c r="B143" s="28">
        <v>0.57792824074074078</v>
      </c>
      <c r="C143" t="s">
        <v>48</v>
      </c>
      <c r="D143">
        <v>-18.34</v>
      </c>
    </row>
    <row r="144" spans="1:4" x14ac:dyDescent="0.25">
      <c r="A144" s="1">
        <v>43556</v>
      </c>
      <c r="B144" s="28">
        <v>0.57862268518518511</v>
      </c>
      <c r="C144" t="s">
        <v>48</v>
      </c>
      <c r="D144">
        <v>-18.260000000000002</v>
      </c>
    </row>
    <row r="145" spans="1:4" x14ac:dyDescent="0.25">
      <c r="A145" s="1">
        <v>43556</v>
      </c>
      <c r="B145" s="28">
        <v>0.57931712962962967</v>
      </c>
      <c r="C145" t="s">
        <v>48</v>
      </c>
      <c r="D145">
        <v>-18.2</v>
      </c>
    </row>
    <row r="146" spans="1:4" x14ac:dyDescent="0.25">
      <c r="A146" s="1">
        <v>43556</v>
      </c>
      <c r="B146" s="28">
        <v>0.58001157407407411</v>
      </c>
      <c r="C146" t="s">
        <v>48</v>
      </c>
      <c r="D146">
        <v>-18.11</v>
      </c>
    </row>
    <row r="147" spans="1:4" x14ac:dyDescent="0.25">
      <c r="A147" s="1">
        <v>43556</v>
      </c>
      <c r="B147" s="28">
        <v>0.58070601851851855</v>
      </c>
      <c r="C147" t="s">
        <v>48</v>
      </c>
      <c r="D147">
        <v>-18.36</v>
      </c>
    </row>
    <row r="148" spans="1:4" x14ac:dyDescent="0.25">
      <c r="A148" s="1">
        <v>43556</v>
      </c>
      <c r="B148" s="28">
        <v>0.58140046296296299</v>
      </c>
      <c r="C148" t="s">
        <v>48</v>
      </c>
      <c r="D148">
        <v>-18.71</v>
      </c>
    </row>
    <row r="149" spans="1:4" x14ac:dyDescent="0.25">
      <c r="A149" s="1">
        <v>43556</v>
      </c>
      <c r="B149" s="28">
        <v>0.58209490740740744</v>
      </c>
      <c r="C149" t="s">
        <v>48</v>
      </c>
      <c r="D149">
        <v>-19.11</v>
      </c>
    </row>
    <row r="150" spans="1:4" x14ac:dyDescent="0.25">
      <c r="A150" s="1">
        <v>43556</v>
      </c>
      <c r="B150" s="28">
        <v>0.58278935185185188</v>
      </c>
      <c r="C150" t="s">
        <v>48</v>
      </c>
      <c r="D150">
        <v>-19.47</v>
      </c>
    </row>
    <row r="151" spans="1:4" x14ac:dyDescent="0.25">
      <c r="A151" s="1">
        <v>43556</v>
      </c>
      <c r="B151" s="28">
        <v>0.58348379629629632</v>
      </c>
      <c r="C151" t="s">
        <v>48</v>
      </c>
      <c r="D151">
        <v>-19.809999999999999</v>
      </c>
    </row>
    <row r="152" spans="1:4" x14ac:dyDescent="0.25">
      <c r="A152" s="1">
        <v>43556</v>
      </c>
      <c r="B152" s="28">
        <v>0.58417824074074076</v>
      </c>
      <c r="C152" t="s">
        <v>48</v>
      </c>
      <c r="D152">
        <v>-20.12</v>
      </c>
    </row>
    <row r="153" spans="1:4" x14ac:dyDescent="0.25">
      <c r="A153" s="1">
        <v>43556</v>
      </c>
      <c r="B153" s="28">
        <v>0.5848726851851852</v>
      </c>
      <c r="C153" t="s">
        <v>48</v>
      </c>
      <c r="D153">
        <v>-20.38</v>
      </c>
    </row>
    <row r="154" spans="1:4" x14ac:dyDescent="0.25">
      <c r="A154" s="1">
        <v>43556</v>
      </c>
      <c r="B154" s="28">
        <v>0.58556712962962965</v>
      </c>
      <c r="C154" t="s">
        <v>48</v>
      </c>
      <c r="D154">
        <v>-20.65</v>
      </c>
    </row>
    <row r="155" spans="1:4" x14ac:dyDescent="0.25">
      <c r="A155" s="1">
        <v>43556</v>
      </c>
      <c r="B155" s="28">
        <v>0.58626157407407409</v>
      </c>
      <c r="C155" t="s">
        <v>48</v>
      </c>
      <c r="D155">
        <v>-20.89</v>
      </c>
    </row>
    <row r="156" spans="1:4" x14ac:dyDescent="0.25">
      <c r="A156" s="1">
        <v>43556</v>
      </c>
      <c r="B156" s="28">
        <v>0.58695601851851853</v>
      </c>
      <c r="C156" t="s">
        <v>48</v>
      </c>
      <c r="D156">
        <v>-21.17</v>
      </c>
    </row>
    <row r="157" spans="1:4" x14ac:dyDescent="0.25">
      <c r="A157" s="1">
        <v>43556</v>
      </c>
      <c r="B157" s="28">
        <v>0.58765046296296297</v>
      </c>
      <c r="C157" t="s">
        <v>48</v>
      </c>
      <c r="D157">
        <v>-21.39</v>
      </c>
    </row>
    <row r="158" spans="1:4" x14ac:dyDescent="0.25">
      <c r="A158" s="1">
        <v>43556</v>
      </c>
      <c r="B158" s="28">
        <v>0.58834490740740741</v>
      </c>
      <c r="C158" t="s">
        <v>48</v>
      </c>
      <c r="D158">
        <v>-21.6</v>
      </c>
    </row>
    <row r="159" spans="1:4" x14ac:dyDescent="0.25">
      <c r="A159" s="1">
        <v>43556</v>
      </c>
      <c r="B159" s="28">
        <v>0.58903935185185186</v>
      </c>
      <c r="C159" t="s">
        <v>48</v>
      </c>
      <c r="D159">
        <v>-21.82</v>
      </c>
    </row>
    <row r="160" spans="1:4" x14ac:dyDescent="0.25">
      <c r="A160" s="1">
        <v>43556</v>
      </c>
      <c r="B160" s="28">
        <v>0.5897337962962963</v>
      </c>
      <c r="C160" t="s">
        <v>48</v>
      </c>
      <c r="D160">
        <v>-22.01</v>
      </c>
    </row>
    <row r="161" spans="1:4" x14ac:dyDescent="0.25">
      <c r="A161" s="1">
        <v>43556</v>
      </c>
      <c r="B161" s="28">
        <v>0.59042824074074074</v>
      </c>
      <c r="C161" t="s">
        <v>48</v>
      </c>
      <c r="D161">
        <v>-22.17</v>
      </c>
    </row>
    <row r="162" spans="1:4" x14ac:dyDescent="0.25">
      <c r="A162" s="1">
        <v>43556</v>
      </c>
      <c r="B162" s="28">
        <v>0.59112268518518518</v>
      </c>
      <c r="C162" t="s">
        <v>48</v>
      </c>
      <c r="D162">
        <v>-22.34</v>
      </c>
    </row>
    <row r="163" spans="1:4" x14ac:dyDescent="0.25">
      <c r="A163" s="1">
        <v>43556</v>
      </c>
      <c r="B163" s="28">
        <v>0.59181712962962962</v>
      </c>
      <c r="C163" t="s">
        <v>48</v>
      </c>
      <c r="D163">
        <v>-22.53</v>
      </c>
    </row>
    <row r="164" spans="1:4" x14ac:dyDescent="0.25">
      <c r="A164" s="1">
        <v>43556</v>
      </c>
      <c r="B164" s="28">
        <v>0.59251157407407407</v>
      </c>
      <c r="C164" t="s">
        <v>48</v>
      </c>
      <c r="D164">
        <v>-22.69</v>
      </c>
    </row>
    <row r="165" spans="1:4" x14ac:dyDescent="0.25">
      <c r="A165" s="1">
        <v>43556</v>
      </c>
      <c r="B165" s="28">
        <v>0.59320601851851851</v>
      </c>
      <c r="C165" t="s">
        <v>48</v>
      </c>
      <c r="D165">
        <v>-22.88</v>
      </c>
    </row>
    <row r="166" spans="1:4" x14ac:dyDescent="0.25">
      <c r="A166" s="1">
        <v>43556</v>
      </c>
      <c r="B166" s="28">
        <v>0.59390046296296295</v>
      </c>
      <c r="C166" t="s">
        <v>48</v>
      </c>
      <c r="D166">
        <v>-23.03</v>
      </c>
    </row>
    <row r="167" spans="1:4" x14ac:dyDescent="0.25">
      <c r="A167" s="1">
        <v>43556</v>
      </c>
      <c r="B167" s="28">
        <v>0.59459490740740739</v>
      </c>
      <c r="C167" t="s">
        <v>48</v>
      </c>
      <c r="D167">
        <v>-23.21</v>
      </c>
    </row>
    <row r="168" spans="1:4" x14ac:dyDescent="0.25">
      <c r="A168" s="1">
        <v>43556</v>
      </c>
      <c r="B168" s="28">
        <v>0.59528935185185183</v>
      </c>
      <c r="C168" t="s">
        <v>48</v>
      </c>
      <c r="D168">
        <v>-23.36</v>
      </c>
    </row>
    <row r="169" spans="1:4" x14ac:dyDescent="0.25">
      <c r="A169" s="1">
        <v>43556</v>
      </c>
      <c r="B169" s="28">
        <v>0.59598379629629628</v>
      </c>
      <c r="C169" t="s">
        <v>48</v>
      </c>
      <c r="D169">
        <v>-23.47</v>
      </c>
    </row>
    <row r="170" spans="1:4" x14ac:dyDescent="0.25">
      <c r="A170" s="1">
        <v>43556</v>
      </c>
      <c r="B170" s="28">
        <v>0.59667824074074072</v>
      </c>
      <c r="C170" t="s">
        <v>48</v>
      </c>
      <c r="D170">
        <v>-23.58</v>
      </c>
    </row>
    <row r="171" spans="1:4" x14ac:dyDescent="0.25">
      <c r="A171" s="1">
        <v>43556</v>
      </c>
      <c r="B171" s="28">
        <v>0.59737268518518516</v>
      </c>
      <c r="C171" t="s">
        <v>48</v>
      </c>
      <c r="D171">
        <v>-23.71</v>
      </c>
    </row>
    <row r="172" spans="1:4" x14ac:dyDescent="0.25">
      <c r="A172" s="1">
        <v>43556</v>
      </c>
      <c r="B172" s="28">
        <v>0.5980671296296296</v>
      </c>
      <c r="C172" t="s">
        <v>48</v>
      </c>
      <c r="D172">
        <v>-23.84</v>
      </c>
    </row>
    <row r="173" spans="1:4" x14ac:dyDescent="0.25">
      <c r="A173" s="1">
        <v>43556</v>
      </c>
      <c r="B173" s="28">
        <v>0.59876157407407404</v>
      </c>
      <c r="C173" t="s">
        <v>48</v>
      </c>
      <c r="D173">
        <v>-23.97</v>
      </c>
    </row>
    <row r="174" spans="1:4" x14ac:dyDescent="0.25">
      <c r="A174" s="1">
        <v>43556</v>
      </c>
      <c r="B174" s="28">
        <v>0.59945601851851849</v>
      </c>
      <c r="C174" t="s">
        <v>48</v>
      </c>
      <c r="D174">
        <v>-24.1</v>
      </c>
    </row>
    <row r="175" spans="1:4" x14ac:dyDescent="0.25">
      <c r="A175" s="1">
        <v>43556</v>
      </c>
      <c r="B175" s="28">
        <v>0.60015046296296293</v>
      </c>
      <c r="C175" t="s">
        <v>48</v>
      </c>
      <c r="D175">
        <v>-24.18</v>
      </c>
    </row>
    <row r="176" spans="1:4" x14ac:dyDescent="0.25">
      <c r="A176" s="1">
        <v>43556</v>
      </c>
      <c r="B176" s="28">
        <v>0.60084490740740737</v>
      </c>
      <c r="C176" t="s">
        <v>48</v>
      </c>
      <c r="D176">
        <v>-24.31</v>
      </c>
    </row>
    <row r="177" spans="1:4" x14ac:dyDescent="0.25">
      <c r="A177" s="1">
        <v>43556</v>
      </c>
      <c r="B177" s="28">
        <v>0.60153935185185181</v>
      </c>
      <c r="C177" t="s">
        <v>48</v>
      </c>
      <c r="D177">
        <v>-24.41</v>
      </c>
    </row>
    <row r="178" spans="1:4" x14ac:dyDescent="0.25">
      <c r="A178" s="1">
        <v>43556</v>
      </c>
      <c r="B178" s="28">
        <v>0.60223379629629636</v>
      </c>
      <c r="C178" t="s">
        <v>48</v>
      </c>
      <c r="D178">
        <v>-24.51</v>
      </c>
    </row>
    <row r="179" spans="1:4" x14ac:dyDescent="0.25">
      <c r="A179" s="1">
        <v>43556</v>
      </c>
      <c r="B179" s="28">
        <v>0.6029282407407407</v>
      </c>
      <c r="C179" t="s">
        <v>48</v>
      </c>
      <c r="D179">
        <v>-24.63</v>
      </c>
    </row>
    <row r="180" spans="1:4" x14ac:dyDescent="0.25">
      <c r="A180" s="1">
        <v>43556</v>
      </c>
      <c r="B180" s="28">
        <v>0.60362268518518525</v>
      </c>
      <c r="C180" t="s">
        <v>48</v>
      </c>
      <c r="D180">
        <v>-24.74</v>
      </c>
    </row>
    <row r="181" spans="1:4" x14ac:dyDescent="0.25">
      <c r="A181" s="1">
        <v>43556</v>
      </c>
      <c r="B181" s="28">
        <v>0.60431712962962958</v>
      </c>
      <c r="C181" t="s">
        <v>48</v>
      </c>
      <c r="D181">
        <v>-24.87</v>
      </c>
    </row>
    <row r="182" spans="1:4" x14ac:dyDescent="0.25">
      <c r="A182" s="1">
        <v>43556</v>
      </c>
      <c r="B182" s="28">
        <v>0.60501157407407413</v>
      </c>
      <c r="C182" t="s">
        <v>48</v>
      </c>
      <c r="D182">
        <v>-24.99</v>
      </c>
    </row>
    <row r="183" spans="1:4" x14ac:dyDescent="0.25">
      <c r="A183" s="1">
        <v>43556</v>
      </c>
      <c r="B183" s="28">
        <v>0.60570601851851846</v>
      </c>
      <c r="C183" t="s">
        <v>48</v>
      </c>
      <c r="D183">
        <v>-25.07</v>
      </c>
    </row>
    <row r="184" spans="1:4" x14ac:dyDescent="0.25">
      <c r="A184" s="1">
        <v>43556</v>
      </c>
      <c r="B184" s="28">
        <v>0.60640046296296302</v>
      </c>
      <c r="C184" t="s">
        <v>48</v>
      </c>
      <c r="D184">
        <v>-25.18</v>
      </c>
    </row>
  </sheetData>
  <sortState ref="A1:D189">
    <sortCondition ref="B14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"/>
  <sheetViews>
    <sheetView topLeftCell="A143" workbookViewId="0">
      <selection activeCell="D1" sqref="D1:D183"/>
    </sheetView>
  </sheetViews>
  <sheetFormatPr baseColWidth="10" defaultRowHeight="15.75" x14ac:dyDescent="0.25"/>
  <sheetData>
    <row r="1" spans="1:4" x14ac:dyDescent="0.25">
      <c r="A1" s="1">
        <v>43556</v>
      </c>
      <c r="B1" s="28">
        <v>0.47988425925925932</v>
      </c>
      <c r="C1" t="s">
        <v>48</v>
      </c>
      <c r="D1">
        <v>-19.77</v>
      </c>
    </row>
    <row r="2" spans="1:4" x14ac:dyDescent="0.25">
      <c r="A2" s="1">
        <v>43556</v>
      </c>
      <c r="B2" s="28">
        <v>0.4805787037037037</v>
      </c>
      <c r="C2" t="s">
        <v>48</v>
      </c>
      <c r="D2">
        <v>-20.05</v>
      </c>
    </row>
    <row r="3" spans="1:4" x14ac:dyDescent="0.25">
      <c r="A3" s="1">
        <v>43556</v>
      </c>
      <c r="B3" s="28">
        <v>0.4812731481481482</v>
      </c>
      <c r="C3" t="s">
        <v>48</v>
      </c>
      <c r="D3">
        <v>-20.309999999999999</v>
      </c>
    </row>
    <row r="4" spans="1:4" x14ac:dyDescent="0.25">
      <c r="A4" s="1">
        <v>43556</v>
      </c>
      <c r="B4" s="28">
        <v>0.48196759259259259</v>
      </c>
      <c r="C4" t="s">
        <v>48</v>
      </c>
      <c r="D4">
        <v>-20.52</v>
      </c>
    </row>
    <row r="5" spans="1:4" x14ac:dyDescent="0.25">
      <c r="A5" s="1">
        <v>43556</v>
      </c>
      <c r="B5" s="28">
        <v>0.48266203703703708</v>
      </c>
      <c r="C5" t="s">
        <v>48</v>
      </c>
      <c r="D5">
        <v>-20.78</v>
      </c>
    </row>
    <row r="6" spans="1:4" x14ac:dyDescent="0.25">
      <c r="A6" s="1">
        <v>43556</v>
      </c>
      <c r="B6" s="28">
        <v>0.48335648148148147</v>
      </c>
      <c r="C6" t="s">
        <v>48</v>
      </c>
      <c r="D6">
        <v>-20.97</v>
      </c>
    </row>
    <row r="7" spans="1:4" x14ac:dyDescent="0.25">
      <c r="A7" s="1">
        <v>43556</v>
      </c>
      <c r="B7" s="28">
        <v>0.48405092592592597</v>
      </c>
      <c r="C7" t="s">
        <v>48</v>
      </c>
      <c r="D7">
        <v>-21.18</v>
      </c>
    </row>
    <row r="8" spans="1:4" x14ac:dyDescent="0.25">
      <c r="A8" s="1">
        <v>43556</v>
      </c>
      <c r="B8" s="28">
        <v>0.48474537037037035</v>
      </c>
      <c r="C8" t="s">
        <v>48</v>
      </c>
      <c r="D8">
        <v>-21.38</v>
      </c>
    </row>
    <row r="9" spans="1:4" x14ac:dyDescent="0.25">
      <c r="A9" s="1">
        <v>43556</v>
      </c>
      <c r="B9" s="28">
        <v>0.48543981481481485</v>
      </c>
      <c r="C9" t="s">
        <v>48</v>
      </c>
      <c r="D9">
        <v>-21.55</v>
      </c>
    </row>
    <row r="10" spans="1:4" x14ac:dyDescent="0.25">
      <c r="A10" s="1">
        <v>43556</v>
      </c>
      <c r="B10" s="28">
        <v>0.48613425925925924</v>
      </c>
      <c r="C10" t="s">
        <v>48</v>
      </c>
      <c r="D10">
        <v>-21.72</v>
      </c>
    </row>
    <row r="11" spans="1:4" x14ac:dyDescent="0.25">
      <c r="A11" s="1">
        <v>43556</v>
      </c>
      <c r="B11" s="28">
        <v>0.48682870370370374</v>
      </c>
      <c r="C11" t="s">
        <v>48</v>
      </c>
      <c r="D11">
        <v>-21.88</v>
      </c>
    </row>
    <row r="12" spans="1:4" x14ac:dyDescent="0.25">
      <c r="A12" s="1">
        <v>43556</v>
      </c>
      <c r="B12" s="28">
        <v>0.48752314814814812</v>
      </c>
      <c r="C12" t="s">
        <v>48</v>
      </c>
      <c r="D12">
        <v>-22.09</v>
      </c>
    </row>
    <row r="13" spans="1:4" x14ac:dyDescent="0.25">
      <c r="A13" s="1">
        <v>43556</v>
      </c>
      <c r="B13" s="28">
        <v>0.48821759259259262</v>
      </c>
      <c r="C13" t="s">
        <v>48</v>
      </c>
      <c r="D13">
        <v>-22.23</v>
      </c>
    </row>
    <row r="14" spans="1:4" x14ac:dyDescent="0.25">
      <c r="A14" s="1">
        <v>43556</v>
      </c>
      <c r="B14" s="28">
        <v>0.48891203703703701</v>
      </c>
      <c r="C14" t="s">
        <v>48</v>
      </c>
      <c r="D14">
        <v>-22.38</v>
      </c>
    </row>
    <row r="15" spans="1:4" x14ac:dyDescent="0.25">
      <c r="A15" s="1">
        <v>43556</v>
      </c>
      <c r="B15" s="28">
        <v>0.4896064814814815</v>
      </c>
      <c r="C15" t="s">
        <v>48</v>
      </c>
      <c r="D15">
        <v>-22.53</v>
      </c>
    </row>
    <row r="16" spans="1:4" x14ac:dyDescent="0.25">
      <c r="A16" s="1">
        <v>43556</v>
      </c>
      <c r="B16" s="28">
        <v>0.49030092592592589</v>
      </c>
      <c r="C16" t="s">
        <v>48</v>
      </c>
      <c r="D16">
        <v>-22.65</v>
      </c>
    </row>
    <row r="17" spans="1:4" x14ac:dyDescent="0.25">
      <c r="A17" s="1">
        <v>43556</v>
      </c>
      <c r="B17" s="28">
        <v>0.49099537037037039</v>
      </c>
      <c r="C17" t="s">
        <v>48</v>
      </c>
      <c r="D17">
        <v>-22.77</v>
      </c>
    </row>
    <row r="18" spans="1:4" x14ac:dyDescent="0.25">
      <c r="A18" s="1">
        <v>43556</v>
      </c>
      <c r="B18" s="28">
        <v>0.49168981481481483</v>
      </c>
      <c r="C18" t="s">
        <v>48</v>
      </c>
      <c r="D18">
        <v>-22.91</v>
      </c>
    </row>
    <row r="19" spans="1:4" x14ac:dyDescent="0.25">
      <c r="A19" s="1">
        <v>43556</v>
      </c>
      <c r="B19" s="28">
        <v>0.49238425925925927</v>
      </c>
      <c r="C19" t="s">
        <v>48</v>
      </c>
      <c r="D19">
        <v>-23.05</v>
      </c>
    </row>
    <row r="20" spans="1:4" x14ac:dyDescent="0.25">
      <c r="A20" s="1">
        <v>43556</v>
      </c>
      <c r="B20" s="28">
        <v>0.49307870370370371</v>
      </c>
      <c r="C20" t="s">
        <v>48</v>
      </c>
      <c r="D20">
        <v>-23.17</v>
      </c>
    </row>
    <row r="21" spans="1:4" x14ac:dyDescent="0.25">
      <c r="A21" s="1">
        <v>43556</v>
      </c>
      <c r="B21" s="28">
        <v>0.49377314814814816</v>
      </c>
      <c r="C21" t="s">
        <v>48</v>
      </c>
      <c r="D21">
        <v>-23.3</v>
      </c>
    </row>
    <row r="22" spans="1:4" x14ac:dyDescent="0.25">
      <c r="A22" s="1">
        <v>43556</v>
      </c>
      <c r="B22" s="28">
        <v>0.4944675925925926</v>
      </c>
      <c r="C22" t="s">
        <v>48</v>
      </c>
      <c r="D22">
        <v>-23.41</v>
      </c>
    </row>
    <row r="23" spans="1:4" x14ac:dyDescent="0.25">
      <c r="A23" s="1">
        <v>43556</v>
      </c>
      <c r="B23" s="28">
        <v>0.49516203703703704</v>
      </c>
      <c r="C23" t="s">
        <v>48</v>
      </c>
      <c r="D23">
        <v>-23.56</v>
      </c>
    </row>
    <row r="24" spans="1:4" x14ac:dyDescent="0.25">
      <c r="A24" s="1">
        <v>43556</v>
      </c>
      <c r="B24" s="28">
        <v>0.49585648148148148</v>
      </c>
      <c r="C24" t="s">
        <v>48</v>
      </c>
      <c r="D24">
        <v>-23.69</v>
      </c>
    </row>
    <row r="25" spans="1:4" x14ac:dyDescent="0.25">
      <c r="A25" s="1">
        <v>43556</v>
      </c>
      <c r="B25" s="28">
        <v>0.49655092592592592</v>
      </c>
      <c r="C25" t="s">
        <v>48</v>
      </c>
      <c r="D25">
        <v>-23.82</v>
      </c>
    </row>
    <row r="26" spans="1:4" x14ac:dyDescent="0.25">
      <c r="A26" s="1">
        <v>43556</v>
      </c>
      <c r="B26" s="28">
        <v>0.49724537037037037</v>
      </c>
      <c r="C26" t="s">
        <v>48</v>
      </c>
      <c r="D26">
        <v>-23.93</v>
      </c>
    </row>
    <row r="27" spans="1:4" x14ac:dyDescent="0.25">
      <c r="A27" s="1">
        <v>43556</v>
      </c>
      <c r="B27" s="28">
        <v>0.49793981481481481</v>
      </c>
      <c r="C27" t="s">
        <v>48</v>
      </c>
      <c r="D27">
        <v>-24.04</v>
      </c>
    </row>
    <row r="28" spans="1:4" x14ac:dyDescent="0.25">
      <c r="A28" s="1">
        <v>43556</v>
      </c>
      <c r="B28" s="28">
        <v>0.49863425925925925</v>
      </c>
      <c r="C28" t="s">
        <v>48</v>
      </c>
      <c r="D28">
        <v>-24.15</v>
      </c>
    </row>
    <row r="29" spans="1:4" x14ac:dyDescent="0.25">
      <c r="A29" s="1">
        <v>43556</v>
      </c>
      <c r="B29" s="28">
        <v>0.49932870370370369</v>
      </c>
      <c r="C29" t="s">
        <v>48</v>
      </c>
      <c r="D29">
        <v>-24.28</v>
      </c>
    </row>
    <row r="30" spans="1:4" x14ac:dyDescent="0.25">
      <c r="A30" s="1">
        <v>43556</v>
      </c>
      <c r="B30" s="28">
        <v>0.50002314814814819</v>
      </c>
      <c r="C30" t="s">
        <v>48</v>
      </c>
      <c r="D30">
        <v>-24.4</v>
      </c>
    </row>
    <row r="31" spans="1:4" x14ac:dyDescent="0.25">
      <c r="A31" s="1">
        <v>43556</v>
      </c>
      <c r="B31" s="28">
        <v>0.50071759259259252</v>
      </c>
      <c r="C31" t="s">
        <v>48</v>
      </c>
      <c r="D31">
        <v>-24.5</v>
      </c>
    </row>
    <row r="32" spans="1:4" x14ac:dyDescent="0.25">
      <c r="A32" s="1">
        <v>43556</v>
      </c>
      <c r="B32" s="28">
        <v>0.50141203703703707</v>
      </c>
      <c r="C32" t="s">
        <v>48</v>
      </c>
      <c r="D32">
        <v>-24.64</v>
      </c>
    </row>
    <row r="33" spans="1:4" x14ac:dyDescent="0.25">
      <c r="A33" s="1">
        <v>43556</v>
      </c>
      <c r="B33" s="28">
        <v>0.50210648148148151</v>
      </c>
      <c r="C33" t="s">
        <v>48</v>
      </c>
      <c r="D33">
        <v>-24.75</v>
      </c>
    </row>
    <row r="34" spans="1:4" x14ac:dyDescent="0.25">
      <c r="A34" s="1">
        <v>43556</v>
      </c>
      <c r="B34" s="28">
        <v>0.50280092592592596</v>
      </c>
      <c r="C34" t="s">
        <v>48</v>
      </c>
      <c r="D34">
        <v>-24.87</v>
      </c>
    </row>
    <row r="35" spans="1:4" x14ac:dyDescent="0.25">
      <c r="A35" s="1">
        <v>43556</v>
      </c>
      <c r="B35" s="28">
        <v>0.5034953703703704</v>
      </c>
      <c r="C35" t="s">
        <v>48</v>
      </c>
      <c r="D35">
        <v>-24.98</v>
      </c>
    </row>
    <row r="36" spans="1:4" x14ac:dyDescent="0.25">
      <c r="A36" s="1">
        <v>43556</v>
      </c>
      <c r="B36" s="28">
        <v>0.50418981481481484</v>
      </c>
      <c r="C36" t="s">
        <v>48</v>
      </c>
      <c r="D36">
        <v>-25.13</v>
      </c>
    </row>
    <row r="37" spans="1:4" x14ac:dyDescent="0.25">
      <c r="A37" s="1">
        <v>43556</v>
      </c>
      <c r="B37" s="28">
        <v>0.50488425925925928</v>
      </c>
      <c r="C37" t="s">
        <v>48</v>
      </c>
      <c r="D37">
        <v>-25.23</v>
      </c>
    </row>
    <row r="38" spans="1:4" x14ac:dyDescent="0.25">
      <c r="A38" s="1">
        <v>43556</v>
      </c>
      <c r="B38" s="28">
        <v>0.50557870370370372</v>
      </c>
      <c r="C38" t="s">
        <v>48</v>
      </c>
      <c r="D38">
        <v>-25.34</v>
      </c>
    </row>
    <row r="39" spans="1:4" x14ac:dyDescent="0.25">
      <c r="A39" s="1">
        <v>43556</v>
      </c>
      <c r="B39" s="28">
        <v>0.50627314814814817</v>
      </c>
      <c r="C39" t="s">
        <v>48</v>
      </c>
      <c r="D39">
        <v>-25.45</v>
      </c>
    </row>
    <row r="40" spans="1:4" x14ac:dyDescent="0.25">
      <c r="A40" s="1">
        <v>43556</v>
      </c>
      <c r="B40" s="28">
        <v>0.50696759259259261</v>
      </c>
      <c r="C40" t="s">
        <v>48</v>
      </c>
      <c r="D40">
        <v>-25.57</v>
      </c>
    </row>
    <row r="41" spans="1:4" x14ac:dyDescent="0.25">
      <c r="A41" s="1">
        <v>43556</v>
      </c>
      <c r="B41" s="28">
        <v>0.50766203703703705</v>
      </c>
      <c r="C41" t="s">
        <v>48</v>
      </c>
      <c r="D41">
        <v>-25.69</v>
      </c>
    </row>
    <row r="42" spans="1:4" x14ac:dyDescent="0.25">
      <c r="A42" s="1">
        <v>43556</v>
      </c>
      <c r="B42" s="28">
        <v>0.50835648148148149</v>
      </c>
      <c r="C42" t="s">
        <v>48</v>
      </c>
      <c r="D42">
        <v>-25.8</v>
      </c>
    </row>
    <row r="43" spans="1:4" x14ac:dyDescent="0.25">
      <c r="A43" s="1">
        <v>43556</v>
      </c>
      <c r="B43" s="28">
        <v>0.50905092592592593</v>
      </c>
      <c r="C43" t="s">
        <v>48</v>
      </c>
      <c r="D43">
        <v>-25.89</v>
      </c>
    </row>
    <row r="44" spans="1:4" x14ac:dyDescent="0.25">
      <c r="A44" s="1">
        <v>43556</v>
      </c>
      <c r="B44" s="28">
        <v>0.50974537037037038</v>
      </c>
      <c r="C44" t="s">
        <v>48</v>
      </c>
      <c r="D44">
        <v>-26</v>
      </c>
    </row>
    <row r="45" spans="1:4" x14ac:dyDescent="0.25">
      <c r="A45" s="1">
        <v>43556</v>
      </c>
      <c r="B45" s="28">
        <v>0.51043981481481482</v>
      </c>
      <c r="C45" t="s">
        <v>48</v>
      </c>
      <c r="D45">
        <v>-26.1</v>
      </c>
    </row>
    <row r="46" spans="1:4" x14ac:dyDescent="0.25">
      <c r="A46" s="1">
        <v>43556</v>
      </c>
      <c r="B46" s="28">
        <v>0.51113425925925926</v>
      </c>
      <c r="C46" t="s">
        <v>48</v>
      </c>
      <c r="D46">
        <v>-26.19</v>
      </c>
    </row>
    <row r="47" spans="1:4" x14ac:dyDescent="0.25">
      <c r="A47" s="1">
        <v>43556</v>
      </c>
      <c r="B47" s="28">
        <v>0.5118287037037037</v>
      </c>
      <c r="C47" t="s">
        <v>48</v>
      </c>
      <c r="D47">
        <v>-26.28</v>
      </c>
    </row>
    <row r="48" spans="1:4" x14ac:dyDescent="0.25">
      <c r="A48" s="1">
        <v>43556</v>
      </c>
      <c r="B48" s="28">
        <v>0.51252314814814814</v>
      </c>
      <c r="C48" t="s">
        <v>48</v>
      </c>
      <c r="D48">
        <v>-26.32</v>
      </c>
    </row>
    <row r="49" spans="1:4" x14ac:dyDescent="0.25">
      <c r="A49" s="1">
        <v>43556</v>
      </c>
      <c r="B49" s="28">
        <v>0.51321759259259259</v>
      </c>
      <c r="C49" t="s">
        <v>48</v>
      </c>
      <c r="D49">
        <v>-26.31</v>
      </c>
    </row>
    <row r="50" spans="1:4" x14ac:dyDescent="0.25">
      <c r="A50" s="1">
        <v>43556</v>
      </c>
      <c r="B50" s="28">
        <v>0.51391203703703703</v>
      </c>
      <c r="C50" t="s">
        <v>48</v>
      </c>
      <c r="D50">
        <v>-26.29</v>
      </c>
    </row>
    <row r="51" spans="1:4" x14ac:dyDescent="0.25">
      <c r="A51" s="1">
        <v>43556</v>
      </c>
      <c r="B51" s="28">
        <v>0.51460648148148147</v>
      </c>
      <c r="C51" t="s">
        <v>48</v>
      </c>
      <c r="D51">
        <v>-26.22</v>
      </c>
    </row>
    <row r="52" spans="1:4" x14ac:dyDescent="0.25">
      <c r="A52" s="1">
        <v>43556</v>
      </c>
      <c r="B52" s="28">
        <v>0.51530092592592591</v>
      </c>
      <c r="C52" t="s">
        <v>48</v>
      </c>
      <c r="D52">
        <v>-26.16</v>
      </c>
    </row>
    <row r="53" spans="1:4" x14ac:dyDescent="0.25">
      <c r="A53" s="1">
        <v>43556</v>
      </c>
      <c r="B53" s="28">
        <v>0.51599537037037035</v>
      </c>
      <c r="C53" t="s">
        <v>48</v>
      </c>
      <c r="D53">
        <v>-26.08</v>
      </c>
    </row>
    <row r="54" spans="1:4" x14ac:dyDescent="0.25">
      <c r="A54" s="1">
        <v>43556</v>
      </c>
      <c r="B54" s="28">
        <v>0.51681712962962967</v>
      </c>
      <c r="C54" t="s">
        <v>48</v>
      </c>
      <c r="D54">
        <v>-26</v>
      </c>
    </row>
    <row r="55" spans="1:4" x14ac:dyDescent="0.25">
      <c r="A55" s="1">
        <v>43556</v>
      </c>
      <c r="B55" s="28">
        <v>0.517511574074074</v>
      </c>
      <c r="C55" t="s">
        <v>48</v>
      </c>
      <c r="D55">
        <v>-25.9</v>
      </c>
    </row>
    <row r="56" spans="1:4" x14ac:dyDescent="0.25">
      <c r="A56" s="1">
        <v>43556</v>
      </c>
      <c r="B56" s="28">
        <v>0.51820601851851855</v>
      </c>
      <c r="C56" t="s">
        <v>48</v>
      </c>
      <c r="D56">
        <v>-25.82</v>
      </c>
    </row>
    <row r="57" spans="1:4" x14ac:dyDescent="0.25">
      <c r="A57" s="1">
        <v>43556</v>
      </c>
      <c r="B57" s="28">
        <v>0.51890046296296299</v>
      </c>
      <c r="C57" t="s">
        <v>48</v>
      </c>
      <c r="D57">
        <v>-25.75</v>
      </c>
    </row>
    <row r="58" spans="1:4" x14ac:dyDescent="0.25">
      <c r="A58" s="1">
        <v>43556</v>
      </c>
      <c r="B58" s="28">
        <v>0.51959490740740744</v>
      </c>
      <c r="C58" t="s">
        <v>48</v>
      </c>
      <c r="D58">
        <v>-25.66</v>
      </c>
    </row>
    <row r="59" spans="1:4" x14ac:dyDescent="0.25">
      <c r="A59" s="1">
        <v>43556</v>
      </c>
      <c r="B59" s="28">
        <v>0.52028935185185188</v>
      </c>
      <c r="C59" t="s">
        <v>48</v>
      </c>
      <c r="D59">
        <v>-25.58</v>
      </c>
    </row>
    <row r="60" spans="1:4" x14ac:dyDescent="0.25">
      <c r="A60" s="1">
        <v>43556</v>
      </c>
      <c r="B60" s="28">
        <v>0.52098379629629632</v>
      </c>
      <c r="C60" t="s">
        <v>48</v>
      </c>
      <c r="D60">
        <v>-25.49</v>
      </c>
    </row>
    <row r="61" spans="1:4" x14ac:dyDescent="0.25">
      <c r="A61" s="1">
        <v>43556</v>
      </c>
      <c r="B61" s="28">
        <v>0.52167824074074076</v>
      </c>
      <c r="C61" t="s">
        <v>48</v>
      </c>
      <c r="D61">
        <v>-25.41</v>
      </c>
    </row>
    <row r="62" spans="1:4" x14ac:dyDescent="0.25">
      <c r="A62" s="1">
        <v>43556</v>
      </c>
      <c r="B62" s="28">
        <v>0.5223726851851852</v>
      </c>
      <c r="C62" t="s">
        <v>48</v>
      </c>
      <c r="D62">
        <v>-25.34</v>
      </c>
    </row>
    <row r="63" spans="1:4" x14ac:dyDescent="0.25">
      <c r="A63" s="1">
        <v>43556</v>
      </c>
      <c r="B63" s="28">
        <v>0.52306712962962965</v>
      </c>
      <c r="C63" t="s">
        <v>48</v>
      </c>
      <c r="D63">
        <v>-25.24</v>
      </c>
    </row>
    <row r="64" spans="1:4" x14ac:dyDescent="0.25">
      <c r="A64" s="1">
        <v>43556</v>
      </c>
      <c r="B64" s="28">
        <v>0.52376157407407409</v>
      </c>
      <c r="C64" t="s">
        <v>48</v>
      </c>
      <c r="D64">
        <v>-25.16</v>
      </c>
    </row>
    <row r="65" spans="1:4" x14ac:dyDescent="0.25">
      <c r="A65" s="1">
        <v>43556</v>
      </c>
      <c r="B65" s="28">
        <v>0.52445601851851853</v>
      </c>
      <c r="C65" t="s">
        <v>48</v>
      </c>
      <c r="D65">
        <v>-25.08</v>
      </c>
    </row>
    <row r="66" spans="1:4" x14ac:dyDescent="0.25">
      <c r="A66" s="1">
        <v>43556</v>
      </c>
      <c r="B66" s="28">
        <v>0.52515046296296297</v>
      </c>
      <c r="C66" t="s">
        <v>48</v>
      </c>
      <c r="D66">
        <v>-24.98</v>
      </c>
    </row>
    <row r="67" spans="1:4" x14ac:dyDescent="0.25">
      <c r="A67" s="1">
        <v>43556</v>
      </c>
      <c r="B67" s="28">
        <v>0.52584490740740741</v>
      </c>
      <c r="C67" t="s">
        <v>48</v>
      </c>
      <c r="D67">
        <v>-24.91</v>
      </c>
    </row>
    <row r="68" spans="1:4" x14ac:dyDescent="0.25">
      <c r="A68" s="1">
        <v>43556</v>
      </c>
      <c r="B68" s="28">
        <v>0.52653935185185186</v>
      </c>
      <c r="C68" t="s">
        <v>48</v>
      </c>
      <c r="D68">
        <v>-24.82</v>
      </c>
    </row>
    <row r="69" spans="1:4" x14ac:dyDescent="0.25">
      <c r="A69" s="1">
        <v>43556</v>
      </c>
      <c r="B69" s="28">
        <v>0.5272337962962963</v>
      </c>
      <c r="C69" t="s">
        <v>48</v>
      </c>
      <c r="D69">
        <v>-24.72</v>
      </c>
    </row>
    <row r="70" spans="1:4" x14ac:dyDescent="0.25">
      <c r="A70" s="1">
        <v>43556</v>
      </c>
      <c r="B70" s="28">
        <v>0.52792824074074074</v>
      </c>
      <c r="C70" t="s">
        <v>48</v>
      </c>
      <c r="D70">
        <v>-24.64</v>
      </c>
    </row>
    <row r="71" spans="1:4" x14ac:dyDescent="0.25">
      <c r="A71" s="1">
        <v>43556</v>
      </c>
      <c r="B71" s="28">
        <v>0.52862268518518518</v>
      </c>
      <c r="C71" t="s">
        <v>48</v>
      </c>
      <c r="D71">
        <v>-24.55</v>
      </c>
    </row>
    <row r="72" spans="1:4" x14ac:dyDescent="0.25">
      <c r="A72" s="1">
        <v>43556</v>
      </c>
      <c r="B72" s="28">
        <v>0.52931712962962962</v>
      </c>
      <c r="C72" t="s">
        <v>48</v>
      </c>
      <c r="D72">
        <v>-24.46</v>
      </c>
    </row>
    <row r="73" spans="1:4" x14ac:dyDescent="0.25">
      <c r="A73" s="1">
        <v>43556</v>
      </c>
      <c r="B73" s="28">
        <v>0.53001157407407407</v>
      </c>
      <c r="C73" t="s">
        <v>48</v>
      </c>
      <c r="D73">
        <v>-24.37</v>
      </c>
    </row>
    <row r="74" spans="1:4" x14ac:dyDescent="0.25">
      <c r="A74" s="1">
        <v>43556</v>
      </c>
      <c r="B74" s="28">
        <v>0.53070601851851851</v>
      </c>
      <c r="C74" t="s">
        <v>48</v>
      </c>
      <c r="D74">
        <v>-24.28</v>
      </c>
    </row>
    <row r="75" spans="1:4" x14ac:dyDescent="0.25">
      <c r="A75" s="1">
        <v>43556</v>
      </c>
      <c r="B75" s="28">
        <v>0.53140046296296295</v>
      </c>
      <c r="C75" t="s">
        <v>48</v>
      </c>
      <c r="D75">
        <v>-24.18</v>
      </c>
    </row>
    <row r="76" spans="1:4" x14ac:dyDescent="0.25">
      <c r="A76" s="1">
        <v>43556</v>
      </c>
      <c r="B76" s="28">
        <v>0.53209490740740739</v>
      </c>
      <c r="C76" t="s">
        <v>48</v>
      </c>
      <c r="D76">
        <v>-24.09</v>
      </c>
    </row>
    <row r="77" spans="1:4" x14ac:dyDescent="0.25">
      <c r="A77" s="1">
        <v>43556</v>
      </c>
      <c r="B77" s="28">
        <v>0.53278935185185183</v>
      </c>
      <c r="C77" t="s">
        <v>48</v>
      </c>
      <c r="D77">
        <v>-23.99</v>
      </c>
    </row>
    <row r="78" spans="1:4" x14ac:dyDescent="0.25">
      <c r="A78" s="1">
        <v>43556</v>
      </c>
      <c r="B78" s="28">
        <v>0.53348379629629628</v>
      </c>
      <c r="C78" t="s">
        <v>48</v>
      </c>
      <c r="D78">
        <v>-23.9</v>
      </c>
    </row>
    <row r="79" spans="1:4" x14ac:dyDescent="0.25">
      <c r="A79" s="1">
        <v>43556</v>
      </c>
      <c r="B79" s="28">
        <v>0.53417824074074072</v>
      </c>
      <c r="C79" t="s">
        <v>48</v>
      </c>
      <c r="D79">
        <v>-23.8</v>
      </c>
    </row>
    <row r="80" spans="1:4" x14ac:dyDescent="0.25">
      <c r="A80" s="1">
        <v>43556</v>
      </c>
      <c r="B80" s="28">
        <v>0.53487268518518516</v>
      </c>
      <c r="C80" t="s">
        <v>48</v>
      </c>
      <c r="D80">
        <v>-23.7</v>
      </c>
    </row>
    <row r="81" spans="1:4" x14ac:dyDescent="0.25">
      <c r="A81" s="1">
        <v>43556</v>
      </c>
      <c r="B81" s="28">
        <v>0.5355671296296296</v>
      </c>
      <c r="C81" t="s">
        <v>48</v>
      </c>
      <c r="D81">
        <v>-23.61</v>
      </c>
    </row>
    <row r="82" spans="1:4" x14ac:dyDescent="0.25">
      <c r="A82" s="1">
        <v>43556</v>
      </c>
      <c r="B82" s="28">
        <v>0.53626157407407404</v>
      </c>
      <c r="C82" t="s">
        <v>48</v>
      </c>
      <c r="D82">
        <v>-23.5</v>
      </c>
    </row>
    <row r="83" spans="1:4" x14ac:dyDescent="0.25">
      <c r="A83" s="1">
        <v>43556</v>
      </c>
      <c r="B83" s="28">
        <v>0.53695601851851849</v>
      </c>
      <c r="C83" t="s">
        <v>48</v>
      </c>
      <c r="D83">
        <v>-23.41</v>
      </c>
    </row>
    <row r="84" spans="1:4" x14ac:dyDescent="0.25">
      <c r="A84" s="1">
        <v>43556</v>
      </c>
      <c r="B84" s="28">
        <v>0.53765046296296293</v>
      </c>
      <c r="C84" t="s">
        <v>48</v>
      </c>
      <c r="D84">
        <v>-23.32</v>
      </c>
    </row>
    <row r="85" spans="1:4" x14ac:dyDescent="0.25">
      <c r="A85" s="1">
        <v>43556</v>
      </c>
      <c r="B85" s="28">
        <v>0.53834490740740748</v>
      </c>
      <c r="C85" t="s">
        <v>48</v>
      </c>
      <c r="D85">
        <v>-23.23</v>
      </c>
    </row>
    <row r="86" spans="1:4" x14ac:dyDescent="0.25">
      <c r="A86" s="1">
        <v>43556</v>
      </c>
      <c r="B86" s="28">
        <v>0.53903935185185181</v>
      </c>
      <c r="C86" t="s">
        <v>48</v>
      </c>
      <c r="D86">
        <v>-23.13</v>
      </c>
    </row>
    <row r="87" spans="1:4" x14ac:dyDescent="0.25">
      <c r="A87" s="1">
        <v>43556</v>
      </c>
      <c r="B87" s="28">
        <v>0.53973379629629636</v>
      </c>
      <c r="C87" t="s">
        <v>48</v>
      </c>
      <c r="D87">
        <v>-23.03</v>
      </c>
    </row>
    <row r="88" spans="1:4" x14ac:dyDescent="0.25">
      <c r="A88" s="1">
        <v>43556</v>
      </c>
      <c r="B88" s="28">
        <v>0.5404282407407407</v>
      </c>
      <c r="C88" t="s">
        <v>48</v>
      </c>
      <c r="D88">
        <v>-22.94</v>
      </c>
    </row>
    <row r="89" spans="1:4" x14ac:dyDescent="0.25">
      <c r="A89" s="1">
        <v>43556</v>
      </c>
      <c r="B89" s="28">
        <v>0.54112268518518525</v>
      </c>
      <c r="C89" t="s">
        <v>48</v>
      </c>
      <c r="D89">
        <v>-22.84</v>
      </c>
    </row>
    <row r="90" spans="1:4" x14ac:dyDescent="0.25">
      <c r="A90" s="1">
        <v>43556</v>
      </c>
      <c r="B90" s="28">
        <v>0.54181712962962958</v>
      </c>
      <c r="C90" t="s">
        <v>48</v>
      </c>
      <c r="D90">
        <v>-22.75</v>
      </c>
    </row>
    <row r="91" spans="1:4" x14ac:dyDescent="0.25">
      <c r="A91" s="1">
        <v>43556</v>
      </c>
      <c r="B91" s="28">
        <v>0.54251157407407413</v>
      </c>
      <c r="C91" t="s">
        <v>48</v>
      </c>
      <c r="D91">
        <v>-22.66</v>
      </c>
    </row>
    <row r="92" spans="1:4" x14ac:dyDescent="0.25">
      <c r="A92" s="1">
        <v>43556</v>
      </c>
      <c r="B92" s="28">
        <v>0.54320601851851846</v>
      </c>
      <c r="C92" t="s">
        <v>48</v>
      </c>
      <c r="D92">
        <v>-22.57</v>
      </c>
    </row>
    <row r="93" spans="1:4" x14ac:dyDescent="0.25">
      <c r="A93" s="1">
        <v>43556</v>
      </c>
      <c r="B93" s="28">
        <v>0.54390046296296302</v>
      </c>
      <c r="C93" t="s">
        <v>48</v>
      </c>
      <c r="D93">
        <v>-22.48</v>
      </c>
    </row>
    <row r="94" spans="1:4" x14ac:dyDescent="0.25">
      <c r="A94" s="1">
        <v>43556</v>
      </c>
      <c r="B94" s="28">
        <v>0.54459490740740735</v>
      </c>
      <c r="C94" t="s">
        <v>48</v>
      </c>
      <c r="D94">
        <v>-22.41</v>
      </c>
    </row>
    <row r="95" spans="1:4" x14ac:dyDescent="0.25">
      <c r="A95" s="1">
        <v>43556</v>
      </c>
      <c r="B95" s="28">
        <v>0.5452893518518519</v>
      </c>
      <c r="C95" t="s">
        <v>48</v>
      </c>
      <c r="D95">
        <v>-22.3</v>
      </c>
    </row>
    <row r="96" spans="1:4" x14ac:dyDescent="0.25">
      <c r="A96" s="1">
        <v>43556</v>
      </c>
      <c r="B96" s="28">
        <v>0.54598379629629623</v>
      </c>
      <c r="C96" t="s">
        <v>48</v>
      </c>
      <c r="D96">
        <v>-22.22</v>
      </c>
    </row>
    <row r="97" spans="1:4" x14ac:dyDescent="0.25">
      <c r="A97" s="1">
        <v>43556</v>
      </c>
      <c r="B97" s="28">
        <v>0.54667824074074078</v>
      </c>
      <c r="C97" t="s">
        <v>48</v>
      </c>
      <c r="D97">
        <v>-22.13</v>
      </c>
    </row>
    <row r="98" spans="1:4" x14ac:dyDescent="0.25">
      <c r="A98" s="1">
        <v>43556</v>
      </c>
      <c r="B98" s="28">
        <v>0.54737268518518511</v>
      </c>
      <c r="C98" t="s">
        <v>48</v>
      </c>
      <c r="D98">
        <v>-22.03</v>
      </c>
    </row>
    <row r="99" spans="1:4" x14ac:dyDescent="0.25">
      <c r="A99" s="1">
        <v>43556</v>
      </c>
      <c r="B99" s="28">
        <v>0.54806712962962967</v>
      </c>
      <c r="C99" t="s">
        <v>48</v>
      </c>
      <c r="D99">
        <v>-21.95</v>
      </c>
    </row>
    <row r="100" spans="1:4" x14ac:dyDescent="0.25">
      <c r="A100" s="1">
        <v>43556</v>
      </c>
      <c r="B100" s="28">
        <v>0.54876157407407411</v>
      </c>
      <c r="C100" t="s">
        <v>48</v>
      </c>
      <c r="D100">
        <v>-21.86</v>
      </c>
    </row>
    <row r="101" spans="1:4" x14ac:dyDescent="0.25">
      <c r="A101" s="1">
        <v>43556</v>
      </c>
      <c r="B101" s="28">
        <v>0.54945601851851855</v>
      </c>
      <c r="C101" t="s">
        <v>48</v>
      </c>
      <c r="D101">
        <v>-21.77</v>
      </c>
    </row>
    <row r="102" spans="1:4" x14ac:dyDescent="0.25">
      <c r="A102" s="1">
        <v>43556</v>
      </c>
      <c r="B102" s="28">
        <v>0.55015046296296299</v>
      </c>
      <c r="C102" t="s">
        <v>48</v>
      </c>
      <c r="D102">
        <v>-21.68</v>
      </c>
    </row>
    <row r="103" spans="1:4" x14ac:dyDescent="0.25">
      <c r="A103" s="1">
        <v>43556</v>
      </c>
      <c r="B103" s="28">
        <v>0.55084490740740744</v>
      </c>
      <c r="C103" t="s">
        <v>48</v>
      </c>
      <c r="D103">
        <v>-21.59</v>
      </c>
    </row>
    <row r="104" spans="1:4" x14ac:dyDescent="0.25">
      <c r="A104" s="1">
        <v>43556</v>
      </c>
      <c r="B104" s="28">
        <v>0.55153935185185188</v>
      </c>
      <c r="C104" t="s">
        <v>48</v>
      </c>
      <c r="D104">
        <v>-21.5</v>
      </c>
    </row>
    <row r="105" spans="1:4" x14ac:dyDescent="0.25">
      <c r="A105" s="1">
        <v>43556</v>
      </c>
      <c r="B105" s="28">
        <v>0.55223379629629632</v>
      </c>
      <c r="C105" t="s">
        <v>48</v>
      </c>
      <c r="D105">
        <v>-21.41</v>
      </c>
    </row>
    <row r="106" spans="1:4" x14ac:dyDescent="0.25">
      <c r="A106" s="1">
        <v>43556</v>
      </c>
      <c r="B106" s="28">
        <v>0.55292824074074076</v>
      </c>
      <c r="C106" t="s">
        <v>48</v>
      </c>
      <c r="D106">
        <v>-21.31</v>
      </c>
    </row>
    <row r="107" spans="1:4" x14ac:dyDescent="0.25">
      <c r="A107" s="1">
        <v>43556</v>
      </c>
      <c r="B107" s="28">
        <v>0.5536226851851852</v>
      </c>
      <c r="C107" t="s">
        <v>48</v>
      </c>
      <c r="D107">
        <v>-21.22</v>
      </c>
    </row>
    <row r="108" spans="1:4" x14ac:dyDescent="0.25">
      <c r="A108" s="1">
        <v>43556</v>
      </c>
      <c r="B108" s="28">
        <v>0.55431712962962965</v>
      </c>
      <c r="C108" t="s">
        <v>48</v>
      </c>
      <c r="D108">
        <v>-21.12</v>
      </c>
    </row>
    <row r="109" spans="1:4" x14ac:dyDescent="0.25">
      <c r="A109" s="1">
        <v>43556</v>
      </c>
      <c r="B109" s="28">
        <v>0.55501157407407409</v>
      </c>
      <c r="C109" t="s">
        <v>48</v>
      </c>
      <c r="D109">
        <v>-21.03</v>
      </c>
    </row>
    <row r="110" spans="1:4" x14ac:dyDescent="0.25">
      <c r="A110" s="1">
        <v>43556</v>
      </c>
      <c r="B110" s="28">
        <v>0.55570601851851853</v>
      </c>
      <c r="C110" t="s">
        <v>48</v>
      </c>
      <c r="D110">
        <v>-20.93</v>
      </c>
    </row>
    <row r="111" spans="1:4" x14ac:dyDescent="0.25">
      <c r="A111" s="1">
        <v>43556</v>
      </c>
      <c r="B111" s="28">
        <v>0.55640046296296297</v>
      </c>
      <c r="C111" t="s">
        <v>48</v>
      </c>
      <c r="D111">
        <v>-20.84</v>
      </c>
    </row>
    <row r="112" spans="1:4" x14ac:dyDescent="0.25">
      <c r="A112" s="1">
        <v>43556</v>
      </c>
      <c r="B112" s="28">
        <v>0.55709490740740741</v>
      </c>
      <c r="C112" t="s">
        <v>48</v>
      </c>
      <c r="D112">
        <v>-20.74</v>
      </c>
    </row>
    <row r="113" spans="1:4" x14ac:dyDescent="0.25">
      <c r="A113" s="1">
        <v>43556</v>
      </c>
      <c r="B113" s="28">
        <v>0.55778935185185186</v>
      </c>
      <c r="C113" t="s">
        <v>48</v>
      </c>
      <c r="D113">
        <v>-20.65</v>
      </c>
    </row>
    <row r="114" spans="1:4" x14ac:dyDescent="0.25">
      <c r="A114" s="1">
        <v>43556</v>
      </c>
      <c r="B114" s="28">
        <v>0.5584837962962963</v>
      </c>
      <c r="C114" t="s">
        <v>48</v>
      </c>
      <c r="D114">
        <v>-20.56</v>
      </c>
    </row>
    <row r="115" spans="1:4" x14ac:dyDescent="0.25">
      <c r="A115" s="1">
        <v>43556</v>
      </c>
      <c r="B115" s="28">
        <v>0.55917824074074074</v>
      </c>
      <c r="C115" t="s">
        <v>48</v>
      </c>
      <c r="D115">
        <v>-20.49</v>
      </c>
    </row>
    <row r="116" spans="1:4" x14ac:dyDescent="0.25">
      <c r="A116" s="1">
        <v>43556</v>
      </c>
      <c r="B116" s="28">
        <v>0.55987268518518518</v>
      </c>
      <c r="C116" t="s">
        <v>48</v>
      </c>
      <c r="D116">
        <v>-20.39</v>
      </c>
    </row>
    <row r="117" spans="1:4" x14ac:dyDescent="0.25">
      <c r="A117" s="1">
        <v>43556</v>
      </c>
      <c r="B117" s="28">
        <v>0.56056712962962962</v>
      </c>
      <c r="C117" t="s">
        <v>48</v>
      </c>
      <c r="D117">
        <v>-20.3</v>
      </c>
    </row>
    <row r="118" spans="1:4" x14ac:dyDescent="0.25">
      <c r="A118" s="1">
        <v>43556</v>
      </c>
      <c r="B118" s="28">
        <v>0.56126157407407407</v>
      </c>
      <c r="C118" t="s">
        <v>48</v>
      </c>
      <c r="D118">
        <v>-20.21</v>
      </c>
    </row>
    <row r="119" spans="1:4" x14ac:dyDescent="0.25">
      <c r="A119" s="1">
        <v>43556</v>
      </c>
      <c r="B119" s="28">
        <v>0.56195601851851851</v>
      </c>
      <c r="C119" t="s">
        <v>48</v>
      </c>
      <c r="D119">
        <v>-20.14</v>
      </c>
    </row>
    <row r="120" spans="1:4" x14ac:dyDescent="0.25">
      <c r="A120" s="1">
        <v>43556</v>
      </c>
      <c r="B120" s="28">
        <v>0.56265046296296295</v>
      </c>
      <c r="C120" t="s">
        <v>48</v>
      </c>
      <c r="D120">
        <v>-20.04</v>
      </c>
    </row>
    <row r="121" spans="1:4" x14ac:dyDescent="0.25">
      <c r="A121" s="1">
        <v>43556</v>
      </c>
      <c r="B121" s="28">
        <v>0.56334490740740739</v>
      </c>
      <c r="C121" t="s">
        <v>48</v>
      </c>
      <c r="D121">
        <v>-19.96</v>
      </c>
    </row>
    <row r="122" spans="1:4" x14ac:dyDescent="0.25">
      <c r="A122" s="1">
        <v>43556</v>
      </c>
      <c r="B122" s="28">
        <v>0.56403935185185183</v>
      </c>
      <c r="C122" t="s">
        <v>48</v>
      </c>
      <c r="D122">
        <v>-19.89</v>
      </c>
    </row>
    <row r="123" spans="1:4" x14ac:dyDescent="0.25">
      <c r="A123" s="1">
        <v>43556</v>
      </c>
      <c r="B123" s="28">
        <v>0.56473379629629628</v>
      </c>
      <c r="C123" t="s">
        <v>48</v>
      </c>
      <c r="D123">
        <v>-19.8</v>
      </c>
    </row>
    <row r="124" spans="1:4" x14ac:dyDescent="0.25">
      <c r="A124" s="1">
        <v>43556</v>
      </c>
      <c r="B124" s="28">
        <v>0.56542824074074072</v>
      </c>
      <c r="C124" t="s">
        <v>48</v>
      </c>
      <c r="D124">
        <v>-19.73</v>
      </c>
    </row>
    <row r="125" spans="1:4" x14ac:dyDescent="0.25">
      <c r="A125" s="1">
        <v>43556</v>
      </c>
      <c r="B125" s="28">
        <v>0.56612268518518516</v>
      </c>
      <c r="C125" t="s">
        <v>48</v>
      </c>
      <c r="D125">
        <v>-19.649999999999999</v>
      </c>
    </row>
    <row r="126" spans="1:4" x14ac:dyDescent="0.25">
      <c r="A126" s="1">
        <v>43556</v>
      </c>
      <c r="B126" s="28">
        <v>0.5668171296296296</v>
      </c>
      <c r="C126" t="s">
        <v>48</v>
      </c>
      <c r="D126">
        <v>-19.559999999999999</v>
      </c>
    </row>
    <row r="127" spans="1:4" x14ac:dyDescent="0.25">
      <c r="A127" s="1">
        <v>43556</v>
      </c>
      <c r="B127" s="28">
        <v>0.56751157407407404</v>
      </c>
      <c r="C127" t="s">
        <v>48</v>
      </c>
      <c r="D127">
        <v>-19.48</v>
      </c>
    </row>
    <row r="128" spans="1:4" x14ac:dyDescent="0.25">
      <c r="A128" s="1">
        <v>43556</v>
      </c>
      <c r="B128" s="28">
        <v>0.56820601851851849</v>
      </c>
      <c r="C128" t="s">
        <v>48</v>
      </c>
      <c r="D128">
        <v>-19.399999999999999</v>
      </c>
    </row>
    <row r="129" spans="1:4" x14ac:dyDescent="0.25">
      <c r="A129" s="1">
        <v>43556</v>
      </c>
      <c r="B129" s="28">
        <v>0.56890046296296293</v>
      </c>
      <c r="C129" t="s">
        <v>48</v>
      </c>
      <c r="D129">
        <v>-19.309999999999999</v>
      </c>
    </row>
    <row r="130" spans="1:4" x14ac:dyDescent="0.25">
      <c r="A130" s="1">
        <v>43556</v>
      </c>
      <c r="B130" s="28">
        <v>0.56959490740740748</v>
      </c>
      <c r="C130" t="s">
        <v>48</v>
      </c>
      <c r="D130">
        <v>-19.25</v>
      </c>
    </row>
    <row r="131" spans="1:4" x14ac:dyDescent="0.25">
      <c r="A131" s="1">
        <v>43556</v>
      </c>
      <c r="B131" s="28">
        <v>0.57028935185185181</v>
      </c>
      <c r="C131" t="s">
        <v>48</v>
      </c>
      <c r="D131">
        <v>-19.170000000000002</v>
      </c>
    </row>
    <row r="132" spans="1:4" x14ac:dyDescent="0.25">
      <c r="A132" s="1">
        <v>43556</v>
      </c>
      <c r="B132" s="28">
        <v>0.57098379629629636</v>
      </c>
      <c r="C132" t="s">
        <v>48</v>
      </c>
      <c r="D132">
        <v>-19.09</v>
      </c>
    </row>
    <row r="133" spans="1:4" x14ac:dyDescent="0.25">
      <c r="A133" s="1">
        <v>43556</v>
      </c>
      <c r="B133" s="28">
        <v>0.5716782407407407</v>
      </c>
      <c r="C133" t="s">
        <v>48</v>
      </c>
      <c r="D133">
        <v>-19.010000000000002</v>
      </c>
    </row>
    <row r="134" spans="1:4" x14ac:dyDescent="0.25">
      <c r="A134" s="1">
        <v>43556</v>
      </c>
      <c r="B134" s="28">
        <v>0.57237268518518525</v>
      </c>
      <c r="C134" t="s">
        <v>48</v>
      </c>
      <c r="D134">
        <v>-18.920000000000002</v>
      </c>
    </row>
    <row r="135" spans="1:4" x14ac:dyDescent="0.25">
      <c r="A135" s="1">
        <v>43556</v>
      </c>
      <c r="B135" s="28">
        <v>0.57306712962962958</v>
      </c>
      <c r="C135" t="s">
        <v>48</v>
      </c>
      <c r="D135">
        <v>-18.86</v>
      </c>
    </row>
    <row r="136" spans="1:4" x14ac:dyDescent="0.25">
      <c r="A136" s="1">
        <v>43556</v>
      </c>
      <c r="B136" s="28">
        <v>0.57376157407407413</v>
      </c>
      <c r="C136" t="s">
        <v>48</v>
      </c>
      <c r="D136">
        <v>-18.77</v>
      </c>
    </row>
    <row r="137" spans="1:4" x14ac:dyDescent="0.25">
      <c r="A137" s="1">
        <v>43556</v>
      </c>
      <c r="B137" s="28">
        <v>0.57445601851851846</v>
      </c>
      <c r="C137" t="s">
        <v>48</v>
      </c>
      <c r="D137">
        <v>-18.690000000000001</v>
      </c>
    </row>
    <row r="138" spans="1:4" x14ac:dyDescent="0.25">
      <c r="A138" s="1">
        <v>43556</v>
      </c>
      <c r="B138" s="28">
        <v>0.57515046296296302</v>
      </c>
      <c r="C138" t="s">
        <v>48</v>
      </c>
      <c r="D138">
        <v>-18.62</v>
      </c>
    </row>
    <row r="139" spans="1:4" x14ac:dyDescent="0.25">
      <c r="A139" s="1">
        <v>43556</v>
      </c>
      <c r="B139" s="28">
        <v>0.57584490740740735</v>
      </c>
      <c r="C139" t="s">
        <v>48</v>
      </c>
      <c r="D139">
        <v>-18.55</v>
      </c>
    </row>
    <row r="140" spans="1:4" x14ac:dyDescent="0.25">
      <c r="A140" s="1">
        <v>43556</v>
      </c>
      <c r="B140" s="28">
        <v>0.5765393518518519</v>
      </c>
      <c r="C140" t="s">
        <v>48</v>
      </c>
      <c r="D140">
        <v>-18.48</v>
      </c>
    </row>
    <row r="141" spans="1:4" x14ac:dyDescent="0.25">
      <c r="A141" s="1">
        <v>43556</v>
      </c>
      <c r="B141" s="28">
        <v>0.57723379629629623</v>
      </c>
      <c r="C141" t="s">
        <v>48</v>
      </c>
      <c r="D141">
        <v>-18.41</v>
      </c>
    </row>
    <row r="142" spans="1:4" x14ac:dyDescent="0.25">
      <c r="A142" s="1">
        <v>43556</v>
      </c>
      <c r="B142" s="28">
        <v>0.57792824074074078</v>
      </c>
      <c r="C142" t="s">
        <v>48</v>
      </c>
      <c r="D142">
        <v>-18.34</v>
      </c>
    </row>
    <row r="143" spans="1:4" x14ac:dyDescent="0.25">
      <c r="A143" s="1">
        <v>43556</v>
      </c>
      <c r="B143" s="28">
        <v>0.57862268518518511</v>
      </c>
      <c r="C143" t="s">
        <v>48</v>
      </c>
      <c r="D143">
        <v>-18.260000000000002</v>
      </c>
    </row>
    <row r="144" spans="1:4" x14ac:dyDescent="0.25">
      <c r="A144" s="1">
        <v>43556</v>
      </c>
      <c r="B144" s="28">
        <v>0.57931712962962967</v>
      </c>
      <c r="C144" t="s">
        <v>48</v>
      </c>
      <c r="D144">
        <v>-18.2</v>
      </c>
    </row>
    <row r="145" spans="1:4" x14ac:dyDescent="0.25">
      <c r="A145" s="1">
        <v>43556</v>
      </c>
      <c r="B145" s="28">
        <v>0.58001157407407411</v>
      </c>
      <c r="C145" t="s">
        <v>48</v>
      </c>
      <c r="D145">
        <v>-18.11</v>
      </c>
    </row>
    <row r="146" spans="1:4" x14ac:dyDescent="0.25">
      <c r="A146" s="1">
        <v>43556</v>
      </c>
      <c r="B146" s="28">
        <v>0.58070601851851855</v>
      </c>
      <c r="C146" t="s">
        <v>48</v>
      </c>
      <c r="D146">
        <v>-18.36</v>
      </c>
    </row>
    <row r="147" spans="1:4" x14ac:dyDescent="0.25">
      <c r="A147" s="1">
        <v>43556</v>
      </c>
      <c r="B147" s="28">
        <v>0.58140046296296299</v>
      </c>
      <c r="C147" t="s">
        <v>48</v>
      </c>
      <c r="D147">
        <v>-18.71</v>
      </c>
    </row>
    <row r="148" spans="1:4" x14ac:dyDescent="0.25">
      <c r="A148" s="1">
        <v>43556</v>
      </c>
      <c r="B148" s="28">
        <v>0.58209490740740744</v>
      </c>
      <c r="C148" t="s">
        <v>48</v>
      </c>
      <c r="D148">
        <v>-19.11</v>
      </c>
    </row>
    <row r="149" spans="1:4" x14ac:dyDescent="0.25">
      <c r="A149" s="1">
        <v>43556</v>
      </c>
      <c r="B149" s="28">
        <v>0.58278935185185188</v>
      </c>
      <c r="C149" t="s">
        <v>48</v>
      </c>
      <c r="D149">
        <v>-19.47</v>
      </c>
    </row>
    <row r="150" spans="1:4" x14ac:dyDescent="0.25">
      <c r="A150" s="1">
        <v>43556</v>
      </c>
      <c r="B150" s="28">
        <v>0.58348379629629632</v>
      </c>
      <c r="C150" t="s">
        <v>48</v>
      </c>
      <c r="D150">
        <v>-19.809999999999999</v>
      </c>
    </row>
    <row r="151" spans="1:4" x14ac:dyDescent="0.25">
      <c r="A151" s="1">
        <v>43556</v>
      </c>
      <c r="B151" s="28">
        <v>0.58417824074074076</v>
      </c>
      <c r="C151" t="s">
        <v>48</v>
      </c>
      <c r="D151">
        <v>-20.12</v>
      </c>
    </row>
    <row r="152" spans="1:4" x14ac:dyDescent="0.25">
      <c r="A152" s="1">
        <v>43556</v>
      </c>
      <c r="B152" s="28">
        <v>0.5848726851851852</v>
      </c>
      <c r="C152" t="s">
        <v>48</v>
      </c>
      <c r="D152">
        <v>-20.38</v>
      </c>
    </row>
    <row r="153" spans="1:4" x14ac:dyDescent="0.25">
      <c r="A153" s="1">
        <v>43556</v>
      </c>
      <c r="B153" s="28">
        <v>0.58556712962962965</v>
      </c>
      <c r="C153" t="s">
        <v>48</v>
      </c>
      <c r="D153">
        <v>-20.65</v>
      </c>
    </row>
    <row r="154" spans="1:4" x14ac:dyDescent="0.25">
      <c r="A154" s="1">
        <v>43556</v>
      </c>
      <c r="B154" s="28">
        <v>0.58626157407407409</v>
      </c>
      <c r="C154" t="s">
        <v>48</v>
      </c>
      <c r="D154">
        <v>-20.89</v>
      </c>
    </row>
    <row r="155" spans="1:4" x14ac:dyDescent="0.25">
      <c r="A155" s="1">
        <v>43556</v>
      </c>
      <c r="B155" s="28">
        <v>0.58695601851851853</v>
      </c>
      <c r="C155" t="s">
        <v>48</v>
      </c>
      <c r="D155">
        <v>-21.17</v>
      </c>
    </row>
    <row r="156" spans="1:4" x14ac:dyDescent="0.25">
      <c r="A156" s="1">
        <v>43556</v>
      </c>
      <c r="B156" s="28">
        <v>0.58765046296296297</v>
      </c>
      <c r="C156" t="s">
        <v>48</v>
      </c>
      <c r="D156">
        <v>-21.39</v>
      </c>
    </row>
    <row r="157" spans="1:4" x14ac:dyDescent="0.25">
      <c r="A157" s="1">
        <v>43556</v>
      </c>
      <c r="B157" s="28">
        <v>0.58834490740740741</v>
      </c>
      <c r="C157" t="s">
        <v>48</v>
      </c>
      <c r="D157">
        <v>-21.6</v>
      </c>
    </row>
    <row r="158" spans="1:4" x14ac:dyDescent="0.25">
      <c r="A158" s="1">
        <v>43556</v>
      </c>
      <c r="B158" s="28">
        <v>0.58903935185185186</v>
      </c>
      <c r="C158" t="s">
        <v>48</v>
      </c>
      <c r="D158">
        <v>-21.82</v>
      </c>
    </row>
    <row r="159" spans="1:4" x14ac:dyDescent="0.25">
      <c r="A159" s="1">
        <v>43556</v>
      </c>
      <c r="B159" s="28">
        <v>0.5897337962962963</v>
      </c>
      <c r="C159" t="s">
        <v>48</v>
      </c>
      <c r="D159">
        <v>-22.01</v>
      </c>
    </row>
    <row r="160" spans="1:4" x14ac:dyDescent="0.25">
      <c r="A160" s="1">
        <v>43556</v>
      </c>
      <c r="B160" s="28">
        <v>0.59042824074074074</v>
      </c>
      <c r="C160" t="s">
        <v>48</v>
      </c>
      <c r="D160">
        <v>-22.17</v>
      </c>
    </row>
    <row r="161" spans="1:4" x14ac:dyDescent="0.25">
      <c r="A161" s="1">
        <v>43556</v>
      </c>
      <c r="B161" s="28">
        <v>0.59112268518518518</v>
      </c>
      <c r="C161" t="s">
        <v>48</v>
      </c>
      <c r="D161">
        <v>-22.34</v>
      </c>
    </row>
    <row r="162" spans="1:4" x14ac:dyDescent="0.25">
      <c r="A162" s="1">
        <v>43556</v>
      </c>
      <c r="B162" s="28">
        <v>0.59181712962962962</v>
      </c>
      <c r="C162" t="s">
        <v>48</v>
      </c>
      <c r="D162">
        <v>-22.53</v>
      </c>
    </row>
    <row r="163" spans="1:4" x14ac:dyDescent="0.25">
      <c r="A163" s="1">
        <v>43556</v>
      </c>
      <c r="B163" s="28">
        <v>0.59251157407407407</v>
      </c>
      <c r="C163" t="s">
        <v>48</v>
      </c>
      <c r="D163">
        <v>-22.69</v>
      </c>
    </row>
    <row r="164" spans="1:4" x14ac:dyDescent="0.25">
      <c r="A164" s="1">
        <v>43556</v>
      </c>
      <c r="B164" s="28">
        <v>0.59320601851851851</v>
      </c>
      <c r="C164" t="s">
        <v>48</v>
      </c>
      <c r="D164">
        <v>-22.88</v>
      </c>
    </row>
    <row r="165" spans="1:4" x14ac:dyDescent="0.25">
      <c r="A165" s="1">
        <v>43556</v>
      </c>
      <c r="B165" s="28">
        <v>0.59390046296296295</v>
      </c>
      <c r="C165" t="s">
        <v>48</v>
      </c>
      <c r="D165">
        <v>-23.03</v>
      </c>
    </row>
    <row r="166" spans="1:4" x14ac:dyDescent="0.25">
      <c r="A166" s="1">
        <v>43556</v>
      </c>
      <c r="B166" s="28">
        <v>0.59459490740740739</v>
      </c>
      <c r="C166" t="s">
        <v>48</v>
      </c>
      <c r="D166">
        <v>-23.21</v>
      </c>
    </row>
    <row r="167" spans="1:4" x14ac:dyDescent="0.25">
      <c r="A167" s="1">
        <v>43556</v>
      </c>
      <c r="B167" s="28">
        <v>0.59528935185185183</v>
      </c>
      <c r="C167" t="s">
        <v>48</v>
      </c>
      <c r="D167">
        <v>-23.36</v>
      </c>
    </row>
    <row r="168" spans="1:4" x14ac:dyDescent="0.25">
      <c r="A168" s="1">
        <v>43556</v>
      </c>
      <c r="B168" s="28">
        <v>0.59598379629629628</v>
      </c>
      <c r="C168" t="s">
        <v>48</v>
      </c>
      <c r="D168">
        <v>-23.47</v>
      </c>
    </row>
    <row r="169" spans="1:4" x14ac:dyDescent="0.25">
      <c r="A169" s="1">
        <v>43556</v>
      </c>
      <c r="B169" s="28">
        <v>0.59667824074074072</v>
      </c>
      <c r="C169" t="s">
        <v>48</v>
      </c>
      <c r="D169">
        <v>-23.58</v>
      </c>
    </row>
    <row r="170" spans="1:4" x14ac:dyDescent="0.25">
      <c r="A170" s="1">
        <v>43556</v>
      </c>
      <c r="B170" s="28">
        <v>0.59737268518518516</v>
      </c>
      <c r="C170" t="s">
        <v>48</v>
      </c>
      <c r="D170">
        <v>-23.71</v>
      </c>
    </row>
    <row r="171" spans="1:4" x14ac:dyDescent="0.25">
      <c r="A171" s="1">
        <v>43556</v>
      </c>
      <c r="B171" s="28">
        <v>0.5980671296296296</v>
      </c>
      <c r="C171" t="s">
        <v>48</v>
      </c>
      <c r="D171">
        <v>-23.84</v>
      </c>
    </row>
    <row r="172" spans="1:4" x14ac:dyDescent="0.25">
      <c r="A172" s="1">
        <v>43556</v>
      </c>
      <c r="B172" s="28">
        <v>0.59876157407407404</v>
      </c>
      <c r="C172" t="s">
        <v>48</v>
      </c>
      <c r="D172">
        <v>-23.97</v>
      </c>
    </row>
    <row r="173" spans="1:4" x14ac:dyDescent="0.25">
      <c r="A173" s="1">
        <v>43556</v>
      </c>
      <c r="B173" s="28">
        <v>0.59945601851851849</v>
      </c>
      <c r="C173" t="s">
        <v>48</v>
      </c>
      <c r="D173">
        <v>-24.1</v>
      </c>
    </row>
    <row r="174" spans="1:4" x14ac:dyDescent="0.25">
      <c r="A174" s="1">
        <v>43556</v>
      </c>
      <c r="B174" s="28">
        <v>0.60015046296296293</v>
      </c>
      <c r="C174" t="s">
        <v>48</v>
      </c>
      <c r="D174">
        <v>-24.18</v>
      </c>
    </row>
    <row r="175" spans="1:4" x14ac:dyDescent="0.25">
      <c r="A175" s="1">
        <v>43556</v>
      </c>
      <c r="B175" s="28">
        <v>0.60084490740740737</v>
      </c>
      <c r="C175" t="s">
        <v>48</v>
      </c>
      <c r="D175">
        <v>-24.31</v>
      </c>
    </row>
    <row r="176" spans="1:4" x14ac:dyDescent="0.25">
      <c r="A176" s="1">
        <v>43556</v>
      </c>
      <c r="B176" s="28">
        <v>0.60153935185185181</v>
      </c>
      <c r="C176" t="s">
        <v>48</v>
      </c>
      <c r="D176">
        <v>-24.41</v>
      </c>
    </row>
    <row r="177" spans="1:4" x14ac:dyDescent="0.25">
      <c r="A177" s="1">
        <v>43556</v>
      </c>
      <c r="B177" s="28">
        <v>0.60223379629629636</v>
      </c>
      <c r="C177" t="s">
        <v>48</v>
      </c>
      <c r="D177">
        <v>-24.51</v>
      </c>
    </row>
    <row r="178" spans="1:4" x14ac:dyDescent="0.25">
      <c r="A178" s="1">
        <v>43556</v>
      </c>
      <c r="B178" s="28">
        <v>0.6029282407407407</v>
      </c>
      <c r="C178" t="s">
        <v>48</v>
      </c>
      <c r="D178">
        <v>-24.63</v>
      </c>
    </row>
    <row r="179" spans="1:4" x14ac:dyDescent="0.25">
      <c r="A179" s="1">
        <v>43556</v>
      </c>
      <c r="B179" s="28">
        <v>0.60362268518518525</v>
      </c>
      <c r="C179" t="s">
        <v>48</v>
      </c>
      <c r="D179">
        <v>-24.74</v>
      </c>
    </row>
    <row r="180" spans="1:4" x14ac:dyDescent="0.25">
      <c r="A180" s="1">
        <v>43556</v>
      </c>
      <c r="B180" s="28">
        <v>0.60431712962962958</v>
      </c>
      <c r="C180" t="s">
        <v>48</v>
      </c>
      <c r="D180">
        <v>-24.87</v>
      </c>
    </row>
    <row r="181" spans="1:4" x14ac:dyDescent="0.25">
      <c r="A181" s="1">
        <v>43556</v>
      </c>
      <c r="B181" s="28">
        <v>0.60501157407407413</v>
      </c>
      <c r="C181" t="s">
        <v>48</v>
      </c>
      <c r="D181">
        <v>-24.99</v>
      </c>
    </row>
    <row r="182" spans="1:4" x14ac:dyDescent="0.25">
      <c r="A182" s="1">
        <v>43556</v>
      </c>
      <c r="B182" s="28">
        <v>0.60570601851851846</v>
      </c>
      <c r="C182" t="s">
        <v>48</v>
      </c>
      <c r="D182">
        <v>-25.07</v>
      </c>
    </row>
    <row r="183" spans="1:4" x14ac:dyDescent="0.25">
      <c r="A183" s="1">
        <v>43556</v>
      </c>
      <c r="B183" s="28">
        <v>0.60640046296296302</v>
      </c>
      <c r="C183" t="s">
        <v>48</v>
      </c>
      <c r="D183">
        <v>-25.18</v>
      </c>
    </row>
  </sheetData>
  <sortState ref="A1:D189">
    <sortCondition ref="B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200" zoomScaleNormal="200" workbookViewId="0">
      <selection activeCell="I19" sqref="I19"/>
    </sheetView>
  </sheetViews>
  <sheetFormatPr baseColWidth="10" defaultRowHeight="15.75" x14ac:dyDescent="0.25"/>
  <cols>
    <col min="1" max="1" width="4.625" customWidth="1"/>
    <col min="2" max="2" width="4.125" customWidth="1"/>
    <col min="3" max="3" width="3.5" customWidth="1"/>
    <col min="4" max="4" width="4.125" customWidth="1"/>
    <col min="5" max="5" width="3.5" customWidth="1"/>
    <col min="6" max="6" width="4.125" customWidth="1"/>
    <col min="7" max="7" width="3.5" customWidth="1"/>
  </cols>
  <sheetData>
    <row r="1" spans="1:7" ht="10.5" customHeight="1" x14ac:dyDescent="0.25">
      <c r="A1" s="35"/>
      <c r="B1" s="44" t="s">
        <v>12</v>
      </c>
      <c r="C1" s="45"/>
      <c r="D1" s="46" t="s">
        <v>13</v>
      </c>
      <c r="E1" s="45"/>
      <c r="F1" s="46" t="s">
        <v>14</v>
      </c>
      <c r="G1" s="47"/>
    </row>
    <row r="2" spans="1:7" ht="10.5" customHeight="1" x14ac:dyDescent="0.25">
      <c r="A2" s="36" t="s">
        <v>50</v>
      </c>
      <c r="B2" s="40" t="s">
        <v>44</v>
      </c>
      <c r="C2" s="39" t="s">
        <v>45</v>
      </c>
      <c r="D2" s="37" t="s">
        <v>44</v>
      </c>
      <c r="E2" s="39" t="s">
        <v>45</v>
      </c>
      <c r="F2" s="37" t="s">
        <v>44</v>
      </c>
      <c r="G2" s="38" t="s">
        <v>45</v>
      </c>
    </row>
    <row r="3" spans="1:7" ht="10.5" customHeight="1" x14ac:dyDescent="0.25">
      <c r="A3" s="34" t="s">
        <v>15</v>
      </c>
      <c r="B3" s="32">
        <f>'Relevés -20°C'!$R$3</f>
        <v>-7.7416666666666245E-2</v>
      </c>
      <c r="C3" s="33">
        <f>'Relevés -20°C'!$AN$4 *2</f>
        <v>8.8063092780066854E-2</v>
      </c>
      <c r="D3" s="32">
        <f>'Relevés 5°C'!$R$3</f>
        <v>-0.10909999999999993</v>
      </c>
      <c r="E3" s="33">
        <f>'Relevés 5°C'!$AN$4 *2</f>
        <v>8.8857083509319867E-2</v>
      </c>
      <c r="F3" s="32">
        <f>'Relevés 20°C'!$T$3</f>
        <v>-0.15183098591549513</v>
      </c>
      <c r="G3" s="31">
        <f>'Relevés 20°C'!$AR$4 *2</f>
        <v>8.8519761824875309E-2</v>
      </c>
    </row>
    <row r="4" spans="1:7" ht="10.5" customHeight="1" x14ac:dyDescent="0.25">
      <c r="A4" s="34" t="s">
        <v>16</v>
      </c>
      <c r="B4" s="32">
        <f>'Relevés -20°C'!$S$3</f>
        <v>-8.6833333333332902E-2</v>
      </c>
      <c r="C4" s="33">
        <f>'Relevés -20°C'!$AO$4 *2</f>
        <v>8.8030797651735201E-2</v>
      </c>
      <c r="D4" s="32">
        <f>'Relevés 5°C'!$S$3</f>
        <v>-0.2370499999999999</v>
      </c>
      <c r="E4" s="33">
        <f>'Relevés 5°C'!$AO$4 *2</f>
        <v>8.9404594068403523E-2</v>
      </c>
      <c r="F4" s="32">
        <f>'Relevés 20°C'!$U$3</f>
        <v>-0.22056338028169201</v>
      </c>
      <c r="G4" s="31">
        <f>'Relevés 20°C'!$AS$4 *2</f>
        <v>8.952471269766378E-2</v>
      </c>
    </row>
    <row r="5" spans="1:7" ht="10.5" customHeight="1" x14ac:dyDescent="0.25">
      <c r="A5" s="34" t="s">
        <v>17</v>
      </c>
      <c r="B5" s="32">
        <f>'Relevés -20°C'!$T$3</f>
        <v>2.0500000000000095E-2</v>
      </c>
      <c r="C5" s="33">
        <f>'Relevés -20°C'!$AP$4 *2</f>
        <v>8.8052390026368638E-2</v>
      </c>
      <c r="D5" s="32">
        <f>'Relevés 5°C'!$T$3</f>
        <v>-8.9899999999999911E-2</v>
      </c>
      <c r="E5" s="33">
        <f>'Relevés 5°C'!$AP$4 *2</f>
        <v>8.8849143127583755E-2</v>
      </c>
      <c r="F5" s="32">
        <f>'Relevés 20°C'!$V$3</f>
        <v>-0.24140845070422701</v>
      </c>
      <c r="G5" s="31">
        <f>'Relevés 20°C'!$AT$4 *2</f>
        <v>8.8424230604275414E-2</v>
      </c>
    </row>
    <row r="6" spans="1:7" ht="10.5" customHeight="1" x14ac:dyDescent="0.25">
      <c r="A6" s="34" t="s">
        <v>18</v>
      </c>
      <c r="B6" s="32">
        <f>'Relevés -20°C'!$U$3</f>
        <v>-2.3833333333333002E-2</v>
      </c>
      <c r="C6" s="33">
        <f>'Relevés -20°C'!$AQ$4 *2</f>
        <v>8.8022905993033709E-2</v>
      </c>
      <c r="D6" s="32">
        <f>'Relevés 5°C'!$U$3</f>
        <v>-0.34359999999999979</v>
      </c>
      <c r="E6" s="33">
        <f>'Relevés 5°C'!$AQ$4 *2</f>
        <v>9.0781976291720426E-2</v>
      </c>
      <c r="F6" s="32">
        <f>'Relevés 20°C'!$W$3</f>
        <v>-0.21563380281690339</v>
      </c>
      <c r="G6" s="31">
        <f>'Relevés 20°C'!$AU$4 *2</f>
        <v>8.8690911691476304E-2</v>
      </c>
    </row>
    <row r="7" spans="1:7" ht="10.5" customHeight="1" x14ac:dyDescent="0.25">
      <c r="A7" s="34" t="s">
        <v>19</v>
      </c>
      <c r="B7" s="32">
        <f>'Relevés -20°C'!$V$3</f>
        <v>-0.16258333333333325</v>
      </c>
      <c r="C7" s="33">
        <f>'Relevés -20°C'!$AR$4 *2</f>
        <v>8.8038278959163579E-2</v>
      </c>
      <c r="D7" s="32">
        <f>'Relevés 5°C'!$V$3</f>
        <v>-0.38599999999999995</v>
      </c>
      <c r="E7" s="33">
        <f>'Relevés 5°C'!$AR$4 *2</f>
        <v>8.8320223577600401E-2</v>
      </c>
      <c r="F7" s="32">
        <f>'Relevés 20°C'!$X$3</f>
        <v>-0.23380281690141028</v>
      </c>
      <c r="G7" s="31">
        <f>'Relevés 20°C'!$AV$4 *2</f>
        <v>8.8260308466031764E-2</v>
      </c>
    </row>
    <row r="8" spans="1:7" ht="10.5" customHeight="1" x14ac:dyDescent="0.25">
      <c r="A8" s="34" t="s">
        <v>20</v>
      </c>
      <c r="B8" s="32">
        <f>'Relevés -20°C'!$W$3</f>
        <v>-0.16816666666666666</v>
      </c>
      <c r="C8" s="33">
        <f>'Relevés -20°C'!$AS$4 *2</f>
        <v>8.8057204107016285E-2</v>
      </c>
      <c r="D8" s="32">
        <f>'Relevés 5°C'!$W$3</f>
        <v>-0.36199999999999977</v>
      </c>
      <c r="E8" s="33">
        <f>'Relevés 5°C'!$AS$4 *2</f>
        <v>9.8049826238809007E-2</v>
      </c>
      <c r="F8" s="32">
        <f>'Relevés 20°C'!$Y$3</f>
        <v>-0.13816901408450902</v>
      </c>
      <c r="G8" s="31">
        <f>'Relevés 20°C'!$AW$4 *2</f>
        <v>8.8458823897241343E-2</v>
      </c>
    </row>
    <row r="9" spans="1:7" ht="10.5" customHeight="1" x14ac:dyDescent="0.25">
      <c r="A9" s="34" t="s">
        <v>21</v>
      </c>
      <c r="B9" s="32">
        <f>'Relevés -20°C'!$X$3</f>
        <v>0.22208333333333369</v>
      </c>
      <c r="C9" s="33">
        <f>'Relevés -20°C'!$AT$4 *2</f>
        <v>8.8043814956006258E-2</v>
      </c>
      <c r="D9" s="32">
        <f>'Relevés 5°C'!$X$3</f>
        <v>3.5550000000000123E-2</v>
      </c>
      <c r="E9" s="33">
        <f>'Relevés 5°C'!$AT$4 *2</f>
        <v>8.9907342215497663E-2</v>
      </c>
      <c r="F9" s="32">
        <f>'Relevés 20°C'!$Z$3</f>
        <v>-2.4788732394367571E-2</v>
      </c>
      <c r="G9" s="31">
        <f>'Relevés 20°C'!$AX$4 *2</f>
        <v>8.8727317397579553E-2</v>
      </c>
    </row>
    <row r="10" spans="1:7" ht="10.5" customHeight="1" x14ac:dyDescent="0.25">
      <c r="A10" s="34" t="s">
        <v>22</v>
      </c>
      <c r="B10" s="32">
        <f>'Relevés -20°C'!$Y$3</f>
        <v>0.15500000000000042</v>
      </c>
      <c r="C10" s="33">
        <f>'Relevés -20°C'!$AU$4 *2</f>
        <v>8.8037166680254061E-2</v>
      </c>
      <c r="D10" s="32">
        <f>'Relevés 5°C'!$Y$3</f>
        <v>-9.4799999999999898E-2</v>
      </c>
      <c r="E10" s="33">
        <f>'Relevés 5°C'!$AU$4 *2</f>
        <v>8.9186264256292863E-2</v>
      </c>
      <c r="F10" s="32">
        <f>'Relevés 20°C'!$AA$3</f>
        <v>-9.0140845070424372E-2</v>
      </c>
      <c r="G10" s="31">
        <f>'Relevés 20°C'!$AY$4 *2</f>
        <v>8.8295980206518368E-2</v>
      </c>
    </row>
    <row r="11" spans="1:7" ht="10.5" customHeight="1" x14ac:dyDescent="0.25">
      <c r="A11" s="30" t="s">
        <v>23</v>
      </c>
      <c r="B11" s="31">
        <f>'Relevés -20°C'!$Z$3</f>
        <v>-0.31849999999999967</v>
      </c>
      <c r="C11" s="33">
        <f>'Relevés -20°C'!$AV$4 *2</f>
        <v>8.8045327484635727E-2</v>
      </c>
      <c r="D11" s="32">
        <f>'Relevés 5°C'!$Z$3</f>
        <v>-0.6351500000000001</v>
      </c>
      <c r="E11" s="33">
        <f>'Relevés 5°C'!$AV$4 *2</f>
        <v>9.2933429101460116E-2</v>
      </c>
      <c r="F11" s="32">
        <f>'Relevés 20°C'!$AB$3</f>
        <v>-0.34873239436619913</v>
      </c>
      <c r="G11" s="31">
        <f>'Relevés 20°C'!$AZ$4 *2</f>
        <v>8.8388392601865332E-2</v>
      </c>
    </row>
    <row r="12" spans="1:7" ht="10.5" customHeight="1" x14ac:dyDescent="0.25">
      <c r="A12" s="50" t="s">
        <v>51</v>
      </c>
      <c r="B12" s="51"/>
      <c r="C12" s="41"/>
      <c r="D12" s="48" t="s">
        <v>49</v>
      </c>
      <c r="E12" s="49"/>
      <c r="F12" s="31">
        <f>'Relevés 20°C'!$AC$3</f>
        <v>2.6081690140845057</v>
      </c>
      <c r="G12" s="31">
        <f>'Relevés 20°C'!$BA$4 *2</f>
        <v>0.58326834994918608</v>
      </c>
    </row>
  </sheetData>
  <mergeCells count="5">
    <mergeCell ref="B1:C1"/>
    <mergeCell ref="D1:E1"/>
    <mergeCell ref="F1:G1"/>
    <mergeCell ref="D12:E12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Sonde étalon</vt:lpstr>
      <vt:lpstr>Relevés -20°C</vt:lpstr>
      <vt:lpstr>Relevés 5°C</vt:lpstr>
      <vt:lpstr>Relevés 20°C</vt:lpstr>
      <vt:lpstr>Résultats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b.maury</cp:lastModifiedBy>
  <dcterms:created xsi:type="dcterms:W3CDTF">2019-01-17T17:17:41Z</dcterms:created>
  <dcterms:modified xsi:type="dcterms:W3CDTF">2020-10-12T15:15:20Z</dcterms:modified>
</cp:coreProperties>
</file>